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17.xml"/>
  <Override ContentType="application/vnd.openxmlformats-officedocument.spreadsheetml.table+xml" PartName="/xl/tables/table59.xml"/>
  <Override ContentType="application/vnd.openxmlformats-officedocument.spreadsheetml.table+xml" PartName="/xl/tables/table168.xml"/>
  <Override ContentType="application/vnd.openxmlformats-officedocument.spreadsheetml.table+xml" PartName="/xl/tables/table125.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135.xml"/>
  <Override ContentType="application/vnd.openxmlformats-officedocument.spreadsheetml.table+xml" PartName="/xl/tables/table93.xml"/>
  <Override ContentType="application/vnd.openxmlformats-officedocument.spreadsheetml.table+xml" PartName="/xl/tables/table178.xml"/>
  <Override ContentType="application/vnd.openxmlformats-officedocument.spreadsheetml.table+xml" PartName="/xl/tables/table49.xml"/>
  <Override ContentType="application/vnd.openxmlformats-officedocument.spreadsheetml.table+xml" PartName="/xl/tables/table127.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09.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14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129.xml"/>
  <Override ContentType="application/vnd.openxmlformats-officedocument.spreadsheetml.table+xml" PartName="/xl/tables/table34.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16.xml"/>
  <Override ContentType="application/vnd.openxmlformats-officedocument.spreadsheetml.table+xml" PartName="/xl/tables/table133.xml"/>
  <Override ContentType="application/vnd.openxmlformats-officedocument.spreadsheetml.table+xml" PartName="/xl/tables/table176.xml"/>
  <Override ContentType="application/vnd.openxmlformats-officedocument.spreadsheetml.table+xml" PartName="/xl/tables/table77.xml"/>
  <Override ContentType="application/vnd.openxmlformats-officedocument.spreadsheetml.table+xml" PartName="/xl/tables/table147.xml"/>
  <Override ContentType="application/vnd.openxmlformats-officedocument.spreadsheetml.table+xml" PartName="/xl/tables/table172.xml"/>
  <Override ContentType="application/vnd.openxmlformats-officedocument.spreadsheetml.table+xml" PartName="/xl/tables/table104.xml"/>
  <Override ContentType="application/vnd.openxmlformats-officedocument.spreadsheetml.table+xml" PartName="/xl/tables/table29.xml"/>
  <Override ContentType="application/vnd.openxmlformats-officedocument.spreadsheetml.table+xml" PartName="/xl/tables/table112.xml"/>
  <Override ContentType="application/vnd.openxmlformats-officedocument.spreadsheetml.table+xml" PartName="/xl/tables/table180.xml"/>
  <Override ContentType="application/vnd.openxmlformats-officedocument.spreadsheetml.table+xml" PartName="/xl/tables/table70.xml"/>
  <Override ContentType="application/vnd.openxmlformats-officedocument.spreadsheetml.table+xml" PartName="/xl/tables/table155.xml"/>
  <Override ContentType="application/vnd.openxmlformats-officedocument.spreadsheetml.table+xml" PartName="/xl/tables/table46.xml"/>
  <Override ContentType="application/vnd.openxmlformats-officedocument.spreadsheetml.table+xml" PartName="/xl/tables/table138.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164.xml"/>
  <Override ContentType="application/vnd.openxmlformats-officedocument.spreadsheetml.table+xml" PartName="/xl/tables/table12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170.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9.xml"/>
  <Override ContentType="application/vnd.openxmlformats-officedocument.spreadsheetml.table+xml" PartName="/xl/tables/table123.xml"/>
  <Override ContentType="application/vnd.openxmlformats-officedocument.spreadsheetml.table+xml" PartName="/xl/tables/table153.xml"/>
  <Override ContentType="application/vnd.openxmlformats-officedocument.spreadsheetml.table+xml" PartName="/xl/tables/table166.xml"/>
  <Override ContentType="application/vnd.openxmlformats-officedocument.spreadsheetml.table+xml" PartName="/xl/tables/table140.xml"/>
  <Override ContentType="application/vnd.openxmlformats-officedocument.spreadsheetml.table+xml" PartName="/xl/tables/table119.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79.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136.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177.xml"/>
  <Override ContentType="application/vnd.openxmlformats-officedocument.spreadsheetml.table+xml" PartName="/xl/tables/table142.xml"/>
  <Override ContentType="application/vnd.openxmlformats-officedocument.spreadsheetml.table+xml" PartName="/xl/tables/table169.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5.xml"/>
  <Override ContentType="application/vnd.openxmlformats-officedocument.spreadsheetml.table+xml" PartName="/xl/tables/table134.xml"/>
  <Override ContentType="application/vnd.openxmlformats-officedocument.spreadsheetml.table+xml" PartName="/xl/tables/table31.xml"/>
  <Override ContentType="application/vnd.openxmlformats-officedocument.spreadsheetml.table+xml" PartName="/xl/tables/table160.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152.xml"/>
  <Override ContentType="application/vnd.openxmlformats-officedocument.spreadsheetml.table+xml" PartName="/xl/tables/table118.xml"/>
  <Override ContentType="application/vnd.openxmlformats-officedocument.spreadsheetml.table+xml" PartName="/xl/tables/table144.xml"/>
  <Override ContentType="application/vnd.openxmlformats-officedocument.spreadsheetml.table+xml" PartName="/xl/tables/table126.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28.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32.xml"/>
  <Override ContentType="application/vnd.openxmlformats-officedocument.spreadsheetml.table+xml" PartName="/xl/tables/table162.xml"/>
  <Override ContentType="application/vnd.openxmlformats-officedocument.spreadsheetml.table+xml" PartName="/xl/tables/table78.xml"/>
  <Override ContentType="application/vnd.openxmlformats-officedocument.spreadsheetml.table+xml" PartName="/xl/tables/table175.xml"/>
  <Override ContentType="application/vnd.openxmlformats-officedocument.spreadsheetml.table+xml" PartName="/xl/tables/table159.xml"/>
  <Override ContentType="application/vnd.openxmlformats-officedocument.spreadsheetml.table+xml" PartName="/xl/tables/table146.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181.xml"/>
  <Override ContentType="application/vnd.openxmlformats-officedocument.spreadsheetml.table+xml" PartName="/xl/tables/table7.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17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130.xml"/>
  <Override ContentType="application/vnd.openxmlformats-officedocument.spreadsheetml.table+xml" PartName="/xl/tables/table165.xml"/>
  <Override ContentType="application/vnd.openxmlformats-officedocument.spreadsheetml.table+xml" PartName="/xl/tables/table156.xml"/>
  <Override ContentType="application/vnd.openxmlformats-officedocument.spreadsheetml.table+xml" PartName="/xl/tables/table71.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111.xml"/>
  <Override ContentType="application/vnd.openxmlformats-officedocument.spreadsheetml.table+xml" PartName="/xl/tables/table171.xml"/>
  <Override ContentType="application/vnd.openxmlformats-officedocument.spreadsheetml.table+xml" PartName="/xl/tables/table3.xml"/>
  <Override ContentType="application/vnd.openxmlformats-officedocument.spreadsheetml.table+xml" PartName="/xl/tables/table167.xml"/>
  <Override ContentType="application/vnd.openxmlformats-officedocument.spreadsheetml.table+xml" PartName="/xl/tables/table154.xml"/>
  <Override ContentType="application/vnd.openxmlformats-officedocument.spreadsheetml.table+xml" PartName="/xl/tables/table141.xml"/>
  <Override ContentType="application/vnd.openxmlformats-officedocument.spreadsheetml.table+xml" PartName="/xl/tables/table107.xml"/>
  <Override ContentType="application/vnd.openxmlformats-officedocument.spreadsheetml.table+xml" PartName="/xl/tables/table60.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137.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4"/>
    <sheet state="visible" name="Actual_Data" sheetId="2" r:id="rId5"/>
    <sheet state="visible" name="Aaradhak_Details" sheetId="3" r:id="rId6"/>
    <sheet state="visible" name="ID Card Data" sheetId="4" r:id="rId7"/>
    <sheet state="visible" name="ID_Card_Output" sheetId="5" r:id="rId8"/>
    <sheet state="visible" name="Final Data" sheetId="6" r:id="rId9"/>
    <sheet state="visible" name="Debug_ID_card_data" sheetId="7" r:id="rId10"/>
  </sheets>
  <definedNames>
    <definedName hidden="1" localSheetId="5" name="_xlnm._FilterDatabase">'Final Data'!$A$1:$F$418</definedName>
  </definedNames>
  <calcPr/>
</workbook>
</file>

<file path=xl/sharedStrings.xml><?xml version="1.0" encoding="utf-8"?>
<sst xmlns="http://schemas.openxmlformats.org/spreadsheetml/2006/main" count="7111" uniqueCount="2092">
  <si>
    <t>Code</t>
  </si>
  <si>
    <t>Badge Number</t>
  </si>
  <si>
    <t>Name(As per adhar card)</t>
  </si>
  <si>
    <t>Age</t>
  </si>
  <si>
    <t>Contact Number (WhatsApp)</t>
  </si>
  <si>
    <t>PPTW</t>
  </si>
  <si>
    <t xml:space="preserve">Aachal Vinod Bhandari </t>
  </si>
  <si>
    <t>BB</t>
  </si>
  <si>
    <t xml:space="preserve">Aanchal jain </t>
  </si>
  <si>
    <t>SC</t>
  </si>
  <si>
    <t>Aangi</t>
  </si>
  <si>
    <t>TT</t>
  </si>
  <si>
    <t>Aarna</t>
  </si>
  <si>
    <t>WID</t>
  </si>
  <si>
    <t xml:space="preserve">Aarushi Bhandari </t>
  </si>
  <si>
    <t>Aashvi chhajed</t>
  </si>
  <si>
    <t>Aayushi Jain</t>
  </si>
  <si>
    <t>Aayushi shah</t>
  </si>
  <si>
    <t>Abhilasha Jain</t>
  </si>
  <si>
    <t>Additi Solanki</t>
  </si>
  <si>
    <t>Aditi</t>
  </si>
  <si>
    <t>Aditi Bhandari</t>
  </si>
  <si>
    <t>Aditi jain</t>
  </si>
  <si>
    <t>Aishvi jain</t>
  </si>
  <si>
    <t>Akshara Jain</t>
  </si>
  <si>
    <t>Aksharachopra</t>
  </si>
  <si>
    <t>Amisha Saklecha</t>
  </si>
  <si>
    <t>Amita Mangesh Bora</t>
  </si>
  <si>
    <t xml:space="preserve">Aneriben Manoj Kumar Shah </t>
  </si>
  <si>
    <t>Anuja Romil Shah</t>
  </si>
  <si>
    <t>Anushi Jain</t>
  </si>
  <si>
    <t>Anushka Kataria</t>
  </si>
  <si>
    <t>Aradhana jain</t>
  </si>
  <si>
    <t>Ariha Deep Shah</t>
  </si>
  <si>
    <t>Arpita Jain</t>
  </si>
  <si>
    <t>Arpita vanvat</t>
  </si>
  <si>
    <t xml:space="preserve">Ashvi Jain </t>
  </si>
  <si>
    <t xml:space="preserve">Avani Lodha </t>
  </si>
  <si>
    <t xml:space="preserve">Avni jain </t>
  </si>
  <si>
    <t>Ayushi chopra</t>
  </si>
  <si>
    <t>B Ritu kothari</t>
  </si>
  <si>
    <t>Bhaavee Chirag Doshi</t>
  </si>
  <si>
    <t xml:space="preserve">Bhakti Jhaveri </t>
  </si>
  <si>
    <t xml:space="preserve">Bhavana </t>
  </si>
  <si>
    <t>Bhavya</t>
  </si>
  <si>
    <t>Bhumi chatter</t>
  </si>
  <si>
    <t>Bhumi Umesh Gadiya</t>
  </si>
  <si>
    <t>Bhumika</t>
  </si>
  <si>
    <t xml:space="preserve">CHAITRALI YUVRAJ MEHTA </t>
  </si>
  <si>
    <t>Charmi Dhariwal</t>
  </si>
  <si>
    <t>Charmi Doshi</t>
  </si>
  <si>
    <t>Darshita Kakaria</t>
  </si>
  <si>
    <t>Deepali Shah</t>
  </si>
  <si>
    <t>Deshana Kuldip Shah</t>
  </si>
  <si>
    <t xml:space="preserve">Devanshi hiran Mehta </t>
  </si>
  <si>
    <t>Dharmi Malde</t>
  </si>
  <si>
    <t>Dhriti</t>
  </si>
  <si>
    <t>Dhruvi M Shah</t>
  </si>
  <si>
    <t>Dhruvi S</t>
  </si>
  <si>
    <t>Dhruvi Shah</t>
  </si>
  <si>
    <t xml:space="preserve">Dhvani Ronak Desai </t>
  </si>
  <si>
    <t>dhyana mehta</t>
  </si>
  <si>
    <t xml:space="preserve">Dimple </t>
  </si>
  <si>
    <t>Dipali Parekh</t>
  </si>
  <si>
    <t>Disha oswal</t>
  </si>
  <si>
    <t>Disha Shah</t>
  </si>
  <si>
    <t>Divisha Kakaria</t>
  </si>
  <si>
    <t xml:space="preserve">Divya </t>
  </si>
  <si>
    <t>Divya jain</t>
  </si>
  <si>
    <t xml:space="preserve">Divya mahendra kankaliya </t>
  </si>
  <si>
    <t>Divya Sanghvi</t>
  </si>
  <si>
    <t xml:space="preserve">Diya Amish shah </t>
  </si>
  <si>
    <t>Diya Chajed</t>
  </si>
  <si>
    <t>Diya Jain</t>
  </si>
  <si>
    <t>Diya Prakash Shah</t>
  </si>
  <si>
    <t>Diya Rakesh Jain</t>
  </si>
  <si>
    <t>Diya shah</t>
  </si>
  <si>
    <t xml:space="preserve">Diya Vardhman Chhajed </t>
  </si>
  <si>
    <t>Dolly Inderkumar Jain</t>
  </si>
  <si>
    <t>Dolly patwa</t>
  </si>
  <si>
    <t xml:space="preserve">Doshi prapti prakash Kumar </t>
  </si>
  <si>
    <t>Doshi vidhi</t>
  </si>
  <si>
    <t xml:space="preserve">Drashty Bakul Malde </t>
  </si>
  <si>
    <t>Ekta Mehta</t>
  </si>
  <si>
    <t xml:space="preserve">Esha Satish Savla </t>
  </si>
  <si>
    <t>Forum Rajesh Chheda</t>
  </si>
  <si>
    <t xml:space="preserve">Gandhi Asha </t>
  </si>
  <si>
    <t>Geeta Sandeep Lodha</t>
  </si>
  <si>
    <t xml:space="preserve">Harshita Rajesh Bhimani </t>
  </si>
  <si>
    <t>Harshvi Kavit Shah</t>
  </si>
  <si>
    <t xml:space="preserve">Hasti Hasmukh Dedhia </t>
  </si>
  <si>
    <t>Heena Shah</t>
  </si>
  <si>
    <t>Heeya nayan gandhi</t>
  </si>
  <si>
    <t xml:space="preserve">HET MANOJ SHAH </t>
  </si>
  <si>
    <t>Hetali Rajen Shah</t>
  </si>
  <si>
    <t xml:space="preserve">Hetvi Nilesh Shah </t>
  </si>
  <si>
    <t>Hetvi Paras Shah</t>
  </si>
  <si>
    <t>Hetvi Vimal Gosrani</t>
  </si>
  <si>
    <t xml:space="preserve">Hiral Doshi </t>
  </si>
  <si>
    <t>Hiral Vimal Shah</t>
  </si>
  <si>
    <t>Hiya Sachin Dhoka</t>
  </si>
  <si>
    <t>Hrishika Rakesh Jain</t>
  </si>
  <si>
    <t>Ishika Mahendra Jain</t>
  </si>
  <si>
    <t>Ishita Jain</t>
  </si>
  <si>
    <t>Ishita Sagrawat</t>
  </si>
  <si>
    <t xml:space="preserve">Itishajain </t>
  </si>
  <si>
    <t>Jain Bhavika ben</t>
  </si>
  <si>
    <t>Jain divya vinod</t>
  </si>
  <si>
    <t xml:space="preserve">Jain Mehal Ritesh </t>
  </si>
  <si>
    <t>Jain Nikita manish</t>
  </si>
  <si>
    <t xml:space="preserve">Jaini Shah </t>
  </si>
  <si>
    <t>Jayna Jain</t>
  </si>
  <si>
    <t>Jayshree jain</t>
  </si>
  <si>
    <t>Jeenal Naresh Gudhka</t>
  </si>
  <si>
    <t>Jeenali Bhandari</t>
  </si>
  <si>
    <t>Jheel Dilip Jain</t>
  </si>
  <si>
    <t>Jil Jayanti Sumariya</t>
  </si>
  <si>
    <t>Jinal</t>
  </si>
  <si>
    <t xml:space="preserve">Jinali Sanjay Shah </t>
  </si>
  <si>
    <t xml:space="preserve">Jinalkumari Ashokbhai shah </t>
  </si>
  <si>
    <t>Jinancy vipulkumar. Doshi</t>
  </si>
  <si>
    <t xml:space="preserve">Jiya </t>
  </si>
  <si>
    <t xml:space="preserve">Kaavyaa mayur gudhka </t>
  </si>
  <si>
    <t>Kajal Dhiren Mutha</t>
  </si>
  <si>
    <t>Kanisha Alpesh shah</t>
  </si>
  <si>
    <t xml:space="preserve">Karaniya Princy jetal </t>
  </si>
  <si>
    <t>Karuna Bhushan Jain</t>
  </si>
  <si>
    <t xml:space="preserve">Kavita Bhupendra vardhan </t>
  </si>
  <si>
    <t>KAVYA MANISH SHAH</t>
  </si>
  <si>
    <t>keshvi kothari</t>
  </si>
  <si>
    <t>Khushbhu jain</t>
  </si>
  <si>
    <t xml:space="preserve">Khushbu jain </t>
  </si>
  <si>
    <t xml:space="preserve">KHUSHBU KAKRECHA </t>
  </si>
  <si>
    <t>Khushi nayan gandhi</t>
  </si>
  <si>
    <t xml:space="preserve"> khushi chaudhary </t>
  </si>
  <si>
    <t xml:space="preserve">Khushi Shreyansh Gandhi </t>
  </si>
  <si>
    <t>Khyati Varshit Shah</t>
  </si>
  <si>
    <t>Kinjal Kothari</t>
  </si>
  <si>
    <t>Kinnari Shah</t>
  </si>
  <si>
    <t>Kirti jain</t>
  </si>
  <si>
    <t>Kiyanshi jain</t>
  </si>
  <si>
    <t>Komal sanghvi</t>
  </si>
  <si>
    <t xml:space="preserve">Kratika dangi </t>
  </si>
  <si>
    <t>Krina Chetan Shah</t>
  </si>
  <si>
    <t xml:space="preserve">Krina Jain </t>
  </si>
  <si>
    <t>Krinal Navin Gosrani</t>
  </si>
  <si>
    <t xml:space="preserve">Krisha </t>
  </si>
  <si>
    <t>Krisha Kantilal Gudhka</t>
  </si>
  <si>
    <t>Krisha Kerul Shah</t>
  </si>
  <si>
    <t>Krishi gala</t>
  </si>
  <si>
    <t>Kriya Amit Shah</t>
  </si>
  <si>
    <t xml:space="preserve">Kriya Hemendra Kothari </t>
  </si>
  <si>
    <t>Kriya Narendra Rathod</t>
  </si>
  <si>
    <t>Kriya viresh jain</t>
  </si>
  <si>
    <t xml:space="preserve">Kshama Divyesh Khimasiya </t>
  </si>
  <si>
    <t>Kunika Ranka</t>
  </si>
  <si>
    <t xml:space="preserve">Kusum </t>
  </si>
  <si>
    <t>Labdhi</t>
  </si>
  <si>
    <t>Labdhi Amit Shah</t>
  </si>
  <si>
    <t xml:space="preserve">Labdhi Mandovara </t>
  </si>
  <si>
    <t xml:space="preserve">Labdhi Tatia </t>
  </si>
  <si>
    <t>Labdhi Tushar Shah</t>
  </si>
  <si>
    <t xml:space="preserve">Lakshita Jain </t>
  </si>
  <si>
    <t>Lavina Kawediya</t>
  </si>
  <si>
    <t>Lekha Jain</t>
  </si>
  <si>
    <t>Lukita</t>
  </si>
  <si>
    <t xml:space="preserve">Mahak Jain </t>
  </si>
  <si>
    <t>Mahak mogra</t>
  </si>
  <si>
    <t xml:space="preserve">Mahek Nilesh Sanghavi </t>
  </si>
  <si>
    <t>Mahek shah</t>
  </si>
  <si>
    <t>Mahi jain</t>
  </si>
  <si>
    <t xml:space="preserve">Mahi Prakash Sanghavi </t>
  </si>
  <si>
    <t>Mahi Sethiya</t>
  </si>
  <si>
    <t xml:space="preserve">Mahi Sunil Lalwani </t>
  </si>
  <si>
    <t>Maitri Shantilal Nagda</t>
  </si>
  <si>
    <t xml:space="preserve">MAMATA ANKIT SHAH </t>
  </si>
  <si>
    <t>Mamta A Jain</t>
  </si>
  <si>
    <t>Mansi seth</t>
  </si>
  <si>
    <t>Mansi Vinodkumar Gulechha</t>
  </si>
  <si>
    <t>Misthi vanvat</t>
  </si>
  <si>
    <t xml:space="preserve">Moksha </t>
  </si>
  <si>
    <t>Moksha Kishorbhai Dhami</t>
  </si>
  <si>
    <t>Mokshi jain</t>
  </si>
  <si>
    <t>Monika</t>
  </si>
  <si>
    <t>Monika Jain S</t>
  </si>
  <si>
    <t>Monika Rajendra Khivsara</t>
  </si>
  <si>
    <t xml:space="preserve">Neha Narendra Jain </t>
  </si>
  <si>
    <t>Nidhi Sethiya</t>
  </si>
  <si>
    <t>Nidhi Vasant Shah</t>
  </si>
  <si>
    <t xml:space="preserve">Niki Pritesh Gandhi </t>
  </si>
  <si>
    <t>Nikita shah</t>
  </si>
  <si>
    <t xml:space="preserve">Nishi </t>
  </si>
  <si>
    <t xml:space="preserve">Nupur Dhirendra Shah </t>
  </si>
  <si>
    <t>Palak Dodhia</t>
  </si>
  <si>
    <t xml:space="preserve">Palak Ramanand Nayak </t>
  </si>
  <si>
    <t>Palak Shailesh Gosrani</t>
  </si>
  <si>
    <t xml:space="preserve">Pallavi jain </t>
  </si>
  <si>
    <t>Parekh Binita Alpesh</t>
  </si>
  <si>
    <t>Payal Amit Shah</t>
  </si>
  <si>
    <t xml:space="preserve">Payal Navinchandra Gosrani </t>
  </si>
  <si>
    <t>Payal Rajesh jain (baradia)</t>
  </si>
  <si>
    <t>Payal Vinod Palesha</t>
  </si>
  <si>
    <t>POOJA ASHOK JAKHARIYA</t>
  </si>
  <si>
    <t>Pooja Jain</t>
  </si>
  <si>
    <t>Pooja kalpesh dodhia</t>
  </si>
  <si>
    <t>Prachi Haria</t>
  </si>
  <si>
    <t xml:space="preserve">Prachi jain </t>
  </si>
  <si>
    <t xml:space="preserve">Prachi Jain </t>
  </si>
  <si>
    <t>Prachi Kamdar</t>
  </si>
  <si>
    <t>prachi kochar</t>
  </si>
  <si>
    <t>Prachi kochar</t>
  </si>
  <si>
    <t xml:space="preserve">Prachi Mehta </t>
  </si>
  <si>
    <t>Pragya jain</t>
  </si>
  <si>
    <t xml:space="preserve">Pranali raju bhandari </t>
  </si>
  <si>
    <t>Pranjal</t>
  </si>
  <si>
    <t xml:space="preserve">Pratika Khinvesara </t>
  </si>
  <si>
    <t>Preksha Barmat</t>
  </si>
  <si>
    <t>Preksha Parekh</t>
  </si>
  <si>
    <t>Preya Vishal Shah</t>
  </si>
  <si>
    <t>Priya Mukesh Vora</t>
  </si>
  <si>
    <t>Priyal Pratik Shah</t>
  </si>
  <si>
    <t>Priyal Shah</t>
  </si>
  <si>
    <t xml:space="preserve">Priyal shah </t>
  </si>
  <si>
    <t>Priyal Vijay Mehta</t>
  </si>
  <si>
    <t xml:space="preserve">Priyanka </t>
  </si>
  <si>
    <t>Priyanka gelda</t>
  </si>
  <si>
    <t xml:space="preserve">Priyanka Parmar </t>
  </si>
  <si>
    <t>Priyanshi modi</t>
  </si>
  <si>
    <t>Priyantham R jain</t>
  </si>
  <si>
    <t>Purva Jain</t>
  </si>
  <si>
    <t>Purvi Dangi</t>
  </si>
  <si>
    <t>Purvi Kishor Khivasara</t>
  </si>
  <si>
    <t>Raashi P Jain</t>
  </si>
  <si>
    <t xml:space="preserve">Rajul Harmit Virvadia </t>
  </si>
  <si>
    <t>Rajvi Dilip Dedhia</t>
  </si>
  <si>
    <t xml:space="preserve">Rakshita chaprot </t>
  </si>
  <si>
    <t>Rashi Hitesh Shah</t>
  </si>
  <si>
    <t>Rashi Rupesh Shroff</t>
  </si>
  <si>
    <t>Reena Kakaria</t>
  </si>
  <si>
    <t xml:space="preserve">Riddhi </t>
  </si>
  <si>
    <t>Riddhi Lalwani</t>
  </si>
  <si>
    <t>Rishikamehta</t>
  </si>
  <si>
    <t>Ritika jain</t>
  </si>
  <si>
    <t>Riya Gandhi</t>
  </si>
  <si>
    <t xml:space="preserve">Riya jain </t>
  </si>
  <si>
    <t xml:space="preserve">Riya seth </t>
  </si>
  <si>
    <t>Ruchika Jain</t>
  </si>
  <si>
    <t>Sachi Sachin shah</t>
  </si>
  <si>
    <t xml:space="preserve"> Sanchi</t>
  </si>
  <si>
    <t xml:space="preserve">Sakshi Chetan Shah </t>
  </si>
  <si>
    <t xml:space="preserve">Sakshi Jain </t>
  </si>
  <si>
    <t xml:space="preserve">Sakshi Viresh Jain </t>
  </si>
  <si>
    <t>Saloni Chandravat</t>
  </si>
  <si>
    <t>Saloni Gandhi</t>
  </si>
  <si>
    <t>Saloni Jain</t>
  </si>
  <si>
    <t>Sanvi sachin shah</t>
  </si>
  <si>
    <t>SEEMA VIKAS JAIN</t>
  </si>
  <si>
    <t>Sejal hain</t>
  </si>
  <si>
    <t>Sejal jain</t>
  </si>
  <si>
    <t>Sejal vikas rathod</t>
  </si>
  <si>
    <t>Shah Drashti Timirkumar</t>
  </si>
  <si>
    <t xml:space="preserve">Shah Drashty Jignesh </t>
  </si>
  <si>
    <t xml:space="preserve">Shah isha divyang kumar </t>
  </si>
  <si>
    <t xml:space="preserve">Shah Jinal Girishbhai </t>
  </si>
  <si>
    <t>Shah Mahi jigneshbhai</t>
  </si>
  <si>
    <t>Shah Yesha Jitendra</t>
  </si>
  <si>
    <t>Shailee Dharmendra Shah</t>
  </si>
  <si>
    <t>Shalu</t>
  </si>
  <si>
    <t>Shalu bhandari</t>
  </si>
  <si>
    <t xml:space="preserve">Shiksha jain </t>
  </si>
  <si>
    <t>Shilpa Suryank Bafna</t>
  </si>
  <si>
    <t>Shivani Jain</t>
  </si>
  <si>
    <t>Shree jain</t>
  </si>
  <si>
    <t>Shreya Mitul Gandhi</t>
  </si>
  <si>
    <t>Shrusti Jayesh Dedhia</t>
  </si>
  <si>
    <t>Shruti mukesh Kothari</t>
  </si>
  <si>
    <t xml:space="preserve">Shruti Sanjay Nahar </t>
  </si>
  <si>
    <t>Siddhi</t>
  </si>
  <si>
    <t xml:space="preserve">Siddhi Oswal </t>
  </si>
  <si>
    <t>Somya Jain</t>
  </si>
  <si>
    <t xml:space="preserve">Somya Ostwal </t>
  </si>
  <si>
    <t>Sonal jain</t>
  </si>
  <si>
    <t>SONAL KIRTI SHAH</t>
  </si>
  <si>
    <t>Sonam Harilal Dharod</t>
  </si>
  <si>
    <t>sonam jain</t>
  </si>
  <si>
    <t>Sonam Lokesh Jain</t>
  </si>
  <si>
    <t>Srishti Bhandari</t>
  </si>
  <si>
    <t xml:space="preserve">Srushti </t>
  </si>
  <si>
    <t>Stuti jain</t>
  </si>
  <si>
    <t>Stuti Mehta</t>
  </si>
  <si>
    <t xml:space="preserve">Suditi </t>
  </si>
  <si>
    <t>Suhani jain</t>
  </si>
  <si>
    <t>Sunita jain</t>
  </si>
  <si>
    <t>susmita mondal</t>
  </si>
  <si>
    <t>Swarali Mehta</t>
  </si>
  <si>
    <t>Sweta Ashish Jain</t>
  </si>
  <si>
    <t xml:space="preserve">Tanaya Rahul Bedmutha </t>
  </si>
  <si>
    <t xml:space="preserve">Tanisha Chopra </t>
  </si>
  <si>
    <t>Tanishka Kothari</t>
  </si>
  <si>
    <t xml:space="preserve">Taniya Saklecha </t>
  </si>
  <si>
    <t>Tanu jain</t>
  </si>
  <si>
    <t>Tanvee rishi shah</t>
  </si>
  <si>
    <t>Tatva sheth</t>
  </si>
  <si>
    <t>Tejal Ankit Bhayani</t>
  </si>
  <si>
    <t>Tejaswini Bothara</t>
  </si>
  <si>
    <t xml:space="preserve">Tisha Sandeep punmiya </t>
  </si>
  <si>
    <t>Tithi Vikas Shah</t>
  </si>
  <si>
    <t xml:space="preserve">Upagna tejas Shah </t>
  </si>
  <si>
    <t xml:space="preserve">Urmi Mukesh Vora </t>
  </si>
  <si>
    <t>Utkarsha abhay bothara</t>
  </si>
  <si>
    <t>Vaishvi Ketan Gosar</t>
  </si>
  <si>
    <t>Vanshika Atul Mehta</t>
  </si>
  <si>
    <t>Varsha chhajed</t>
  </si>
  <si>
    <t>Varsha Dheeng</t>
  </si>
  <si>
    <t>Vedika nahata</t>
  </si>
  <si>
    <t>vidhi</t>
  </si>
  <si>
    <t>VIDHI Girish Kothari</t>
  </si>
  <si>
    <t>Vidhi Jain</t>
  </si>
  <si>
    <t>Vidhi kumari .R</t>
  </si>
  <si>
    <t>Vidhi Nilesh Malde</t>
  </si>
  <si>
    <t>Vidhi Prakash Patel</t>
  </si>
  <si>
    <t>Vidhi Rajesh Mehta</t>
  </si>
  <si>
    <t>Vidhi Sandeep Mehta</t>
  </si>
  <si>
    <t xml:space="preserve">Vidhi vimal gosrani </t>
  </si>
  <si>
    <t>Vijeta Rajendra Bafna</t>
  </si>
  <si>
    <t>Vini Jain</t>
  </si>
  <si>
    <t>Viral naitik bavisi</t>
  </si>
  <si>
    <t xml:space="preserve">Virti ravish shah </t>
  </si>
  <si>
    <t>Virti Ronak Vora</t>
  </si>
  <si>
    <t>Vishwa Chetan Shah</t>
  </si>
  <si>
    <t>Vishwa Rupeshbhai Shroff</t>
  </si>
  <si>
    <t>Vrushti Gaurav Shah</t>
  </si>
  <si>
    <t>Vrushti Saurabh Shah</t>
  </si>
  <si>
    <t xml:space="preserve">Yashaswini Dangi </t>
  </si>
  <si>
    <t>Yashi Kevin Shah</t>
  </si>
  <si>
    <t>Yashika Jain</t>
  </si>
  <si>
    <t xml:space="preserve">Yashvi Himanshu Gandhi </t>
  </si>
  <si>
    <t xml:space="preserve">Yatri Jayeshkumar Shah </t>
  </si>
  <si>
    <t>Yesha Deepak shah</t>
  </si>
  <si>
    <t>Heena Jain</t>
  </si>
  <si>
    <t>Darshna Jain</t>
  </si>
  <si>
    <t>Karishma Gandhi</t>
  </si>
  <si>
    <t>Ekta jain</t>
  </si>
  <si>
    <t>Aayushi</t>
  </si>
  <si>
    <t>Bhavna Bhandari</t>
  </si>
  <si>
    <t>Esha Shah</t>
  </si>
  <si>
    <t>Dahita</t>
  </si>
  <si>
    <t>Mansi</t>
  </si>
  <si>
    <t>Aarya</t>
  </si>
  <si>
    <t>Megha Parekh</t>
  </si>
  <si>
    <t>Shraddha Parekh</t>
  </si>
  <si>
    <t>Riya</t>
  </si>
  <si>
    <t>Aayushi Golecha</t>
  </si>
  <si>
    <t>Rashi Jain</t>
  </si>
  <si>
    <t>Tithi Chhajed</t>
  </si>
  <si>
    <t>Siddhi Jain</t>
  </si>
  <si>
    <t>Paridhi</t>
  </si>
  <si>
    <t>Miti</t>
  </si>
  <si>
    <t>Ashita Dhariwal</t>
  </si>
  <si>
    <t>Nirali Gudhka</t>
  </si>
  <si>
    <t>Avani</t>
  </si>
  <si>
    <t>Leena Jain</t>
  </si>
  <si>
    <t>Hasti</t>
  </si>
  <si>
    <t>Kria Shah</t>
  </si>
  <si>
    <t>Teesha</t>
  </si>
  <si>
    <t>Princy Jain</t>
  </si>
  <si>
    <t>Devanshi Shah</t>
  </si>
  <si>
    <t>Jyoti</t>
  </si>
  <si>
    <t>Jainy</t>
  </si>
  <si>
    <t>Shweta</t>
  </si>
  <si>
    <t>Virti Shah</t>
  </si>
  <si>
    <t>Falak</t>
  </si>
  <si>
    <t>Janvi</t>
  </si>
  <si>
    <t>Drishti Sumariya</t>
  </si>
  <si>
    <t>Visha Shah</t>
  </si>
  <si>
    <t xml:space="preserve">Khushi </t>
  </si>
  <si>
    <t>Ashvi Shah</t>
  </si>
  <si>
    <t>Siya Shah</t>
  </si>
  <si>
    <t>Manasvi Bhadviya</t>
  </si>
  <si>
    <t>Prachi Shah</t>
  </si>
  <si>
    <t>Mahi</t>
  </si>
  <si>
    <t>Bhakti Shah</t>
  </si>
  <si>
    <t>Krina</t>
  </si>
  <si>
    <t>Navya Shah</t>
  </si>
  <si>
    <t>Shilpa Lodha</t>
  </si>
  <si>
    <t>Nidhi Jain</t>
  </si>
  <si>
    <t>Preksha</t>
  </si>
  <si>
    <t>Dimple Shah</t>
  </si>
  <si>
    <t>Hetal Chheda</t>
  </si>
  <si>
    <t>Sakshi Chhajed</t>
  </si>
  <si>
    <t>Ayushi Shah</t>
  </si>
  <si>
    <t>Moksha Patwa</t>
  </si>
  <si>
    <t>Riddhima Jain</t>
  </si>
  <si>
    <t>Hitanshi</t>
  </si>
  <si>
    <t>Moxa</t>
  </si>
  <si>
    <t>Virti</t>
  </si>
  <si>
    <t xml:space="preserve">Ankita </t>
  </si>
  <si>
    <t>Pari</t>
  </si>
  <si>
    <t>Jaynisha</t>
  </si>
  <si>
    <t>Sonu</t>
  </si>
  <si>
    <t>Valey</t>
  </si>
  <si>
    <t>Rashmi</t>
  </si>
  <si>
    <t>Pooja</t>
  </si>
  <si>
    <t>Sonali Mehta</t>
  </si>
  <si>
    <t xml:space="preserve">Esha </t>
  </si>
  <si>
    <t>Jeenali Shah</t>
  </si>
  <si>
    <t>Siddhi Shah</t>
  </si>
  <si>
    <t>Hetvi Shah</t>
  </si>
  <si>
    <t>Moksha Jain</t>
  </si>
  <si>
    <t>Siddhi Gudhka</t>
  </si>
  <si>
    <t>Shreya Shah</t>
  </si>
  <si>
    <t>Hesha Shah</t>
  </si>
  <si>
    <t>Aangi Shah</t>
  </si>
  <si>
    <t>Hetvi Shah Insta</t>
  </si>
  <si>
    <t>Priyanka Kataria</t>
  </si>
  <si>
    <t>Kinjal Parekh</t>
  </si>
  <si>
    <t>Archana Sheth</t>
  </si>
  <si>
    <t>Sheetal Murar</t>
  </si>
  <si>
    <t>Jinisha Mehta</t>
  </si>
  <si>
    <t>Vaishali Doshi</t>
  </si>
  <si>
    <t>Moksha Shah</t>
  </si>
  <si>
    <t>09518509703</t>
  </si>
  <si>
    <t xml:space="preserve">98700 67267 </t>
  </si>
  <si>
    <t>16 years</t>
  </si>
  <si>
    <t>+91 73897 61730</t>
  </si>
  <si>
    <t xml:space="preserve">89054 92464 </t>
  </si>
  <si>
    <t>08867617265</t>
  </si>
  <si>
    <t>07303115887</t>
  </si>
  <si>
    <t>19(20 in jan 2026)</t>
  </si>
  <si>
    <t>09892941510</t>
  </si>
  <si>
    <t>09028422316</t>
  </si>
  <si>
    <t>Timestamp</t>
  </si>
  <si>
    <t>Email address</t>
  </si>
  <si>
    <t>Blood Group</t>
  </si>
  <si>
    <t>State/City</t>
  </si>
  <si>
    <t>Emergency Contact number</t>
  </si>
  <si>
    <t>Upload a Passport Size Photo</t>
  </si>
  <si>
    <t>Do you agree to the terms and conditions?</t>
  </si>
  <si>
    <t>Column 12</t>
  </si>
  <si>
    <t>ashvijain06@gmail.com</t>
  </si>
  <si>
    <t>Ashvi Jain</t>
  </si>
  <si>
    <t>AB +ve</t>
  </si>
  <si>
    <t xml:space="preserve">Indore, Madhya Pradesh </t>
  </si>
  <si>
    <t>https://drive.google.com/open?id=1Gzr-eY1XG6Yh53-0x80OZ0hCCHuTviea</t>
  </si>
  <si>
    <t>Yes, I do</t>
  </si>
  <si>
    <t>shahkrina2014@gmail.com</t>
  </si>
  <si>
    <t>Krina Shah</t>
  </si>
  <si>
    <t>B +ve</t>
  </si>
  <si>
    <t>Maharashtra/Mumbai</t>
  </si>
  <si>
    <t>https://drive.google.com/open?id=109wlIt98ft0VMeSRBk7uG8EjVjNr4gJv</t>
  </si>
  <si>
    <t>sonalbhandari78@gmail.com</t>
  </si>
  <si>
    <t xml:space="preserve">Kolhapur Maharashtra </t>
  </si>
  <si>
    <t>https://drive.google.com/open?id=1leNh8vUSl2fpXLM86_zlju7kpjzTXg5j</t>
  </si>
  <si>
    <t>aanchaljain166@gmail.com</t>
  </si>
  <si>
    <t xml:space="preserve">Pipliya mandi, District -Mandsaur,  Madhya pradesh </t>
  </si>
  <si>
    <t>https://drive.google.com/open?id=1Pk-gWVTSSBzWIgAzVdacMhc8fBVmB7V4</t>
  </si>
  <si>
    <t>Aangid7@gmail.com</t>
  </si>
  <si>
    <t>Aangi Dipeshbhai Doshi</t>
  </si>
  <si>
    <t>O +ve</t>
  </si>
  <si>
    <t xml:space="preserve">Ahmedabad </t>
  </si>
  <si>
    <t>https://drive.google.com/open?id=1xEgnxvO9TrHNEbL4s0w-tubtN8yBsdmP</t>
  </si>
  <si>
    <t>arpitchhajed0405@gmail.com</t>
  </si>
  <si>
    <t xml:space="preserve">Khachrod </t>
  </si>
  <si>
    <t>https://drive.google.com/open?id=1ZoOhSBD3jdBKwbTbNeaFuNmZNrLi4cJy</t>
  </si>
  <si>
    <t>aayushi.jain4106@gmail.com</t>
  </si>
  <si>
    <t xml:space="preserve">Aayushi Jain </t>
  </si>
  <si>
    <t xml:space="preserve">Madhya Pradesh </t>
  </si>
  <si>
    <t>https://drive.google.com/open?id=1yG_q-4vKPmnndSeO_MOv-hjSY8KdkWAx</t>
  </si>
  <si>
    <t>shahaayushi63@gmail.com</t>
  </si>
  <si>
    <t>Aayushi Shah</t>
  </si>
  <si>
    <t>B -ve</t>
  </si>
  <si>
    <t>Mumbai</t>
  </si>
  <si>
    <t>https://drive.google.com/open?id=1IsNNNfO3tG--Fg0fxMigbPaSt4Ess-l-</t>
  </si>
  <si>
    <t>jainrewinding@gmail.com</t>
  </si>
  <si>
    <t xml:space="preserve">Abhilasha </t>
  </si>
  <si>
    <t xml:space="preserve">M.P./indore </t>
  </si>
  <si>
    <t>https://drive.google.com/open?id=1qr6viFOCwyAc02DBZ-C-fqLj0AzakiDq</t>
  </si>
  <si>
    <t>additisolanki10@gmail.com</t>
  </si>
  <si>
    <t>WIB</t>
  </si>
  <si>
    <t>Chennai</t>
  </si>
  <si>
    <t>https://drive.google.com/open?id=1IVxjVwg4NlNzLptTJIjS-xDskZWlRg6t</t>
  </si>
  <si>
    <t>anshijain9876@gmail.com</t>
  </si>
  <si>
    <t xml:space="preserve">Aditi bhandari </t>
  </si>
  <si>
    <t xml:space="preserve">Chaumahla,  Rajasthan </t>
  </si>
  <si>
    <t>https://drive.google.com/open?id=1oXPy6Zm6GhoIYSzNkxKURVQ7djkjD5og</t>
  </si>
  <si>
    <t>aditijain171202@gmail.com</t>
  </si>
  <si>
    <t>Aditi Bharat Jain</t>
  </si>
  <si>
    <t>A +ve</t>
  </si>
  <si>
    <t>Bhayandar, Mumbai</t>
  </si>
  <si>
    <t>https://drive.google.com/open?id=1EAB3FQz0Korngl0ssBPI_hipMXlbCNgh</t>
  </si>
  <si>
    <t>jainprathibha46@gmail.com</t>
  </si>
  <si>
    <t xml:space="preserve">Aditi Jain </t>
  </si>
  <si>
    <t>Sc</t>
  </si>
  <si>
    <t>Tanda (dhar)</t>
  </si>
  <si>
    <t>https://drive.google.com/open?id=1fsYeyvPM0MDktd5Fgn3GWHAhAUF-pmPW</t>
  </si>
  <si>
    <t>jainashvi15@gmail.com</t>
  </si>
  <si>
    <t>Madhya Pradesh Tal</t>
  </si>
  <si>
    <t>https://drive.google.com/open?id=11HDfHGWyVyRZ6cfWoSFilBJQ_vpyMVF8</t>
  </si>
  <si>
    <t>chopraakshara85@gmail.com</t>
  </si>
  <si>
    <t>Akshara chopra</t>
  </si>
  <si>
    <t>Barnagar madhya pradesh</t>
  </si>
  <si>
    <t>https://drive.google.com/open?id=1qjGe0s8uGO2FjUCr_Ae2YluvlxGU-yoO</t>
  </si>
  <si>
    <t>amishaj1332@gmail.com</t>
  </si>
  <si>
    <t xml:space="preserve">Ujjain </t>
  </si>
  <si>
    <t>https://drive.google.com/open?id=1pGnRcx4f1hPxHK0dkzJrs7ghuXPZyB11</t>
  </si>
  <si>
    <t>aslodha11@gmail.com</t>
  </si>
  <si>
    <t>Pune</t>
  </si>
  <si>
    <t>https://drive.google.com/open?id=1B7c4IO8U5tRyLDWb746lfEgxoK-jDl4V</t>
  </si>
  <si>
    <t>anerimshah06@gmail.com</t>
  </si>
  <si>
    <t>Aneri ben Manoj Kumar shah</t>
  </si>
  <si>
    <t xml:space="preserve">Surat </t>
  </si>
  <si>
    <t>https://drive.google.com/open?id=1Ke70RV3FarPfXPW4PmWACWj_CoIA8i4N</t>
  </si>
  <si>
    <t>sandeshjain242@gmail.com</t>
  </si>
  <si>
    <t>Ankita jain</t>
  </si>
  <si>
    <t xml:space="preserve">Indore </t>
  </si>
  <si>
    <t>https://drive.google.com/open?id=1wIgedSUkyP308HO_ys_G2weqFUo2daZH</t>
  </si>
  <si>
    <t>rxanuja@gmail.com</t>
  </si>
  <si>
    <t xml:space="preserve">Hyderabad </t>
  </si>
  <si>
    <t>https://drive.google.com/open?id=1ZPhSG_D5BL8eN1rbI3-IUd-dpGn8tdgO</t>
  </si>
  <si>
    <t>anushijain10@gmail.com</t>
  </si>
  <si>
    <t xml:space="preserve">Anushi Jain </t>
  </si>
  <si>
    <t xml:space="preserve">Madhya pradesh, Indore </t>
  </si>
  <si>
    <t>https://drive.google.com/open?id=1-dKLRDOlrHDu6S5FwVi65ajMnEUFQxXk</t>
  </si>
  <si>
    <t>anushkakataria26@gmail.com</t>
  </si>
  <si>
    <t xml:space="preserve">Anushka Kataria </t>
  </si>
  <si>
    <t xml:space="preserve">Ratlam,Madhya Pradesh </t>
  </si>
  <si>
    <t>https://drive.google.com/open?id=1MW-FmSb1BED-BzTiAKYND3h78d9UzyCi</t>
  </si>
  <si>
    <t>aradhanajain661994@gmail.com</t>
  </si>
  <si>
    <t>https://drive.google.com/open?id=1RUTBG-dunzR_1ITec3zSOmHz3rrl50QJ</t>
  </si>
  <si>
    <t>shaharchana28@gmail.com</t>
  </si>
  <si>
    <t>Archana Minesh Shah</t>
  </si>
  <si>
    <t>https://drive.google.com/open?id=1O_6vS-YzKv96hUp__FOBpXoXOlcrhH56</t>
  </si>
  <si>
    <t>shaharihad1999@gmail.com</t>
  </si>
  <si>
    <t xml:space="preserve">Pune </t>
  </si>
  <si>
    <t>https://drive.google.com/open?id=1UoCU_mvxPdga2KKiJOjJ6nmOWArJqR10</t>
  </si>
  <si>
    <t>jainarpita56@gmail.com</t>
  </si>
  <si>
    <t>AJ19</t>
  </si>
  <si>
    <t xml:space="preserve">Madhya Pradesh/Mandsaur </t>
  </si>
  <si>
    <t>https://drive.google.com/open?id=14YwRH3CbaEyOm0I6W_0vyT-FDwqzBGoA</t>
  </si>
  <si>
    <t>arpita1vat249@gmail.com</t>
  </si>
  <si>
    <t xml:space="preserve">       M.p. Khachrod</t>
  </si>
  <si>
    <t>https://drive.google.com/open?id=1WzoZcztCOECOdvrMIj6CdHBUMzOvXd5H</t>
  </si>
  <si>
    <t>ashita0206@gmail.com</t>
  </si>
  <si>
    <t xml:space="preserve">Ashita Dhariwal </t>
  </si>
  <si>
    <t>Indore</t>
  </si>
  <si>
    <t>https://drive.google.com/open?id=1EXWG06dnuu-oX7ZJJHxoRYJ0V6ymXMth</t>
  </si>
  <si>
    <t>ashvishah20@gmail.com</t>
  </si>
  <si>
    <t>Ashvi Amesh Shah</t>
  </si>
  <si>
    <t xml:space="preserve">Mumbai, Maharashtra </t>
  </si>
  <si>
    <t>https://drive.google.com/open?id=1kH7_tWsM2K39Tw1t8ly2i_Yq1cPAEgDc</t>
  </si>
  <si>
    <t>shahavani35@gmail.com</t>
  </si>
  <si>
    <t>Avani Vikram Shah</t>
  </si>
  <si>
    <t>Maharashtra/Bhiwandi</t>
  </si>
  <si>
    <t>https://drive.google.com/open?id=1DBSnLZ8YKTUqW2axAqjEDLFxsoKyvloZ</t>
  </si>
  <si>
    <t>pratikjain1423@gmail.com</t>
  </si>
  <si>
    <t xml:space="preserve">Avni Jain </t>
  </si>
  <si>
    <t>https://drive.google.com/open?id=1EI6cBj0MJs2Z2a84cigzSX7mh8TzeshT</t>
  </si>
  <si>
    <t>chopraayushi53@gmail.com</t>
  </si>
  <si>
    <t>Barnagar, Dist:Ujjain{M.P}</t>
  </si>
  <si>
    <t>https://drive.google.com/open?id=14wcqcgIGR0Ogh4UE59Vti2Yb5PU8SOPF</t>
  </si>
  <si>
    <t>jainayushi3707@gmail.com</t>
  </si>
  <si>
    <t>Ayushi Jain</t>
  </si>
  <si>
    <t>Indore (Depalpur)</t>
  </si>
  <si>
    <t>https://drive.google.com/open?id=1SZpPc0A-sd5QRiA4IQLZhYcoGTJHWmzU</t>
  </si>
  <si>
    <t>aj4349741@gmail.com</t>
  </si>
  <si>
    <t xml:space="preserve">Ayushi Jain </t>
  </si>
  <si>
    <t>Ujjain (Mp)</t>
  </si>
  <si>
    <t>https://drive.google.com/open?id=1tXoPeuEwCwZi6i8ODmxmJl8uyNzw3FVN</t>
  </si>
  <si>
    <t>jainmaya1995@gmail.com</t>
  </si>
  <si>
    <t xml:space="preserve">B Ritu kothari </t>
  </si>
  <si>
    <t>Anantapur</t>
  </si>
  <si>
    <t>https://drive.google.com/open?id=1mbUKXlvn8WyYxBGBy83PxmjJXvIOtb_Y</t>
  </si>
  <si>
    <t>drpoojacd1385@gmail.com</t>
  </si>
  <si>
    <t>https://drive.google.com/open?id=1de-zzjrMLpbRjC3DgCls3MbFVoq8eB3U</t>
  </si>
  <si>
    <t>bhakti.jhaveri1985@gmail.com</t>
  </si>
  <si>
    <t>https://drive.google.com/open?id=1SXjn-AFGny_IPMt32vvw6rwfUNYXdhhg</t>
  </si>
  <si>
    <t>bhaktishah1312@gmail.com</t>
  </si>
  <si>
    <t>Bhakti shah</t>
  </si>
  <si>
    <t>Gujarat/Ahmedabad</t>
  </si>
  <si>
    <t>https://drive.google.com/open?id=11ZaONFphwaBLnHk4tIarGRLXAkuG4Elg</t>
  </si>
  <si>
    <t>jainbhawana805@gmail.com</t>
  </si>
  <si>
    <t xml:space="preserve">Bhavna Bhandari </t>
  </si>
  <si>
    <t xml:space="preserve">Chaumahla </t>
  </si>
  <si>
    <t>https://drive.google.com/open?id=1tqAWs0VY2goICihktdR7t9h3_RdfIYmj</t>
  </si>
  <si>
    <t>kushimehta344@gmail.com</t>
  </si>
  <si>
    <t>https://drive.google.com/open?id=1aL6Yy6KD89Xfd5SLbmR6vYWzzw1xmRwi</t>
  </si>
  <si>
    <t>chatteradish@gmail.com</t>
  </si>
  <si>
    <t>Bhumi Chatter</t>
  </si>
  <si>
    <t xml:space="preserve">Khachrod Madhya pradesh </t>
  </si>
  <si>
    <t>https://drive.google.com/open?id=1Tol_266Slvk5pQKYAQgq1DQN5voYwq71</t>
  </si>
  <si>
    <t>porwal.bhumi95@gmail.com</t>
  </si>
  <si>
    <t>Bhumika Jugal Porwal</t>
  </si>
  <si>
    <t>Pune , Maharashtra.</t>
  </si>
  <si>
    <t>https://drive.google.com/open?id=1ZlV2rkyubIs24FgJ2LMa0EqS4iFsfWOw</t>
  </si>
  <si>
    <t>shahutkersha384@gmail.com</t>
  </si>
  <si>
    <t>Bothara utkarsha abhay</t>
  </si>
  <si>
    <t>Navsari</t>
  </si>
  <si>
    <t>https://drive.google.com/open?id=1Eb_1SOyXWLjLyY7kwDqMa42aLzJ0BpVq</t>
  </si>
  <si>
    <t>dhariwalcharmi2@gmail.com</t>
  </si>
  <si>
    <t xml:space="preserve">Charmi Dhariwal </t>
  </si>
  <si>
    <t>Jaora</t>
  </si>
  <si>
    <t>https://drive.google.com/open?id=1qWAoAxTtrKOuAgyPh8T1YVYXujFWnXen</t>
  </si>
  <si>
    <t>charmi.mehta2111@gmail.com</t>
  </si>
  <si>
    <t>Charmi Hardik Doshi</t>
  </si>
  <si>
    <t>O -ve</t>
  </si>
  <si>
    <t xml:space="preserve">Mumbai/ Maharashtra </t>
  </si>
  <si>
    <t>https://drive.google.com/open?id=1X6ZDOyiEmRJJcVto0apgHH0zVSr_gYe0</t>
  </si>
  <si>
    <t>dahitashah1983@gmail.com</t>
  </si>
  <si>
    <t>Dahita Jinesh Shah</t>
  </si>
  <si>
    <t>https://drive.google.com/open?id=1nggRYpSajINYcyuGWWVl59GSdI1ksuW-</t>
  </si>
  <si>
    <t>darshitakakaria@gmail.com</t>
  </si>
  <si>
    <t>Darshita Shrenik Kakaria</t>
  </si>
  <si>
    <t>Gujarat/ Surat</t>
  </si>
  <si>
    <t>https://drive.google.com/open?id=1LERyVdrsNRcea756dLvydNwVbFqPeLat</t>
  </si>
  <si>
    <t>dhingkavish40@gmail.com</t>
  </si>
  <si>
    <t xml:space="preserve">Darshna jain </t>
  </si>
  <si>
    <t>Rajasthan jhalawar awar</t>
  </si>
  <si>
    <t>https://drive.google.com/open?id=1d_w1wLlT-XuMutTDk3JG-8CGqfsFmnBI</t>
  </si>
  <si>
    <t>shah.gautam99@gmail.com</t>
  </si>
  <si>
    <t>Deepali. Gautam. Shah</t>
  </si>
  <si>
    <t>https://drive.google.com/open?id=1fKI-UYpjxxnDnVF5I8RdkRSfobns_zTu</t>
  </si>
  <si>
    <t>devanshimehta1705@gmail.com</t>
  </si>
  <si>
    <t>Devanshi Hiran Mehta</t>
  </si>
  <si>
    <t>Karnataka/Bangalore</t>
  </si>
  <si>
    <t>https://drive.google.com/open?id=17sDUpo9LFhvSFcwgt2oKHEYWERwYfxdm</t>
  </si>
  <si>
    <t>devanshidimpal@gmail.com</t>
  </si>
  <si>
    <t>Devanshi Hitesh Shah</t>
  </si>
  <si>
    <t>Maharastra /Bhayander (Mumbai )</t>
  </si>
  <si>
    <t>https://drive.google.com/open?id=1MrFVfTzvdlAAqIUxKLwoOBTJpjEcyE2w</t>
  </si>
  <si>
    <t>maldedharmi0@gmail.com</t>
  </si>
  <si>
    <t xml:space="preserve">Dharmi Jitesh Malde </t>
  </si>
  <si>
    <t xml:space="preserve">Maharashtra/bhiwandi </t>
  </si>
  <si>
    <t>https://drive.google.com/open?id=1AJxaIMcW9P3eCMgKHZQAQPrjv59uRqR-</t>
  </si>
  <si>
    <t>dhritibhimonee045@gmail.com</t>
  </si>
  <si>
    <t>DHRITI</t>
  </si>
  <si>
    <t>Bengaluru</t>
  </si>
  <si>
    <t>https://drive.google.com/open?id=1Zyc13tujjpsb0tT-EwZ6GTRd-PTx7lYg</t>
  </si>
  <si>
    <t>shah.dhruvi.v@gmail.com</t>
  </si>
  <si>
    <t>Dhruvi . Vidhyut. shah</t>
  </si>
  <si>
    <t>https://drive.google.com/open?id=1mjJka5yq-XaMCY00Vy0vW2RlzqWRIPsG</t>
  </si>
  <si>
    <t>dhruvis0210@gmail.com</t>
  </si>
  <si>
    <t xml:space="preserve">Mumbai </t>
  </si>
  <si>
    <t>https://drive.google.com/open?id=1Ehr7GRBluuATtG0RsTXuoGutUXZwAb8r</t>
  </si>
  <si>
    <t>shahdhruvi1907@gmail.com</t>
  </si>
  <si>
    <t>https://drive.google.com/open?id=1PpPoRZgdJwgbnKz2VIW4Wmx8oHaNEH_I</t>
  </si>
  <si>
    <t>dhruvishah5868@gmail.com</t>
  </si>
  <si>
    <t xml:space="preserve">Dhruvi Shah </t>
  </si>
  <si>
    <t>https://drive.google.com/open?id=14xvAZYY5X0GwOdyaTnF6mcKM6e3rEL0a</t>
  </si>
  <si>
    <t>dhvanidesai.040607@gmail.com</t>
  </si>
  <si>
    <t>Dhvani Ronak Desai</t>
  </si>
  <si>
    <t>Maharashtra Mumbai</t>
  </si>
  <si>
    <t>https://drive.google.com/open?id=12EmycTRLNpz5VvrHyIW8-UKRGbwYTG84</t>
  </si>
  <si>
    <t>shahdimple7618@gmail.com</t>
  </si>
  <si>
    <t>Dimple Hitesh Shah</t>
  </si>
  <si>
    <t>Bhayandar (Mumbai)</t>
  </si>
  <si>
    <t>https://drive.google.com/open?id=16XEO8zJs68smpj4fxwQZ63ntTb5-AmUe</t>
  </si>
  <si>
    <t>dimpiamu@gmail.com</t>
  </si>
  <si>
    <t>Dimple kumari</t>
  </si>
  <si>
    <t>Bangalore</t>
  </si>
  <si>
    <t>https://drive.google.com/open?id=1CWEGWY6W3f41mRx2ejc3UTQzVJHtOYRU</t>
  </si>
  <si>
    <t>dipaliparekh07@gmail.com</t>
  </si>
  <si>
    <t xml:space="preserve">Dipali Chandreshbhai Parekh </t>
  </si>
  <si>
    <t xml:space="preserve">Rajkot, Gujarat </t>
  </si>
  <si>
    <t>https://drive.google.com/open?id=1AgC2OefC5kuQZbMPFPl3WYNfvFpF2MYn</t>
  </si>
  <si>
    <t>priencessdisha273@gmail.com</t>
  </si>
  <si>
    <t xml:space="preserve">Karnataka </t>
  </si>
  <si>
    <t>https://drive.google.com/open?id=16NvjHQlawSg-12TFUiVSVC2uNOBmPZDU</t>
  </si>
  <si>
    <t>dikshashah1510@gmail.com</t>
  </si>
  <si>
    <t>Disha Santosh Shah</t>
  </si>
  <si>
    <t xml:space="preserve">Maharashtra </t>
  </si>
  <si>
    <t>https://drive.google.com/open?id=1HVcxERKpN-OkUEa62m5fOFu6Bu9Sf3jp</t>
  </si>
  <si>
    <t>shrenikkakaria@gmail.com</t>
  </si>
  <si>
    <t>Divisha Shrenik Kakaria</t>
  </si>
  <si>
    <t>Gujarat/Surat</t>
  </si>
  <si>
    <t>https://drive.google.com/open?id=1GjgAn9sXcHrIZttVL2Iq0UWkGOuzIKY3</t>
  </si>
  <si>
    <t>nemimutha3171@gmail.com</t>
  </si>
  <si>
    <t xml:space="preserve">Divya jain </t>
  </si>
  <si>
    <t xml:space="preserve">Karnataka/ Bangalore </t>
  </si>
  <si>
    <t>https://drive.google.com/open?id=198bu5uowWbDs8m-jSM47WKc6LBBk5ZVv</t>
  </si>
  <si>
    <t>diyashah0016@gmail.com</t>
  </si>
  <si>
    <t xml:space="preserve">Diya amish shah </t>
  </si>
  <si>
    <t>https://drive.google.com/open?id=1EQ6V75FxzeQY9LdQidReVY0fN3r61k0w</t>
  </si>
  <si>
    <t>jaindiya040@gmail.com</t>
  </si>
  <si>
    <t>Diya jain</t>
  </si>
  <si>
    <t>Unhel</t>
  </si>
  <si>
    <t>https://drive.google.com/open?id=1eSxblgCBR0fkmqLM8YrxY3k3JspfML1k</t>
  </si>
  <si>
    <t>sdiya7435@gmail.com</t>
  </si>
  <si>
    <t xml:space="preserve">Diya nileshbhai shah </t>
  </si>
  <si>
    <t xml:space="preserve">Khambhat </t>
  </si>
  <si>
    <t>https://drive.google.com/open?id=1fPOe9fUDFQo29jllX3hm1_b62KloxG2H</t>
  </si>
  <si>
    <t>jaindolly304@gmail.com</t>
  </si>
  <si>
    <t>Ahmedabad</t>
  </si>
  <si>
    <t>https://drive.google.com/open?id=1IUFaGp_j0sMvyKwrHPAr49Jk6gFhnf-1</t>
  </si>
  <si>
    <t>doshiprapti97@gmail.com</t>
  </si>
  <si>
    <t xml:space="preserve">Doshi praptii prakash </t>
  </si>
  <si>
    <t>Surat</t>
  </si>
  <si>
    <t>https://drive.google.com/open?id=1XQFGPC5U-8zleCnPKHk3vtx-ZAxgLmd0</t>
  </si>
  <si>
    <t>vidhi07doshi@gmail.com</t>
  </si>
  <si>
    <t>https://drive.google.com/open?id=1qMbvrZUvlr0ntGNomOTllPsIA-jBeOBK</t>
  </si>
  <si>
    <t>maldedrashty01@gmail.com</t>
  </si>
  <si>
    <t>Drashty Bakul Malde</t>
  </si>
  <si>
    <t>https://drive.google.com/open?id=13X_ffu4ZiCRMBz-dOse5srPJpNDgPKzT</t>
  </si>
  <si>
    <t>Ronak2189@gmail.com</t>
  </si>
  <si>
    <t>Ekta ronak jain</t>
  </si>
  <si>
    <t xml:space="preserve">Mumbai Maharashtra </t>
  </si>
  <si>
    <t>https://drive.google.com/open?id=1sb9dOgDz42VQhhFVwWNkuP_nhhvJ5Xi5</t>
  </si>
  <si>
    <t>eshashah22.07.2003@gmail.com</t>
  </si>
  <si>
    <t xml:space="preserve">Esha pritesh shah </t>
  </si>
  <si>
    <t>https://drive.google.com/open?id=156WpmK_PiEUgOU_ERl0RTpxu2C33zyRj</t>
  </si>
  <si>
    <t>geniousesha10@gmail.com</t>
  </si>
  <si>
    <t>Esha Satish Savla</t>
  </si>
  <si>
    <t>https://drive.google.com/open?id=1gm12aFXkJh_eYFlUpKab04hwt6G1opcJ</t>
  </si>
  <si>
    <t>falushah165@gmail.com</t>
  </si>
  <si>
    <t>Falak Nirav Shah</t>
  </si>
  <si>
    <t xml:space="preserve">PPTW </t>
  </si>
  <si>
    <t>https://drive.google.com/open?id=1Ldox18dnApJ03Pd4MDrYBjz3JYU1gWQ3</t>
  </si>
  <si>
    <t>forumchheda2023@gmail.com</t>
  </si>
  <si>
    <t xml:space="preserve">Maharashtra - Mumbai </t>
  </si>
  <si>
    <t>https://drive.google.com/open?id=1UFoIYvsv14t3pw-gGBoUdSUnVoaSnC_M</t>
  </si>
  <si>
    <t>bhumigadiya1@gmail.com</t>
  </si>
  <si>
    <t>Gadiya Bhumi Unesh</t>
  </si>
  <si>
    <t xml:space="preserve">Baramati </t>
  </si>
  <si>
    <t>https://drive.google.com/open?id=1J0MuRe-MCw3zgySp4uabWGaqNVhg3J4r</t>
  </si>
  <si>
    <t>geetuslodha1998@gmail.com</t>
  </si>
  <si>
    <t xml:space="preserve">Geeta Sandeep Lodha </t>
  </si>
  <si>
    <t xml:space="preserve">Ahilyanagar </t>
  </si>
  <si>
    <t>https://drive.google.com/open?id=1JPRE3-FwIpdDPlLy7v3uR2lniOvFCkrK</t>
  </si>
  <si>
    <t>shahharshviwork@gmail.com</t>
  </si>
  <si>
    <t>Maharashtra-Mumbai</t>
  </si>
  <si>
    <t>https://drive.google.com/open?id=1hYY7LRX_apW7k1wB3_q-O6ZXdoLaRgr5</t>
  </si>
  <si>
    <t>hasti12dedhia@gmail.com</t>
  </si>
  <si>
    <t xml:space="preserve">Hasti Dedhia </t>
  </si>
  <si>
    <t>https://drive.google.com/open?id=1qXXjMHSjTAiV0WmBPM6b0NzOhdHV2Lc7</t>
  </si>
  <si>
    <t>heena9833@gmail.com</t>
  </si>
  <si>
    <t>Heena Manoj Palesha</t>
  </si>
  <si>
    <t>https://drive.google.com/open?id=1zzx88G6Y88tO_Lh1lYrJcD01P7nOtYjB</t>
  </si>
  <si>
    <t>heena.t.shah.13@gmail.com</t>
  </si>
  <si>
    <t>https://drive.google.com/open?id=1hA_ZAlVQCpljpLRBuLZbvvdrCyFKq9YX</t>
  </si>
  <si>
    <t>gandhinayan65@gmail.com</t>
  </si>
  <si>
    <t>Mulund</t>
  </si>
  <si>
    <t>https://drive.google.com/open?id=1KFF-AZHUAcwvEjnkiYzvovi7EP10Tmh7</t>
  </si>
  <si>
    <t>hetshah650@gmail.com</t>
  </si>
  <si>
    <t xml:space="preserve">het Manoj Shah </t>
  </si>
  <si>
    <t>Wid</t>
  </si>
  <si>
    <t>https://drive.google.com/open?id=1H_EPr-AYeOiKqBpCDr2ULC0Dke83IrnV</t>
  </si>
  <si>
    <t>hetalchheda1818@gmail.com</t>
  </si>
  <si>
    <t>HETAL chheda</t>
  </si>
  <si>
    <t>https://drive.google.com/open?id=1SSrDciBeNaQ-1sptKk2vHYiLJwWMmyK9</t>
  </si>
  <si>
    <t>hrs151200@gmail.com</t>
  </si>
  <si>
    <t>Maharashtra</t>
  </si>
  <si>
    <t>https://drive.google.com/open?id=17dQeDe0zW_jZj8_5UtCenMBes0i_Ndkd</t>
  </si>
  <si>
    <t>hetvi0303@gmail.com</t>
  </si>
  <si>
    <t xml:space="preserve">Maharashtra Mumbai </t>
  </si>
  <si>
    <t>https://drive.google.com/open?id=1WJRZnz0WLA-V7QFAT8lSXWS1AsLbUGDO</t>
  </si>
  <si>
    <t>hetvigosrani@gamil.com</t>
  </si>
  <si>
    <t xml:space="preserve">Hetvi vimal Gosrani </t>
  </si>
  <si>
    <t>https://drive.google.com/open?id=1BvFR9_-vYXTXz38ix5cDUSL0pNhEjPom</t>
  </si>
  <si>
    <t>Hiral.doshi2104@gmail.com</t>
  </si>
  <si>
    <t xml:space="preserve">HIRAL NIMESH DOSHI </t>
  </si>
  <si>
    <t>MAHARASHTRA/MUMBAI</t>
  </si>
  <si>
    <t>https://drive.google.com/open?id=1EXpPZGN9B73ip4ijSLArR4ml87Dzl491</t>
  </si>
  <si>
    <t>shahhiral2801@gmail.com</t>
  </si>
  <si>
    <t>Hiral Shah</t>
  </si>
  <si>
    <t>maharastra</t>
  </si>
  <si>
    <t>https://drive.google.com/open?id=14vEE1c88KwdL8RGiPotoL7z2bWQLDgpa</t>
  </si>
  <si>
    <t>hitanshimehta300@gmail.com</t>
  </si>
  <si>
    <t xml:space="preserve">Hitanshi mehta </t>
  </si>
  <si>
    <t>khattali m.p.</t>
  </si>
  <si>
    <t>https://drive.google.com/open?id=1JVHM2hNo4I0dqOBLAPewwPzJPISJTt7B</t>
  </si>
  <si>
    <t>hiya.dhoka.9@gmail.com</t>
  </si>
  <si>
    <t>https://drive.google.com/open?id=1RtX31LI9jwdBgxYxKWnbgHd8husuw597</t>
  </si>
  <si>
    <t>hrishikarjain@gmail.com</t>
  </si>
  <si>
    <t>https://drive.google.com/open?id=1h9icjeT8N_i4svggErpEbyWHcmSXO6oZ</t>
  </si>
  <si>
    <t>jishika029@gmail.com</t>
  </si>
  <si>
    <t>https://drive.google.com/open?id=1O9rD9ukTLUq6rl2ClDUDwhe-Sp-NYFnW</t>
  </si>
  <si>
    <t>ishitajain975@gmail.com</t>
  </si>
  <si>
    <t>Ishita jain</t>
  </si>
  <si>
    <t>Bhawani Mandi</t>
  </si>
  <si>
    <t>https://drive.google.com/open?id=1BlRyisiCy19FzoFqwOJv5qxbSDis5ukj</t>
  </si>
  <si>
    <t>mamtamodi771@gmail.com</t>
  </si>
  <si>
    <t>Nagda</t>
  </si>
  <si>
    <t>https://drive.google.com/open?id=11n6iNU8F0S_3rLhkluUDbfT5l0TAagU_</t>
  </si>
  <si>
    <t>bhavika.chordiya@gmail.com</t>
  </si>
  <si>
    <t>Jain Bhavikaben</t>
  </si>
  <si>
    <t>https://drive.google.com/open?id=1OQSQJZ0dfqvHd8rCKkjQstkcQcACoDZ6</t>
  </si>
  <si>
    <t>jainkrinajain@gmail.com</t>
  </si>
  <si>
    <t xml:space="preserve">Jain krina Vikas </t>
  </si>
  <si>
    <t xml:space="preserve">TT </t>
  </si>
  <si>
    <t xml:space="preserve">Surat, Gujarat </t>
  </si>
  <si>
    <t>https://drive.google.com/open?id=1wfohbB2bsHHWqnUqetGtHcHY6gdICO1v</t>
  </si>
  <si>
    <t>nktjain735@gmail.com</t>
  </si>
  <si>
    <t xml:space="preserve">Jain Nikita Manish </t>
  </si>
  <si>
    <t>Ahemdabad</t>
  </si>
  <si>
    <t>https://drive.google.com/open?id=1jcAM0aUex9c9ngBQmXZFrjkZlSLMwp0i</t>
  </si>
  <si>
    <t>tji898078@gmail.com</t>
  </si>
  <si>
    <t>Jain princy</t>
  </si>
  <si>
    <t xml:space="preserve">Surat /gujarat </t>
  </si>
  <si>
    <t>https://drive.google.com/open?id=1ZpX6ovoumBVF1eI-MBz3LL6_OkH5smI5</t>
  </si>
  <si>
    <t>siddhijain513@gmail.com</t>
  </si>
  <si>
    <t xml:space="preserve">Jain Siddhi Ritesh Kumar </t>
  </si>
  <si>
    <t>https://drive.google.com/open?id=1dgsOFWBTeQQUl9mJvdAi591RehkntY73</t>
  </si>
  <si>
    <t>jainishah7777@gmail.com</t>
  </si>
  <si>
    <t>Jaini Hemanshu Shah</t>
  </si>
  <si>
    <t>https://drive.google.com/open?id=1T2TFLNLb36Rx4BbMl6g0BwPz38xIZuFO</t>
  </si>
  <si>
    <t>janvi.shah1205@gmail.com</t>
  </si>
  <si>
    <t>Janvi shah</t>
  </si>
  <si>
    <t>https://drive.google.com/open?id=1pAWLfvxYLOhP9-0J-QBaphhvIyrVuWpy</t>
  </si>
  <si>
    <t>jaynajain2008@gmail.com</t>
  </si>
  <si>
    <t>PW</t>
  </si>
  <si>
    <t>Dag</t>
  </si>
  <si>
    <t>https://drive.google.com/open?id=1WCLBSpCPoOESA9p7PeGOYockf0AgYVaA</t>
  </si>
  <si>
    <t>jainjayshree183@gmail.com</t>
  </si>
  <si>
    <t>Jayshree D</t>
  </si>
  <si>
    <t xml:space="preserve">BB </t>
  </si>
  <si>
    <t xml:space="preserve">Bengaluru </t>
  </si>
  <si>
    <t>https://drive.google.com/open?id=1dAOnPwsHg3jEc15dWbCqOrrZn1mW-Leu</t>
  </si>
  <si>
    <t>jeenalg9@gmail.com</t>
  </si>
  <si>
    <t>Mumba</t>
  </si>
  <si>
    <t>https://drive.google.com/open?id=15QDBiSocB949pr2bqmzk5YaK3pMYyOel</t>
  </si>
  <si>
    <t>jeenali362@gmail.com</t>
  </si>
  <si>
    <t xml:space="preserve">Jeenali Raju Bhandari </t>
  </si>
  <si>
    <t>Baramati</t>
  </si>
  <si>
    <t>https://drive.google.com/open?id=1NjncOUirH62gpK8dyiITxvAHGI7giDIP</t>
  </si>
  <si>
    <t>jilsumariya006@gmail.com</t>
  </si>
  <si>
    <t>Jil Sumariya</t>
  </si>
  <si>
    <t xml:space="preserve">Bhiwandi Maharashtra </t>
  </si>
  <si>
    <t>https://drive.google.com/open?id=1UXv6qZtkP3mTkUDsSKIsg7Kp6pxTkhOP</t>
  </si>
  <si>
    <t>punitarpita88@gmail.com</t>
  </si>
  <si>
    <t>Jinal mehta</t>
  </si>
  <si>
    <t>Khachroud</t>
  </si>
  <si>
    <t>https://drive.google.com/open?id=1IaKyue8kEK_o_e3eRHZhvV7_VQXESzBW</t>
  </si>
  <si>
    <t>shahjinali2604@gmail.com</t>
  </si>
  <si>
    <t>Jinali Shah</t>
  </si>
  <si>
    <t>https://drive.google.com/open?id=1LdNRZaL6zIZTYB_bNGMr3gxIJLnHtD8i</t>
  </si>
  <si>
    <t>jinal.jsjs@gmail.com</t>
  </si>
  <si>
    <t>Jinalkumari Ashokbhai Shah</t>
  </si>
  <si>
    <t>https://drive.google.com/open?id=17wQlQ5lpqAHyg_kXGU-VeLa0389lWd_W</t>
  </si>
  <si>
    <t>Jiyachandaliya456@gmail.com</t>
  </si>
  <si>
    <t>Jiya chandaliya</t>
  </si>
  <si>
    <t xml:space="preserve">Jaora </t>
  </si>
  <si>
    <t>https://drive.google.com/open?id=1YZFHvWvNp_bA4DSiDgomh7g-pR19TCwi</t>
  </si>
  <si>
    <t>jyotigudhka@gmil.com</t>
  </si>
  <si>
    <t>Jyoti Amrutlal Gudhka</t>
  </si>
  <si>
    <t>Bhiwandi / Maharashtra</t>
  </si>
  <si>
    <t>https://drive.google.com/open?id=1Ma24b4t8SNr_U2_UgWqXUs3mZYl-BJyJ</t>
  </si>
  <si>
    <t>kaavyaagudhka71@gmail.com</t>
  </si>
  <si>
    <t>Kaavyaa Mayuri Gudhka</t>
  </si>
  <si>
    <t>Bb</t>
  </si>
  <si>
    <t xml:space="preserve">Bhiwandi </t>
  </si>
  <si>
    <t>https://drive.google.com/open?id=1fK0dfArXu1UqIEtbYEXRJ6XqrpcZa0bh</t>
  </si>
  <si>
    <t>jain.kajal576@gmail.com</t>
  </si>
  <si>
    <t>https://drive.google.com/open?id=1vXpQS11yCSMg_2zBpUb691GG8_4GEGgc</t>
  </si>
  <si>
    <t>kari.jain05@gmail.com</t>
  </si>
  <si>
    <t xml:space="preserve">Madhya Pradesh Ratlam </t>
  </si>
  <si>
    <t>https://drive.google.com/open?id=1gci4u90s3416rw7qHcmDG7shErbqQ7TP</t>
  </si>
  <si>
    <t>jainkaruna03@gmail.com</t>
  </si>
  <si>
    <t xml:space="preserve">Mumbai maharshtra </t>
  </si>
  <si>
    <t>https://drive.google.com/open?id=1VD5MEH4Wq0qBRR-aN_xJNoPcSPgNjF5p</t>
  </si>
  <si>
    <t>kavitavardhan79@gmail.com</t>
  </si>
  <si>
    <t>Kavita Bhupendra vardhan</t>
  </si>
  <si>
    <t>Goa</t>
  </si>
  <si>
    <t>https://drive.google.com/open?id=1kf1zxIVL7wV3USoPDGwANbD_v_mlB4qw</t>
  </si>
  <si>
    <t>shahkavya212@gmail.com</t>
  </si>
  <si>
    <t>https://drive.google.com/open?id=1ruF7X6uLsjSLlc2fjjw3tOxANE4545Oz</t>
  </si>
  <si>
    <t>kotharikeshvi028@gmail.com</t>
  </si>
  <si>
    <t>Keshvi Vijay Kothari</t>
  </si>
  <si>
    <t>Maharashtra/ Mumbai</t>
  </si>
  <si>
    <t>https://drive.google.com/open?id=13hMccVK-Vbzu2MGHcoL3bVuI8teX1aOp</t>
  </si>
  <si>
    <t>jitisha169@gmail.com</t>
  </si>
  <si>
    <t xml:space="preserve">Khushboo Jain </t>
  </si>
  <si>
    <t xml:space="preserve">Mandsour </t>
  </si>
  <si>
    <t>https://drive.google.com/open?id=1pcRXvEGaYWiZ050RTmqtE-K8Tsy4BDSX</t>
  </si>
  <si>
    <t>jainshushil187@gmail.com</t>
  </si>
  <si>
    <t>Khushbu jain</t>
  </si>
  <si>
    <t xml:space="preserve">Depalpur </t>
  </si>
  <si>
    <t>https://drive.google.com/open?id=1bxEtoSQxeCVZ8MxxJ9ftxx4yozr5URjU</t>
  </si>
  <si>
    <t>jiyujan824@gmail.com</t>
  </si>
  <si>
    <t xml:space="preserve">Khushbu Jain </t>
  </si>
  <si>
    <t xml:space="preserve">Mandsaur </t>
  </si>
  <si>
    <t>https://drive.google.com/open?id=1vLv_mc_cVZIc7dNhX5ZTGo2TvzdeWpCK</t>
  </si>
  <si>
    <t>khushigandhi324@gmail.com</t>
  </si>
  <si>
    <t xml:space="preserve">Khushi Gandhi </t>
  </si>
  <si>
    <t xml:space="preserve">Maharashtra, Mumbai </t>
  </si>
  <si>
    <t>https://drive.google.com/open?id=1j2pGJEB0nf_-OXsgIAFtGmg3g5AfYqbW</t>
  </si>
  <si>
    <t>gandhikhushi988@gmail.com</t>
  </si>
  <si>
    <t xml:space="preserve">Mulund, Mumbai </t>
  </si>
  <si>
    <t>https://drive.google.com/open?id=1IMlyMVo8MTK_u4pgtVK8AU8ywTdDtiJG</t>
  </si>
  <si>
    <t>Shahhkhushi@gmail.com</t>
  </si>
  <si>
    <t>Khushi Sachinbhai Shah</t>
  </si>
  <si>
    <t>https://drive.google.com/open?id=1v12PMXM0uVxJRKOrPyHM0awGilriTcp7</t>
  </si>
  <si>
    <t>khyatipbhayani@gmail.com</t>
  </si>
  <si>
    <t>https://drive.google.com/open?id=1_TxzuBU14C0hCiNGTzILLBLwuGY-T7Ar</t>
  </si>
  <si>
    <t>kotharikinjal0911@gmail.com</t>
  </si>
  <si>
    <t>Gondia</t>
  </si>
  <si>
    <t>https://drive.google.com/open?id=1eiNW1X5Dc50ISO9fW6r3jFYAsaET2LuO</t>
  </si>
  <si>
    <t>kirtijain336@gmail.com</t>
  </si>
  <si>
    <t>Nagda jn</t>
  </si>
  <si>
    <t>https://drive.google.com/open?id=1jQm4jO9DxB1qs16B181CbnVRoqCHKHVN</t>
  </si>
  <si>
    <t>Kiyajain29@gmail.com</t>
  </si>
  <si>
    <t>Kiyanshi Jain</t>
  </si>
  <si>
    <t>Dewas</t>
  </si>
  <si>
    <t>https://drive.google.com/open?id=1rDaWLi425LxEd-QoaRNT4v-UF5Gqikon</t>
  </si>
  <si>
    <t>bhavnadangi329@gmail.com</t>
  </si>
  <si>
    <t>Kratika dangi</t>
  </si>
  <si>
    <t xml:space="preserve">Runija mandsaur </t>
  </si>
  <si>
    <t>https://drive.google.com/open?id=10lF-5p9Gb468lafYiwyMxH1Nnr7_euY8</t>
  </si>
  <si>
    <t>krinashah290304@gmail.com</t>
  </si>
  <si>
    <t>https://drive.google.com/open?id=1O6p8bVcH_k53vuV4XvH58cKcGG4L5ZLW</t>
  </si>
  <si>
    <t>navingosrani23@gmail.com</t>
  </si>
  <si>
    <t xml:space="preserve">Krinal Navin Gosrani </t>
  </si>
  <si>
    <t xml:space="preserve">Thane </t>
  </si>
  <si>
    <t>https://drive.google.com/open?id=1s2neHLweA0JHU0A0IrRBhxpffy2SlJbB</t>
  </si>
  <si>
    <t>krishagudhka02@gmail.com</t>
  </si>
  <si>
    <t xml:space="preserve">Krisha Kantilal Gudhka </t>
  </si>
  <si>
    <t xml:space="preserve">Maharashtra/ Bhiwandi </t>
  </si>
  <si>
    <t>https://drive.google.com/open?id=1nVtTbuUojIGcYmpIxtpB38PSD8QCynHz</t>
  </si>
  <si>
    <t>krishashah2376@gmail.com</t>
  </si>
  <si>
    <t>https://drive.google.com/open?id=1IqtMrOhQSsB3pjlGoizfq0NvGh3bEIZk</t>
  </si>
  <si>
    <t>krishi.gala130106@gmail.com</t>
  </si>
  <si>
    <t>Krishi deepak gala</t>
  </si>
  <si>
    <t>Tt</t>
  </si>
  <si>
    <t xml:space="preserve">Maharashtra/Mumbai </t>
  </si>
  <si>
    <t>https://drive.google.com/open?id=1r751VBuBpjpyE3vO_IbcKum5q-uHv-gw</t>
  </si>
  <si>
    <t>kriyashah621@gmail.com</t>
  </si>
  <si>
    <t xml:space="preserve">Gujarat Ahmedabad </t>
  </si>
  <si>
    <t>https://drive.google.com/open?id=1XdGo-TIdtz-E7s-e4eiRngtI6XtL-ASz</t>
  </si>
  <si>
    <t>kotharikriya1@gmail.com</t>
  </si>
  <si>
    <t>https://drive.google.com/open?id=1tIjDIUBt2Pv2Kvfj26RbBM25BSMMeuWf</t>
  </si>
  <si>
    <t>kriyarathod987@gmail.com</t>
  </si>
  <si>
    <t xml:space="preserve">KRIYA NARENDRA RATHOD </t>
  </si>
  <si>
    <t>https://drive.google.com/open?id=1okYHxL_tpHQ9reEGJ-vOmr9OBbp2fKpf</t>
  </si>
  <si>
    <t>kriyashah1902@gmail.com</t>
  </si>
  <si>
    <t>KRIYA PARESH SHAH</t>
  </si>
  <si>
    <t xml:space="preserve">Bhayander ,Mumbai </t>
  </si>
  <si>
    <t>https://drive.google.com/open?id=1m_A1Wq30vh8WxNxuQ01A6gPcSSblf7Gh</t>
  </si>
  <si>
    <t>kriyajain333@gmail.com</t>
  </si>
  <si>
    <t xml:space="preserve">Kriya viresh jain </t>
  </si>
  <si>
    <t>https://drive.google.com/open?id=1eVn4zrOPj-C4AhEcVuTyw2G0e2ZICpFu</t>
  </si>
  <si>
    <t>kmalde91@gmail.com</t>
  </si>
  <si>
    <t xml:space="preserve">Maharashtra/Bhiwandi </t>
  </si>
  <si>
    <t>https://drive.google.com/open?id=1nSfPgQ2814Ui3lEw1qPhn2sYVeHy7OMC</t>
  </si>
  <si>
    <t>kunikaranka@gmail.com</t>
  </si>
  <si>
    <t xml:space="preserve">Mandsaur Madhya Pradesh </t>
  </si>
  <si>
    <t>https://drive.google.com/open?id=1uWPbiMee_N7aw27TElR4d42WAmAybirc</t>
  </si>
  <si>
    <t>kusumbothra1433@gmail.com</t>
  </si>
  <si>
    <t xml:space="preserve">Sanchore </t>
  </si>
  <si>
    <t>https://drive.google.com/open?id=1PNCNl5umuMeonL7sFwRJ6cd9BPzscVeg</t>
  </si>
  <si>
    <t>labdhishah102005@gmail.com</t>
  </si>
  <si>
    <t>https://drive.google.com/open?id=1Oa4pEwMp4Apn-tx8e71_GzuVSQUWl1Y_</t>
  </si>
  <si>
    <t>mandowaralabdhi@gmail.com</t>
  </si>
  <si>
    <t>Labdhi Mandovara</t>
  </si>
  <si>
    <t>Madhya pradesh</t>
  </si>
  <si>
    <t>https://drive.google.com/open?id=1f-bCn3knR6AnUadmD_Id6a8TWu2q6G2x</t>
  </si>
  <si>
    <t>labdhitatia@gmail.com</t>
  </si>
  <si>
    <t>Labdhi Tatia</t>
  </si>
  <si>
    <t xml:space="preserve">Tuticorin, Tamilnadu </t>
  </si>
  <si>
    <t>https://drive.google.com/open?id=1r-u1HSeKusoF9zLuKxKuuKBd5paE-x25</t>
  </si>
  <si>
    <t>labdhi2307@gmail.com</t>
  </si>
  <si>
    <t xml:space="preserve">Vadodara, gujarati </t>
  </si>
  <si>
    <t>https://drive.google.com/open?id=1T7Zrevba9rOvYWJSDFy6TEucSFuxdPE8</t>
  </si>
  <si>
    <t>lakshitajain086@gmail.com</t>
  </si>
  <si>
    <t>Agar Malwa (Madhya Pradesh)</t>
  </si>
  <si>
    <t>https://drive.google.com/open?id=1x6sYb0dBLRMhetElIaqiP_h-mTVZ111t</t>
  </si>
  <si>
    <t>lkawediya97@gmail.com</t>
  </si>
  <si>
    <t>Lavina Kavedia</t>
  </si>
  <si>
    <t>Pptw</t>
  </si>
  <si>
    <t>Maharashtra /Mumbai</t>
  </si>
  <si>
    <t>https://drive.google.com/open?id=1ISgkL4f9YNZc7Fdm5-wHQArh38IxBUGY</t>
  </si>
  <si>
    <t>Leenajain967@gmail.com</t>
  </si>
  <si>
    <t>Leena kishorekumar jain</t>
  </si>
  <si>
    <t>Vapi gujarat</t>
  </si>
  <si>
    <t>https://drive.google.com/open?id=1W6UK6Atgdcp2fVZhsEywaZY4FEnSbDBc</t>
  </si>
  <si>
    <t>coollekhajain83@gmail.com</t>
  </si>
  <si>
    <t xml:space="preserve">Lekha Jain </t>
  </si>
  <si>
    <t xml:space="preserve">Bangalore </t>
  </si>
  <si>
    <t>https://drive.google.com/open?id=1NepBH9VHDvGR2ncxFnyi0rQdPO2LeG-g</t>
  </si>
  <si>
    <t>mahakjain1324@gmail.com</t>
  </si>
  <si>
    <t>MAHAK JAIN</t>
  </si>
  <si>
    <t>https://drive.google.com/open?id=1fOWGwSf5GHBmFMBS7B5VKD2YieHAG0Mb</t>
  </si>
  <si>
    <t>mahakmogra@gmail.com</t>
  </si>
  <si>
    <t>https://drive.google.com/open?id=1wEP-eRJkajV4ydwQr2eWEO78WyFnIOMd</t>
  </si>
  <si>
    <t>maheks2509@gmail.com</t>
  </si>
  <si>
    <t>Mahek Mahendra Shah</t>
  </si>
  <si>
    <t>https://drive.google.com/open?id=1PCeaIB_paNY7fFEfkVDTTlFviEzWXwE7</t>
  </si>
  <si>
    <t>maheknileshsanghavi@gmail.com</t>
  </si>
  <si>
    <t>Mahek Nilesh Sanghavi</t>
  </si>
  <si>
    <t>https://drive.google.com/open?id=1OENUu85xKOJKXSYI4FJWfBCXZ29Pim7X</t>
  </si>
  <si>
    <t>jainmahi714@gmail.com</t>
  </si>
  <si>
    <t>Mahi jain (6494 4679 5478)</t>
  </si>
  <si>
    <t>Mp (indore)</t>
  </si>
  <si>
    <t>https://drive.google.com/open?id=1JlHqYrJWfojwKqDFcIdWi4Oyic8xXeXt</t>
  </si>
  <si>
    <t>mahisanghavi725@gmail.com</t>
  </si>
  <si>
    <t>https://drive.google.com/open?id=1enadrCReO8DC6NWnnMbiogAPVM440Z0u</t>
  </si>
  <si>
    <t>sethiyamahi378@gmail.com</t>
  </si>
  <si>
    <t xml:space="preserve">Barisadri (Chittorgarh) Rajasthan </t>
  </si>
  <si>
    <t>https://drive.google.com/open?id=1TKfh46Wjd0w5Hs6JrFozsfmSn8CkAxC0</t>
  </si>
  <si>
    <t>soni9822335275@gmail.com</t>
  </si>
  <si>
    <t xml:space="preserve">Barshi </t>
  </si>
  <si>
    <t>https://drive.google.com/open?id=1f7v2qMpmBQJz2LjP608Uyw-7nBNhperk</t>
  </si>
  <si>
    <t>maitrishah180804@gmail.com</t>
  </si>
  <si>
    <t>Maitri shantilal nagda</t>
  </si>
  <si>
    <t>Bhiwandi, thane, mumbai, Maharashtra</t>
  </si>
  <si>
    <t>https://drive.google.com/open?id=1qW4kS7yS5yKrxoljCM_8GCHJZSuFEvaU</t>
  </si>
  <si>
    <t>mamataashah18@gmail.com</t>
  </si>
  <si>
    <t>Mamata Ankit Shah</t>
  </si>
  <si>
    <t xml:space="preserve">Pune Maharashtra </t>
  </si>
  <si>
    <t>https://drive.google.com/open?id=11h11wM6vDdGrSOKKvRyIOIJYRbUYRjHG</t>
  </si>
  <si>
    <t>mamtaajain.a6@gmail.com</t>
  </si>
  <si>
    <t>Karnataka</t>
  </si>
  <si>
    <t>https://drive.google.com/open?id=1dZ4ZFl9SmzTjFLAUzQ9v4wsNq2mDTniU</t>
  </si>
  <si>
    <t>tiyabhadviya5078@gmail.com</t>
  </si>
  <si>
    <t>Manasvi P Bhadviya</t>
  </si>
  <si>
    <t>Gujrat / Surat</t>
  </si>
  <si>
    <t>https://drive.google.com/open?id=1tvaGhY2316WHJir-GWZKb_MyJHBsR4vS</t>
  </si>
  <si>
    <t>himaniseth878@gmail.com</t>
  </si>
  <si>
    <t xml:space="preserve">Udaipur rajasthan </t>
  </si>
  <si>
    <t>https://drive.google.com/open?id=18h7MImxgRj-b4S_ED1wz57F6n82Gie-4</t>
  </si>
  <si>
    <t>mansi.masalia@gmail.com</t>
  </si>
  <si>
    <t>Mansi viral maniar</t>
  </si>
  <si>
    <t xml:space="preserve">WID </t>
  </si>
  <si>
    <t>https://drive.google.com/open?id=1ZgxaCYX-CkH2UDSNQ3nl3w9VGvtm7_j-</t>
  </si>
  <si>
    <t>mahiora94@gmail.com</t>
  </si>
  <si>
    <t>Mayuri ora</t>
  </si>
  <si>
    <t>Barnagar</t>
  </si>
  <si>
    <t>https://drive.google.com/open?id=1Vp-XjiT2CmcHbLMj5KRFleajxKpBl2Nt</t>
  </si>
  <si>
    <t>b.megha93@gmail.com</t>
  </si>
  <si>
    <t>Megha Dhaval Parekh</t>
  </si>
  <si>
    <t>https://drive.google.com/open?id=1_0093nf3Sf6JTmmVe5u1-3eIqDBrf-wf</t>
  </si>
  <si>
    <t>rajatjain.rj971@gmail.com</t>
  </si>
  <si>
    <t xml:space="preserve">Misthi vanvat </t>
  </si>
  <si>
    <t xml:space="preserve">M.P khachrod </t>
  </si>
  <si>
    <t>https://drive.google.com/open?id=1jFuhLX9yTbUv-YPkTka1-JwBcblHtM3u</t>
  </si>
  <si>
    <t>miti.a.maniar@gmail.com</t>
  </si>
  <si>
    <t>Miti Ankit Maniar</t>
  </si>
  <si>
    <t>https://drive.google.com/open?id=1q3iMC3K92Z4Mb_VqIdZpUYqef3fz74AQ</t>
  </si>
  <si>
    <t>kmoksha09@gmail.com</t>
  </si>
  <si>
    <t xml:space="preserve">Rajgarh Madhya Pradesh </t>
  </si>
  <si>
    <t>https://drive.google.com/open?id=1KasWtijzcdnGLijCsLkQMitUYlViT5mE</t>
  </si>
  <si>
    <t>mokshadhami8062@gmail.com</t>
  </si>
  <si>
    <t>Maharashtra - Dombivali</t>
  </si>
  <si>
    <t>https://drive.google.com/open?id=1FnhIwqe26zUTRqKvXLYz9887lQkYjDWt</t>
  </si>
  <si>
    <t>mokshapatwa@gmail.com</t>
  </si>
  <si>
    <t xml:space="preserve">Moksha patwa </t>
  </si>
  <si>
    <t xml:space="preserve">Anand </t>
  </si>
  <si>
    <t>https://drive.google.com/open?id=1vptdzLmAKkXJSo1I2W55W-xdt0DLANVv</t>
  </si>
  <si>
    <t>modimonika168@gmail.com</t>
  </si>
  <si>
    <t xml:space="preserve">Depalpur indore </t>
  </si>
  <si>
    <t>https://drive.google.com/open?id=1c7G83d4m0gS77xJMB19v2YyPZ7FjrFEb</t>
  </si>
  <si>
    <t>monikabafna08@gmail.com</t>
  </si>
  <si>
    <t xml:space="preserve">Monika Jain S </t>
  </si>
  <si>
    <t>https://drive.google.com/open?id=1Ll1aQne425LxIYsKagRUIL0C4qsj2tss</t>
  </si>
  <si>
    <t>monika.jain.0903@gmail.com</t>
  </si>
  <si>
    <t xml:space="preserve">Monika Rajendra Khivsara </t>
  </si>
  <si>
    <t>https://drive.google.com/open?id=1LkY67rENy-3fd9KV2pi03wjx3bPoWW_3</t>
  </si>
  <si>
    <t>moxadoshi1610@gmail.com</t>
  </si>
  <si>
    <t>Moxa Jignesh Doshi</t>
  </si>
  <si>
    <t>https://drive.google.com/open?id=1Xxuj_P-AurW9eZhGZK6xnC4x-U4Il562</t>
  </si>
  <si>
    <t>mansi.shah151977@gmail.com</t>
  </si>
  <si>
    <t xml:space="preserve">Navya Amesh Shah </t>
  </si>
  <si>
    <t>Maharashtra mumbai</t>
  </si>
  <si>
    <t>https://drive.google.com/open?id=1GHoF2Y0kmUW7grwCKevELSViLzAzZyeK</t>
  </si>
  <si>
    <t>nehajain07m@gmail.com</t>
  </si>
  <si>
    <t>https://drive.google.com/open?id=17ONIpdvLiIi5Z1QbgP9CIObTi1PbtRFM</t>
  </si>
  <si>
    <t>nj8994687@gmail.com</t>
  </si>
  <si>
    <t xml:space="preserve">Nidhi Ravindra Jain </t>
  </si>
  <si>
    <t>https://drive.google.com/open?id=1Pu7cQBdB1LB2lPj5wIx-5ASAinIpU2QN</t>
  </si>
  <si>
    <t>nikipritesh0402@gmail.com</t>
  </si>
  <si>
    <t>https://drive.google.com/open?id=1CLKZ0nY5JG1MRg4q1Hh1jijPcVIw4ZQm</t>
  </si>
  <si>
    <t>niklesh1804@gmail.com</t>
  </si>
  <si>
    <t>Nikita Alkesh shah</t>
  </si>
  <si>
    <t>https://drive.google.com/open?id=1sCJ4RM18VyiVIRtyt1g5KcJTJwTNuaE-</t>
  </si>
  <si>
    <t>niraligudhka1@gmail.com</t>
  </si>
  <si>
    <t>Maharashtra Bhiwandi</t>
  </si>
  <si>
    <t>https://drive.google.com/open?id=1jNytwAN86p1CpZG7DtlmoLsrgZKMCKBe</t>
  </si>
  <si>
    <t>nishibhimonee@icloud.com</t>
  </si>
  <si>
    <t>https://drive.google.com/open?id=1qg4dUfQzG0bPLxflkt-HJNOL8IVdDi_P</t>
  </si>
  <si>
    <t>nupur.shah0710@gmail.com</t>
  </si>
  <si>
    <t>Nupur Dhirendra Shah</t>
  </si>
  <si>
    <t>Maharashtra- Mumbai</t>
  </si>
  <si>
    <t>https://drive.google.com/open?id=1OkV0sr2PaZrqhNmTAeOR7-Ni53pmkjyE</t>
  </si>
  <si>
    <t>shahpal77081@gmail.com</t>
  </si>
  <si>
    <t xml:space="preserve">Palak Jayesh Dodhia </t>
  </si>
  <si>
    <t>https://drive.google.com/open?id=1JGG82TNoAZI8nxzIW1nWZ2zW4g_evf0w</t>
  </si>
  <si>
    <t>nayakpalak03@gmail.com</t>
  </si>
  <si>
    <t xml:space="preserve">Palghar </t>
  </si>
  <si>
    <t>https://drive.google.com/open?id=1rCL4IF45tNwpSOQzwBM7nJLRLEAsB4pi</t>
  </si>
  <si>
    <t>palakgosrani12@gmail.com</t>
  </si>
  <si>
    <t>Palak shailesh gosrani</t>
  </si>
  <si>
    <t>Bhiwandi</t>
  </si>
  <si>
    <t>https://drive.google.com/open?id=13OlbmMltwQ3XdUOhcPiScjY95u5Igr6B</t>
  </si>
  <si>
    <t>pallavirohitdagariya@gmail.com</t>
  </si>
  <si>
    <t>Pallavi jain</t>
  </si>
  <si>
    <t>https://drive.google.com/open?id=1da6T3uluUg3uuTibZ4I1Pq7P8Vtw8FY0</t>
  </si>
  <si>
    <t>baparekh23@gmail.com</t>
  </si>
  <si>
    <t>Vadodara, Gujarat</t>
  </si>
  <si>
    <t>https://drive.google.com/open?id=1EZFgRtoyg2Ylv-8HIo2HZID2VEAtyHog</t>
  </si>
  <si>
    <t>paridhichopra2606@gmail.com</t>
  </si>
  <si>
    <t xml:space="preserve">Paridhi chopra </t>
  </si>
  <si>
    <t>Badnawar (Dhar)</t>
  </si>
  <si>
    <t>https://drive.google.com/open?id=1RNUkQ4YE2vkVrsb0cbB0i6LG_lTbEaId</t>
  </si>
  <si>
    <t>delta.education.bhuj@gmail.com</t>
  </si>
  <si>
    <t>Gujarat</t>
  </si>
  <si>
    <t>https://drive.google.com/open?id=10YtDu2_D7yd_8hKedjUGZ1ANIvsnt32Q</t>
  </si>
  <si>
    <t>payalbaradia2921@gmail.com</t>
  </si>
  <si>
    <t xml:space="preserve">Payal Jain baradia </t>
  </si>
  <si>
    <t xml:space="preserve">Maharashtra Gondia </t>
  </si>
  <si>
    <t>https://drive.google.com/open?id=1qMxCsI8j9IJtcuj8RBRa_0U8c-3q5-7p</t>
  </si>
  <si>
    <t>payalgosrani96@gmail.com</t>
  </si>
  <si>
    <t xml:space="preserve">Maharashtra Bhiwandi </t>
  </si>
  <si>
    <t>https://drive.google.com/open?id=1vwGPqk8llu1WH3OclRHYOFwQm93_ZVMh</t>
  </si>
  <si>
    <t>paleshapayal1499@gmail.com</t>
  </si>
  <si>
    <t xml:space="preserve">Payal Vinod Palesha </t>
  </si>
  <si>
    <t xml:space="preserve">Dhule Maharashtra </t>
  </si>
  <si>
    <t>https://drive.google.com/open?id=1mukeBSfKWDU3KxCCbUrPpX2SA5ngx0Lu</t>
  </si>
  <si>
    <t>poojajkhariya@gmail.com</t>
  </si>
  <si>
    <t xml:space="preserve">Pooja Ashok Jakhariya </t>
  </si>
  <si>
    <t>https://drive.google.com/open?id=1ioJAeyMfNgN0gAIwet7k1pKHG5YdITPP</t>
  </si>
  <si>
    <t>jain.pooja9312@gmail.com</t>
  </si>
  <si>
    <t>Ratlam</t>
  </si>
  <si>
    <t>https://drive.google.com/open?id=1_qhK1zCFc2IZVQmNRbIC3xB5A9VNaIt6</t>
  </si>
  <si>
    <t>dodhiapooja9@gmail.com</t>
  </si>
  <si>
    <t xml:space="preserve">Pooja kalpesh dodhia </t>
  </si>
  <si>
    <t xml:space="preserve">Bhiwandi maharashtra </t>
  </si>
  <si>
    <t>https://drive.google.com/open?id=1vEwEjAotC25WTEMDriLTC1zi-R_h0FqE</t>
  </si>
  <si>
    <t>prachikamdar2612@gmail.com</t>
  </si>
  <si>
    <t>Rajkot Gujarat</t>
  </si>
  <si>
    <t>https://drive.google.com/open?id=1oj-iDlJXjog5kHp_psdgfs0Ht-3DNlJs</t>
  </si>
  <si>
    <t>prachikochar98@gmail.com</t>
  </si>
  <si>
    <t xml:space="preserve">Prachi kochar </t>
  </si>
  <si>
    <t xml:space="preserve">Chhattisgarh </t>
  </si>
  <si>
    <t>https://drive.google.com/open?id=14KHd5DtLJA1FiEElOO700io2Iapq-wzL</t>
  </si>
  <si>
    <t>mehtaprachi773@gmail.com</t>
  </si>
  <si>
    <t xml:space="preserve">Indore Madhya Pradesh </t>
  </si>
  <si>
    <t>https://drive.google.com/open?id=1UJurgGD__k4iR_rGOUqzrWCqQ5mXNQ6S</t>
  </si>
  <si>
    <t>prachi262718@gmail.com</t>
  </si>
  <si>
    <t>https://drive.google.com/open?id=1EAAWvLRAAS3UsX1CopLIodWjitnrQ9I4</t>
  </si>
  <si>
    <t>hariaprachii2601@gmail.com</t>
  </si>
  <si>
    <t>Prachi Shailes Haria</t>
  </si>
  <si>
    <t>https://drive.google.com/open?id=1p132c0CrDkJ8JTwASBtclKla1AzuZ0qC</t>
  </si>
  <si>
    <t>pragyajainn01@gmail.com</t>
  </si>
  <si>
    <t xml:space="preserve">Durg, chhattisgarh </t>
  </si>
  <si>
    <t>https://drive.google.com/open?id=18lk26I_a7_hCmDl33bmojpGNHLR9O1HE</t>
  </si>
  <si>
    <t>pranalirajubhandari@gmail.com</t>
  </si>
  <si>
    <t xml:space="preserve">Pranali Raju Bhandari </t>
  </si>
  <si>
    <t xml:space="preserve">Maharashtra - baramati </t>
  </si>
  <si>
    <t>https://drive.google.com/open?id=1P8VEwP_3XIN06UsRFYkcmTQzRK17KVZl</t>
  </si>
  <si>
    <t>reachtopranjal@gmail.com</t>
  </si>
  <si>
    <t xml:space="preserve">Bangalore, Karnataka </t>
  </si>
  <si>
    <t>https://drive.google.com/open?id=1KGF5-2nRyvxcgTWstUTPZQixYb9i6NMo</t>
  </si>
  <si>
    <t>khinvesarapratika@gmail.com</t>
  </si>
  <si>
    <t>PRATIKA PRAKASH KHINVESARA</t>
  </si>
  <si>
    <t>GUJARAT</t>
  </si>
  <si>
    <t>https://drive.google.com/open?id=1leAlfkrYCwCVvQWfLciNXIzH0h3pQwJZ</t>
  </si>
  <si>
    <t>prekshabarmat2016@gmail.com</t>
  </si>
  <si>
    <t xml:space="preserve">Preksha Barmat </t>
  </si>
  <si>
    <t xml:space="preserve">SC </t>
  </si>
  <si>
    <t>https://drive.google.com/open?id=1f0bNFRxtHtG7CRpXUNI4mRjGvx68F7b3</t>
  </si>
  <si>
    <t>prekshakanswa@gmail.com</t>
  </si>
  <si>
    <t>Preksha Kanswa</t>
  </si>
  <si>
    <t xml:space="preserve">Ratlam </t>
  </si>
  <si>
    <t>https://drive.google.com/open?id=1dC9kC9zjLWtESW48SER4PYQh7w3LblKu</t>
  </si>
  <si>
    <t>karaniyaprincy@gmail.com</t>
  </si>
  <si>
    <t>PRINCY JETAL KARANIYA</t>
  </si>
  <si>
    <t xml:space="preserve">BHIWANDI </t>
  </si>
  <si>
    <t>https://drive.google.com/open?id=1TkUqBEnsSMooP8yU7NknO-yGmU3gvcwb</t>
  </si>
  <si>
    <t>theangelgirl28@gmail.com</t>
  </si>
  <si>
    <t xml:space="preserve">Maharashtra / Mumbai </t>
  </si>
  <si>
    <t>https://drive.google.com/open?id=1A2tL2h8VO3RyJfahGziYecsweFuIv5p9</t>
  </si>
  <si>
    <t>priyalrshah17@gmail.com</t>
  </si>
  <si>
    <t>https://drive.google.com/open?id=1PYrQkvBZ1bbPLzOvnI7oCQl5FRqVnMty</t>
  </si>
  <si>
    <t>sarikashahsss@gmail.com</t>
  </si>
  <si>
    <t>Priyal Sandeep Shah</t>
  </si>
  <si>
    <t xml:space="preserve">Maharashtra kolhapur </t>
  </si>
  <si>
    <t>https://drive.google.com/open?id=1qeIyiT8s0C2Myeb3UEpnDm_uh3P-f5ot</t>
  </si>
  <si>
    <t>priyal.shah616@gmail.com</t>
  </si>
  <si>
    <t>https://drive.google.com/open?id=1dYGOWkLxKA9d6SoxxQgZqxxdBBe0KC89</t>
  </si>
  <si>
    <t>priyalmehta670@gmail.com</t>
  </si>
  <si>
    <t>https://drive.google.com/open?id=1YXmcRh8Uhl5689EGg8YiC8qnd_SMpGxW</t>
  </si>
  <si>
    <t>gelda.priyanka89@gmail.com</t>
  </si>
  <si>
    <t xml:space="preserve">Mp khachrod </t>
  </si>
  <si>
    <t>https://drive.google.com/open?id=1YZvHvBGNVbFRmY0o5yNMIYLDdHHxJFUh</t>
  </si>
  <si>
    <t>priyankakavedia1@gmail.com</t>
  </si>
  <si>
    <t>https://drive.google.com/open?id=1wtcHlAsQfYkg-ztH1j2_FrCKsrPBHKWE</t>
  </si>
  <si>
    <t>priyanshimodi01@gmail.com</t>
  </si>
  <si>
    <t>Priyanshi Modi</t>
  </si>
  <si>
    <t>https://drive.google.com/open?id=1oT750OsRe6h-JtnBQk6G7dIwpsuuGXCY</t>
  </si>
  <si>
    <t>priyanthamjain@gmail.com</t>
  </si>
  <si>
    <t>Priyantham R Jain</t>
  </si>
  <si>
    <t>Karnataka Bangalore</t>
  </si>
  <si>
    <t>https://drive.google.com/open?id=1oZLMH2Ri7fh0d6eUKftx-iGLYNF3sX5i</t>
  </si>
  <si>
    <t>purva1618@gmail.com</t>
  </si>
  <si>
    <t xml:space="preserve">Purva Jain </t>
  </si>
  <si>
    <t>https://drive.google.com/open?id=1UjM4ohVs_FtyeTvB3vfeSt46yFjN5iUt</t>
  </si>
  <si>
    <t>purvidangi1304@gmail.com</t>
  </si>
  <si>
    <t>Purvi dangi</t>
  </si>
  <si>
    <t>Nimbahera (Raj.)</t>
  </si>
  <si>
    <t>https://drive.google.com/open?id=1NWbbnlJtJ63g39isgyuXtm5gGRYrtdlF</t>
  </si>
  <si>
    <t>purvikhivasara2005@gmail.com</t>
  </si>
  <si>
    <t xml:space="preserve">Purvi Kishor Khivasara </t>
  </si>
  <si>
    <t>https://drive.google.com/open?id=1snmXTe3Tqb3hHnBN2Dq_oN_3odaf-gnx</t>
  </si>
  <si>
    <t>raashijain108@gmail.com</t>
  </si>
  <si>
    <t>https://drive.google.com/open?id=17asM14iLPatgk7fVAPphENGj-xjdqgXS</t>
  </si>
  <si>
    <t>rajviddedhia50@gmail.com</t>
  </si>
  <si>
    <t xml:space="preserve">Rajvi Dilip Dedhia </t>
  </si>
  <si>
    <t>Mumbai , Maharashtra</t>
  </si>
  <si>
    <t>https://drive.google.com/open?id=1i8hI4T6UQsnW4Sm-K1a-49CrnZ3UpIpj</t>
  </si>
  <si>
    <t>rakshitajain2310@gmail.com</t>
  </si>
  <si>
    <t>Mandsaur, MP</t>
  </si>
  <si>
    <t>https://drive.google.com/open?id=1nTym023YsSIey-8Esbq-JCX2Pc4uU9QL</t>
  </si>
  <si>
    <t>vishhshroff@gmail.com</t>
  </si>
  <si>
    <t>Valsad</t>
  </si>
  <si>
    <t>https://drive.google.com/open?id=1-JSwg_Bn_rpmqPvbakmHehtcC1sp8R79</t>
  </si>
  <si>
    <t>reenakakaria1979@gmail.com</t>
  </si>
  <si>
    <t>Reena Shrenik Kakaria</t>
  </si>
  <si>
    <t>https://drive.google.com/open?id=138_grmmQPuAhmiREknNUT3AIBVXeeMBb</t>
  </si>
  <si>
    <t>riddhitatia01@gmail.com</t>
  </si>
  <si>
    <t>RIDDHI TATIA</t>
  </si>
  <si>
    <t>Indore, MP</t>
  </si>
  <si>
    <t>https://drive.google.com/open?id=1GmjKr__nHbbeDaoqjHwg7HD2Q7GT0LPb</t>
  </si>
  <si>
    <t>sethiyariddhisethiya@gmail.com</t>
  </si>
  <si>
    <t>Riddhima Sethiya</t>
  </si>
  <si>
    <t xml:space="preserve">Barisadri Chittorgarh </t>
  </si>
  <si>
    <t>https://drive.google.com/open?id=1RA69cftdkDj9dQzu-HfHRoMeJHoaOT4X</t>
  </si>
  <si>
    <t>jainridhhima@gmail.com</t>
  </si>
  <si>
    <t>Ridhhima Jain</t>
  </si>
  <si>
    <t>Agar Malwa Mp</t>
  </si>
  <si>
    <t>https://drive.google.com/open?id=1U5rckicA19RRHhTOJuEezy_UsSbliDVg</t>
  </si>
  <si>
    <t>ritika060820@gmail.com</t>
  </si>
  <si>
    <t xml:space="preserve">Ritika Jain </t>
  </si>
  <si>
    <t>https://drive.google.com/open?id=1Myqvd2X2Vo7z1wdxUgfUvsA673b3IKBM</t>
  </si>
  <si>
    <t>rjriyajain9320@gmail.com</t>
  </si>
  <si>
    <t xml:space="preserve">RIYA JAIN GANDHI </t>
  </si>
  <si>
    <t>https://drive.google.com/open?id=10rx2VRP-TYTySSOgPvm6QlCbgS2xvZsW</t>
  </si>
  <si>
    <t>riyaagandhii22@gmail.com</t>
  </si>
  <si>
    <t xml:space="preserve">Riya Mitul Gandhi </t>
  </si>
  <si>
    <t>https://drive.google.com/open?id=1HBls6MqrI7EhvRLgXvE8KESYxKCWNlyn</t>
  </si>
  <si>
    <t>aryanpatwa609@gmail.com</t>
  </si>
  <si>
    <t>Riya patawa</t>
  </si>
  <si>
    <t>https://drive.google.com/open?id=1DVSgH8lhD1ZgXirkppC2NcOlnz5XSQWw</t>
  </si>
  <si>
    <t>riyaseth8824@gmail.com</t>
  </si>
  <si>
    <t xml:space="preserve">Rajsamand </t>
  </si>
  <si>
    <t>https://drive.google.com/open?id=1bBgeAfArxExago0Z_PfqG9eufNYvFx7m</t>
  </si>
  <si>
    <t>ruchikakothari989@gmai.com</t>
  </si>
  <si>
    <t>Ruchika jain</t>
  </si>
  <si>
    <t>Rajasthan</t>
  </si>
  <si>
    <t>https://drive.google.com/open?id=1hsqgh4vjWvJEkPrHymNKpXSTax2X0nme</t>
  </si>
  <si>
    <t>sachishah2612@gmail.com</t>
  </si>
  <si>
    <t xml:space="preserve">Kolhapur, Maharashtra </t>
  </si>
  <si>
    <t>https://drive.google.com/open?id=1D4n2jPXeAl8hhEjLtRNg8FVBI_L3liSn</t>
  </si>
  <si>
    <t>shahsakshi002@gmail.com</t>
  </si>
  <si>
    <t>Sakshi Chetan Shah</t>
  </si>
  <si>
    <t>https://drive.google.com/open?id=1IbhzsAgRzvWA-E1i9V6MhjfqJ9-lW-C8</t>
  </si>
  <si>
    <t>sakshichhajed23@gmail.com</t>
  </si>
  <si>
    <t>Sakshi chhajed</t>
  </si>
  <si>
    <t>Khachrod</t>
  </si>
  <si>
    <t>https://drive.google.com/open?id=1fRVptpmIxe-SOWimz4gKnjz-4xd6xqpN</t>
  </si>
  <si>
    <t>sakshijain1623@gmail.com</t>
  </si>
  <si>
    <t>Sakshi Jain</t>
  </si>
  <si>
    <t xml:space="preserve">Jodhpur Rajasthan </t>
  </si>
  <si>
    <t>https://drive.google.com/open?id=1NInYPdrkc2he29atjjQvx2iC8L4minL_</t>
  </si>
  <si>
    <t>sakshijain1383@gmail.com</t>
  </si>
  <si>
    <t>https://drive.google.com/open?id=1letRcO4pCWFEza0-_0xvbkIsVRT8zirL</t>
  </si>
  <si>
    <t>salonigandhi352@gmail.com</t>
  </si>
  <si>
    <t xml:space="preserve">Saloni gandhi </t>
  </si>
  <si>
    <t>Bori, Alirajpur.</t>
  </si>
  <si>
    <t>https://drive.google.com/open?id=1lh_updHJBeVFj18gpy7iF2ZgHw2tGBVi</t>
  </si>
  <si>
    <t>saloni9302@gmail.com</t>
  </si>
  <si>
    <t>Saloni jain</t>
  </si>
  <si>
    <t>Sukheda</t>
  </si>
  <si>
    <t>https://drive.google.com/open?id=1Pn0ANV3jkunx_wy4YhZCR_5L5__lEB0v</t>
  </si>
  <si>
    <t>salonipavecha11@gmail.com</t>
  </si>
  <si>
    <t>SALONI JAIN</t>
  </si>
  <si>
    <t>SURAT GUJARAT</t>
  </si>
  <si>
    <t>https://drive.google.com/open?id=1eUMhqmnQLQjCdyCsiiMKtFlp2jSBx_vV</t>
  </si>
  <si>
    <t>sanvishah0201@gmail.com</t>
  </si>
  <si>
    <t>Kolhapur</t>
  </si>
  <si>
    <t>https://drive.google.com/open?id=1xD8mMVztJWoSBak411mo8XrYz7bRrW6u</t>
  </si>
  <si>
    <t>seemavikasjain0110@gmail.com</t>
  </si>
  <si>
    <t xml:space="preserve">Mumbai/Maharashtra </t>
  </si>
  <si>
    <t>https://drive.google.com/open?id=1E4aiAmpuGTry7VsAIBPEmnVy23vr432d</t>
  </si>
  <si>
    <t>dhirshah09@gmail.com</t>
  </si>
  <si>
    <t>Shah Aarna Hirenkumar</t>
  </si>
  <si>
    <t>Mehsana</t>
  </si>
  <si>
    <t>https://drive.google.com/open?id=1HCpgRtQSMj4AUEuv7jvRMQbRRajWdQZ4</t>
  </si>
  <si>
    <t>ayushishah10704@gmail.con</t>
  </si>
  <si>
    <t>Shah Ayushi</t>
  </si>
  <si>
    <t>https://drive.google.com/open?id=1tDMwP9njEgn97Ubw4waJkz_007w7CT8A</t>
  </si>
  <si>
    <t>shahdras486@gmail.com</t>
  </si>
  <si>
    <t>Shah Drashti Jignesh</t>
  </si>
  <si>
    <t>Gujarat, Vapi</t>
  </si>
  <si>
    <t>https://drive.google.com/open?id=1rB831Ma3p8NuJvg_L-3vzc99oj5oNi4z</t>
  </si>
  <si>
    <t>shahdrashti4123@gmail.com</t>
  </si>
  <si>
    <t xml:space="preserve">Shah Drashti Timirkumar </t>
  </si>
  <si>
    <t xml:space="preserve">Gujarat,Anand </t>
  </si>
  <si>
    <t>https://drive.google.com/open?id=1Bq9yKp3-sB8IsFWimJgor_8PsdgtzbeQ</t>
  </si>
  <si>
    <t>ishashah1842@gmail.com</t>
  </si>
  <si>
    <t>Shah isha divyang kumar</t>
  </si>
  <si>
    <t xml:space="preserve">Ahemdabad gujarat </t>
  </si>
  <si>
    <t>https://drive.google.com/open?id=1RIeTFPmMTWKE5frObn_KcwhvcTLP1VJ8</t>
  </si>
  <si>
    <t>labdhishah202@gmail.com</t>
  </si>
  <si>
    <t xml:space="preserve">Shah Labdhi Nipulkumar </t>
  </si>
  <si>
    <t xml:space="preserve">Ahmedabad, Gujarat </t>
  </si>
  <si>
    <t>https://drive.google.com/open?id=1cs-Zbr1fc4Lc0bjbVNVCTDxnde_god3g</t>
  </si>
  <si>
    <t>shahmahiu337@gmail.com</t>
  </si>
  <si>
    <t>Shah Mahii Jigneshbhai</t>
  </si>
  <si>
    <t>https://drive.google.com/open?id=1xlkw00dUKDDtKNdOcQa_92w2kN0DwvPg</t>
  </si>
  <si>
    <t>shahsiya116@gmail.com</t>
  </si>
  <si>
    <t xml:space="preserve">Shah Siya Sachin </t>
  </si>
  <si>
    <t>https://drive.google.com/open?id=1ZxQgUCivlo9GlIV66G86acSiN0Wdy134</t>
  </si>
  <si>
    <t>shahyesha68@gmail.com</t>
  </si>
  <si>
    <t>https://drive.google.com/open?id=1XIGEF-DqzKOyREJFU1AI-zmDdCT0mhg0</t>
  </si>
  <si>
    <t>shahshailee09@gmail.com</t>
  </si>
  <si>
    <t>Shahshailee09@gmail.com</t>
  </si>
  <si>
    <t>https://drive.google.com/open?id=1dr0alW5H49CXj6iJ5NUqEhcG0F0poSuW</t>
  </si>
  <si>
    <t>shalubothara@gmail.com</t>
  </si>
  <si>
    <t>Rajasthan sanchore</t>
  </si>
  <si>
    <t>https://drive.google.com/open?id=1j6GXWoXl18C4tCeeHoc_ogjF_Ufq-8l6</t>
  </si>
  <si>
    <t>shilpabhandari11@gmail.com</t>
  </si>
  <si>
    <t>Shilpa Bafna</t>
  </si>
  <si>
    <t>https://drive.google.com/open?id=1vTER4Dpr6ZfOwvXsfc7b7BXT3cCQTSZw</t>
  </si>
  <si>
    <t>yogitlodha31@gmail.com</t>
  </si>
  <si>
    <t>Shilpa pawan lodha</t>
  </si>
  <si>
    <t xml:space="preserve">Mira road </t>
  </si>
  <si>
    <t>https://drive.google.com/open?id=1b0WYowIWpac1q48LycMsBTlMoIK0txJk</t>
  </si>
  <si>
    <t>bafnashivani2206@gmail.com</t>
  </si>
  <si>
    <t>Shivani Bafna</t>
  </si>
  <si>
    <t>Madhya Pradesh</t>
  </si>
  <si>
    <t>https://drive.google.com/open?id=1sWkCilQViyaDrA3y8rtWyOrjUAGgL-lK</t>
  </si>
  <si>
    <t>shraddhapalrecha@gmail.com</t>
  </si>
  <si>
    <t>Shraddha palrecha</t>
  </si>
  <si>
    <t>Bajna district ratlam ( Madhya Pradesh)</t>
  </si>
  <si>
    <t>https://drive.google.com/open?id=1GNICRNBvoOyF2dC_2G-aSg9ISikON033</t>
  </si>
  <si>
    <t>shraddhakulkarni77@gmail.com</t>
  </si>
  <si>
    <t xml:space="preserve">Shraddha Parekh </t>
  </si>
  <si>
    <t>https://drive.google.com/open?id=1atTJJsBKucpvQDqrYzIAt1_rhrFvo4uU</t>
  </si>
  <si>
    <t>Simpijain7@gmail.com</t>
  </si>
  <si>
    <t>SHREE JAIN</t>
  </si>
  <si>
    <t>https://drive.google.com/open?id=1u3cUGkr13HK5htYIhy9I9E3PRo0Zd2Hd</t>
  </si>
  <si>
    <t>dedhiashrusti@gmail.com</t>
  </si>
  <si>
    <t>https://drive.google.com/open?id=1VPUMcPDgRaWgzYK6vVRd44g2frJbizzA</t>
  </si>
  <si>
    <t>shrutikothari594@gmail.com</t>
  </si>
  <si>
    <t xml:space="preserve">Shruti mukesh kothari </t>
  </si>
  <si>
    <t>https://drive.google.com/open?id=1GjRmmt9pT3PxcR2osxkHltN0CHJmF0pG</t>
  </si>
  <si>
    <t>shrutinahar.21@gmail.com</t>
  </si>
  <si>
    <t>https://drive.google.com/open?id=1fn2FdTvil0EOkuYI4g6hqICR7RmlgxHR</t>
  </si>
  <si>
    <t>shwetabohra210@gmail.com</t>
  </si>
  <si>
    <t>https://drive.google.com/open?id=1K4kudGpfbwb0q9HFCmRRLNyQGYghWfCP</t>
  </si>
  <si>
    <t>jainsiddhi208@gmail.com</t>
  </si>
  <si>
    <t>Siddhi Sanjay Jain</t>
  </si>
  <si>
    <t xml:space="preserve">Maharashtra / Pune </t>
  </si>
  <si>
    <t>https://drive.google.com/open?id=1q-mEWtL2nehkc0Ap7kPJejeEAwxUwBRy</t>
  </si>
  <si>
    <t>jainsomya406@gmail.com</t>
  </si>
  <si>
    <t>M.P / Mehidpur Road</t>
  </si>
  <si>
    <t>https://drive.google.com/open?id=1_nhLgTpmFPbMQ-y6FRly1dbB3W40JQv-</t>
  </si>
  <si>
    <t>disharthshah5@gmail.com</t>
  </si>
  <si>
    <t>https://drive.google.com/open?id=1vpNs52NGmqGVp5s9V6mJvRx_g538qiUU</t>
  </si>
  <si>
    <t>sonamdharod7@yahoo.com</t>
  </si>
  <si>
    <t>Sonam Dharod</t>
  </si>
  <si>
    <t>https://drive.google.com/open?id=1cXH6R82NxvjBog8gAPdKwPQslguODA_y</t>
  </si>
  <si>
    <t>sonam.nav@gmail.com</t>
  </si>
  <si>
    <t>SONAM JAIN</t>
  </si>
  <si>
    <t>M.P.</t>
  </si>
  <si>
    <t>https://drive.google.com/open?id=1B0vG1zRZLZ_L1sRIM5FzZ544lPR6swMv</t>
  </si>
  <si>
    <t>lokujain28@gmail.com</t>
  </si>
  <si>
    <t>Not given</t>
  </si>
  <si>
    <t xml:space="preserve">Maharashtra /Mumbai </t>
  </si>
  <si>
    <t>https://drive.google.com/open?id=1oAcCB_wddzKfx7yPY6pPoQd5FS5gFzRW</t>
  </si>
  <si>
    <t>doshi.sonam@yahoo.in</t>
  </si>
  <si>
    <t xml:space="preserve">Sonam lokesh Jain </t>
  </si>
  <si>
    <t>sC</t>
  </si>
  <si>
    <t>https://drive.google.com/open?id=1kqlkuvXSY4uCKKRJG9BHuGNTKoBsC99u</t>
  </si>
  <si>
    <t>shahsrushti15@gmail.com</t>
  </si>
  <si>
    <t>https://drive.google.com/open?id=15j5ntIgd9VFYo5goH7XqX4LS_3yhJ8Wz</t>
  </si>
  <si>
    <t>jainsuhani112@gmail.com</t>
  </si>
  <si>
    <t xml:space="preserve">Barnagar </t>
  </si>
  <si>
    <t>https://drive.google.com/open?id=1gvdXlfK02D9T_O2FAgIVE16WZk4D11E7</t>
  </si>
  <si>
    <t>sweta786@gmail.com</t>
  </si>
  <si>
    <t>https://drive.google.com/open?id=1y7ldak6ruEmjKuHF4HBG73xofDVI0jV7</t>
  </si>
  <si>
    <t>tanuchopra0009@gmail.com</t>
  </si>
  <si>
    <t>Tanisha chopra</t>
  </si>
  <si>
    <t>Barnagar, Dist:Ujjain[M.P]</t>
  </si>
  <si>
    <t>https://drive.google.com/open?id=1OWhh5EOsdd_djhnsUOZrvc_HfuxQOQPV</t>
  </si>
  <si>
    <t>tanishkakothari010@gmail.com</t>
  </si>
  <si>
    <t>Agar Malwa</t>
  </si>
  <si>
    <t>https://drive.google.com/open?id=1n5bV-PzjVfchzXSVc-18Lj3_LBryIwb1</t>
  </si>
  <si>
    <t>taniyajain00037@gmail.com</t>
  </si>
  <si>
    <t xml:space="preserve">Runija, Mandsaur (M. P.) </t>
  </si>
  <si>
    <t>https://drive.google.com/open?id=1oF-9vw0n4QwhSof242P-jxCTBnLX3Wkh</t>
  </si>
  <si>
    <t>tanveemalde@gmail.com</t>
  </si>
  <si>
    <t>Tanvee Rishi Shah</t>
  </si>
  <si>
    <t>Gujarat / Jamnagar</t>
  </si>
  <si>
    <t>https://drive.google.com/open?id=1nhr9aiRGZT_HuviGrJv2PiY3nbVgQTLf</t>
  </si>
  <si>
    <t>Tatvasheth0920@gmail.com</t>
  </si>
  <si>
    <t xml:space="preserve">Tatva bhavesh sheth </t>
  </si>
  <si>
    <t>https://drive.google.com/open?id=11v1f28Z34l4T8dKmMx6HghrBEoreU1q-</t>
  </si>
  <si>
    <t>m2019.21teeshagada@gmail.com</t>
  </si>
  <si>
    <t>Teesha Dipesh Gada</t>
  </si>
  <si>
    <t>https://drive.google.com/open?id=1th9Osv1hfWNCZpwlX9r78XCXl3C_1yxX</t>
  </si>
  <si>
    <t>tejalankitbhayani@gmail.com</t>
  </si>
  <si>
    <t xml:space="preserve">Tejal Ankit Bhayani </t>
  </si>
  <si>
    <t>https://drive.google.com/open?id=1HnuJTDcSX5JB-tYpWgHSkT4YexDSWkq5</t>
  </si>
  <si>
    <t>tejaswinibothara123@gmail.com</t>
  </si>
  <si>
    <t>Tejaswini Sandipkumar Bothara</t>
  </si>
  <si>
    <t xml:space="preserve">Nashik, Maharashtra </t>
  </si>
  <si>
    <t>https://drive.google.com/open?id=1PMCgclbx2aQFeNg78RPTNIoZbsB5p2Xz</t>
  </si>
  <si>
    <t>tishapunmiya@gmail.com</t>
  </si>
  <si>
    <t>Maharashtra  thane</t>
  </si>
  <si>
    <t>https://drive.google.com/open?id=1fJHtL9TdoMJmvE6LD9jC8d7hcuVqO87v</t>
  </si>
  <si>
    <t>chhajedjayantilal3@gmail.com</t>
  </si>
  <si>
    <t xml:space="preserve">Tithi Chhajed </t>
  </si>
  <si>
    <t>Para (Dist jhabua )</t>
  </si>
  <si>
    <t>https://drive.google.com/open?id=1Asc7123-Am1O5nLUIbbvuj-NIbOsH9dq</t>
  </si>
  <si>
    <t>tithishah333@gmail.com</t>
  </si>
  <si>
    <t>https://drive.google.com/open?id=1qQmYNM50Bmfh0dqh2Ut8n4UnNg8gRHEm</t>
  </si>
  <si>
    <t>upagnashah94@gmail.com</t>
  </si>
  <si>
    <t>Upagna Tejas shah</t>
  </si>
  <si>
    <t>Ahemdabad -gujarat</t>
  </si>
  <si>
    <t>https://drive.google.com/open?id=1w4RHOTGA3qUiX24uybg1-oO_bP8-QN-S</t>
  </si>
  <si>
    <t>urmivora657@gmail.com</t>
  </si>
  <si>
    <t>Urmi Mukesh Vora</t>
  </si>
  <si>
    <t>Maharashtra : Bhiwandi, Thane</t>
  </si>
  <si>
    <t>https://drive.google.com/open?id=1QC_g8UZ0MKEv7sJ2cwPOnhUn1bXIiMBa</t>
  </si>
  <si>
    <t>vaishvigosar@gmail.com</t>
  </si>
  <si>
    <t>https://drive.google.com/open?id=1xaL02wx7zGSpkseC19OxopehHd-4YN0a</t>
  </si>
  <si>
    <t>vanshikamehta0412@gmai.com</t>
  </si>
  <si>
    <t>MUMBAI</t>
  </si>
  <si>
    <t>https://drive.google.com/open?id=1jtaG9tPRMOUcGuw_p9NhALiORQwiX13V</t>
  </si>
  <si>
    <t>nidhichhajed01@gmail.com</t>
  </si>
  <si>
    <t>Mp/khachrod</t>
  </si>
  <si>
    <t>https://drive.google.com/open?id=1hmriic46QE0DblZ-UQ04gwFSzR_bmcJY</t>
  </si>
  <si>
    <t>varshadhing3@gmail.com</t>
  </si>
  <si>
    <t>Varsha dhing</t>
  </si>
  <si>
    <t>https://drive.google.com/open?id=1uoS2Vc7j0tw8cTJ1R9i5ZvAw-JLP9Mcr</t>
  </si>
  <si>
    <t>pj3766330@gmail.com</t>
  </si>
  <si>
    <t xml:space="preserve">Vidhi chopra </t>
  </si>
  <si>
    <t xml:space="preserve">Ringnod </t>
  </si>
  <si>
    <t>https://drive.google.com/open?id=1Unvq84gkvbXTUD70YE3eNg7sBYHPg_9A</t>
  </si>
  <si>
    <t>kotharividhi584@gmail.com</t>
  </si>
  <si>
    <t>A -ve</t>
  </si>
  <si>
    <t>https://drive.google.com/open?id=16Ax_mnR3QiswHcItWG0cFqeOe1oOOfjX</t>
  </si>
  <si>
    <t>vidhiritesh077@gmail.com</t>
  </si>
  <si>
    <t xml:space="preserve">Vidhi Jain </t>
  </si>
  <si>
    <t>Maharashtra/mumbai</t>
  </si>
  <si>
    <t>https://drive.google.com/open?id=1u3hSW6eYN6G_S0m4vipsSz0ffbstsykT</t>
  </si>
  <si>
    <t>vidhiejain2525@gmail.com</t>
  </si>
  <si>
    <t>https://drive.google.com/open?id=1nMyZjGlAyHqtsjGxxiw4EhHC9Ov4kSQo</t>
  </si>
  <si>
    <t>mehtavidhi777@gmail.com</t>
  </si>
  <si>
    <t>Vidhi Mehta</t>
  </si>
  <si>
    <t>https://drive.google.com/open?id=1CB1FRTT_oAyfKADca7icGYWISdCxHbDM</t>
  </si>
  <si>
    <t>maldevidhi@gmail.com</t>
  </si>
  <si>
    <t xml:space="preserve">Vidhi Nilesh Malde </t>
  </si>
  <si>
    <t>Maharashtra/ Bhiwandi</t>
  </si>
  <si>
    <t>https://drive.google.com/open?id=1QAk5uuF9WgfnGWV4yDl9cwsKnXWXx0gF</t>
  </si>
  <si>
    <t>vidhipatel0349@gmail.com</t>
  </si>
  <si>
    <t xml:space="preserve">Vidhi Prakash Patel </t>
  </si>
  <si>
    <t xml:space="preserve">Maharashtra Mira Bhayandar </t>
  </si>
  <si>
    <t>https://drive.google.com/open?id=1TdcPVZums7E3Im-K5r4Tcn4wkZH2tB3i</t>
  </si>
  <si>
    <t>vidhimehta0945@gmail.com</t>
  </si>
  <si>
    <t>https://drive.google.com/open?id=1TJWH59duQfJBHqx2J6cdRp5p94S1HvQ5</t>
  </si>
  <si>
    <t>vidhigosrani14@gmail.com</t>
  </si>
  <si>
    <t>Vidhi vimal gosrani</t>
  </si>
  <si>
    <t>Maharashtra ( Bhiwandi)</t>
  </si>
  <si>
    <t>https://drive.google.com/open?id=1ybYmx3mUB-RTzDZ_RYTX0Br0eBb47hHq</t>
  </si>
  <si>
    <t>vinijain1706@gmail.com</t>
  </si>
  <si>
    <t xml:space="preserve">Maharashtra/ Mumbai </t>
  </si>
  <si>
    <t>https://drive.google.com/open?id=1Zyu2JbrfBAtBrE9A0Gh48EZOT8UfMgb-</t>
  </si>
  <si>
    <t>viral23hs@gmail.com</t>
  </si>
  <si>
    <t>Dnt knw</t>
  </si>
  <si>
    <t>https://drive.google.com/open?id=1AFoMV1x3TtupxHi7E9ajixSsG6QSS6oX</t>
  </si>
  <si>
    <t>virti.doshi@somaiya.edu</t>
  </si>
  <si>
    <t xml:space="preserve">Virti Paras Doshi </t>
  </si>
  <si>
    <t xml:space="preserve">Jamnagar </t>
  </si>
  <si>
    <t>https://drive.google.com/open?id=10V69JbhxvoIVyA3uwkEhNXIFHv_jTHE6</t>
  </si>
  <si>
    <t>virtishah92@gmail.com</t>
  </si>
  <si>
    <t xml:space="preserve">Virti Ravish Shah </t>
  </si>
  <si>
    <t>https://drive.google.com/open?id=1BT1eAmUnbliy-Un28vac3bngGpsMFrI3</t>
  </si>
  <si>
    <t>virtishah0401@gmail.com</t>
  </si>
  <si>
    <t>https://drive.google.com/open?id=1KWt7It9WJPRUjoxcC-wLaF3h2Yeu5xwk</t>
  </si>
  <si>
    <t>vishashah7175@gmail.com</t>
  </si>
  <si>
    <t>Visha Divyeshkumar Shah</t>
  </si>
  <si>
    <t>https://drive.google.com/open?id=1u5t7Y-cs-kgogUyx0YgAw_ly0She84Ie</t>
  </si>
  <si>
    <t>shahvishwa0002@gmail.com</t>
  </si>
  <si>
    <t>https://drive.google.com/open?id=11O2cG97nz6zOGZQG4YLhiq71qKSuHbRG</t>
  </si>
  <si>
    <t xml:space="preserve">Vishwa Rupesh Shroff </t>
  </si>
  <si>
    <t>https://drive.google.com/open?id=1gL9EtKGrGZ26hOptX5YtaovkRkOHUbi8</t>
  </si>
  <si>
    <t>Virtivora55@gmail.com</t>
  </si>
  <si>
    <t>Vora Virti</t>
  </si>
  <si>
    <t>Jamnagar</t>
  </si>
  <si>
    <t>https://drive.google.com/open?id=1fDFgD7pcVJaY5s-IEqXXlB9dblHH5ErU</t>
  </si>
  <si>
    <t>vrushtis523@gmail.com</t>
  </si>
  <si>
    <t xml:space="preserve">Vrushti Gaurav Shah </t>
  </si>
  <si>
    <t>https://drive.google.com/open?id=1XnyqCJCDYO6Hm6TJ9huhOo7iEDiL_ODt</t>
  </si>
  <si>
    <t>skvnp2@gmail.com</t>
  </si>
  <si>
    <t xml:space="preserve">Vrushti Saurabh Shah </t>
  </si>
  <si>
    <t>https://drive.google.com/open?id=1ycroAPGCtJ9puQkWw9iIlqUlEg42yhj7</t>
  </si>
  <si>
    <t>yuktidangi@gmail.com</t>
  </si>
  <si>
    <t>Yashaswini Dangi</t>
  </si>
  <si>
    <t>https://drive.google.com/open?id=1GtDDCOpDWw-P29V3S12qpObhDTo4HMGb</t>
  </si>
  <si>
    <t>yshah9831@gmail.com</t>
  </si>
  <si>
    <t>https://drive.google.com/open?id=1UK4If4UV_oSDa8fNgc_nrov1HYHKfi8n</t>
  </si>
  <si>
    <t>jainyashikav@gmail.com</t>
  </si>
  <si>
    <t>Ahmedabad, Gujrat.</t>
  </si>
  <si>
    <t>https://drive.google.com/open?id=1osQjPZkQOyDp6BtewdaA6wx9uhnhcr69</t>
  </si>
  <si>
    <t>yashvi21aug@gmail.com</t>
  </si>
  <si>
    <t xml:space="preserve">Gujarat/ Vadodara </t>
  </si>
  <si>
    <t>https://drive.google.com/open?id=10D-ky4rMuSFT24Xq9X4gT4e-N3m_c8az</t>
  </si>
  <si>
    <t>yatrishah1818@gmail.com</t>
  </si>
  <si>
    <t xml:space="preserve">Gujarat </t>
  </si>
  <si>
    <t>https://drive.google.com/open?id=11Gm934vtE39jonx85RcHLBy5ziC0Nlq2</t>
  </si>
  <si>
    <t>shahyesha155@gmail.com</t>
  </si>
  <si>
    <t>Yesha Deepak Shah</t>
  </si>
  <si>
    <t>https://drive.google.com/open?id=1lu3JTsuyiqBjC0GJe2-RJ6zoOaNc-ggx</t>
  </si>
  <si>
    <t>jaynishajain07@gmail.com</t>
  </si>
  <si>
    <t>Jaynisha Jain S</t>
  </si>
  <si>
    <t>https://drive.google.com/open?id=1GVYttCGK2j9cdrc5SzFEqk7fRaPIfmhO</t>
  </si>
  <si>
    <t>casonunagaria@gmail.com</t>
  </si>
  <si>
    <t>Sonu Nagaria</t>
  </si>
  <si>
    <t>https://drive.google.com/open?id=1qSF5Trwubzr94nHvRdqw2mejtVF_6vR-</t>
  </si>
  <si>
    <t>valeygandhi24@gmail.com</t>
  </si>
  <si>
    <t xml:space="preserve">Gandhi Valey </t>
  </si>
  <si>
    <t>https://drive.google.com/open?id=1IQa3ECcq-lbZvPjZTq9h86TOAQNbjNyW</t>
  </si>
  <si>
    <t>pj510608@gmail.com</t>
  </si>
  <si>
    <t>Pooja jain</t>
  </si>
  <si>
    <t>Indore M.P.</t>
  </si>
  <si>
    <t>https://drive.google.com/open?id=1I3Blt9HElgqYc0BSJveEbS9pqcpMcAbT</t>
  </si>
  <si>
    <t>Jain.rashu89@gmail.comJ</t>
  </si>
  <si>
    <t>Rashmi ohara</t>
  </si>
  <si>
    <t>MADHYA PRADESH/INDORE</t>
  </si>
  <si>
    <t>https://drive.google.com/open?id=1VzJ9TDpe32cfRgpw0Bgg-qb6IHN9DuMF</t>
  </si>
  <si>
    <t>hastigala2103@gmail.com</t>
  </si>
  <si>
    <t>Hasti Mahesh Gala</t>
  </si>
  <si>
    <t>https://drive.google.com/open?id=1BWGk_EsoTCV38P1fw9-1ye4GVQqCZO2v</t>
  </si>
  <si>
    <t>jainmoksha0409@gmail.com</t>
  </si>
  <si>
    <t>Moksha jain</t>
  </si>
  <si>
    <t>Barnagar (Ujjain)</t>
  </si>
  <si>
    <t>https://drive.google.com/open?id=1dOtmgJuoH1kqRcul5IPOjOT2OTxLpfYq</t>
  </si>
  <si>
    <t>sidhigudhka@gmail.com</t>
  </si>
  <si>
    <t xml:space="preserve">Siddhi dhirajlal gudhka </t>
  </si>
  <si>
    <t>https://drive.google.com/open?id=1vUUkskyOHLvQD2WdbfTslGaJPvssGa4f</t>
  </si>
  <si>
    <t>jeenalishah8@gmail.com</t>
  </si>
  <si>
    <t xml:space="preserve">Jeenali Hiren Shah </t>
  </si>
  <si>
    <t xml:space="preserve">Pune, Maharashtra </t>
  </si>
  <si>
    <t>https://drive.google.com/open?id=1Vg1AA2QDOJGnGB0qMQLcjqVvBjDCC0_5</t>
  </si>
  <si>
    <t>niharshah993@gmail.com</t>
  </si>
  <si>
    <t>Shah shreya rameshkumar</t>
  </si>
  <si>
    <t>https://drive.google.com/open?id=1x9PQhX_6DF9cefHdkt0YD_5HTSjo91nd</t>
  </si>
  <si>
    <t>kparekh1114@gmail.com</t>
  </si>
  <si>
    <t>K Parekh</t>
  </si>
  <si>
    <t>Rajkot</t>
  </si>
  <si>
    <t>https://drive.google.com/open?id=1XFWVeSQaTTX72SnVjYSn1tLySDGiXDL5</t>
  </si>
  <si>
    <t>shivangijain2101@gmail.com</t>
  </si>
  <si>
    <t>Sheth Archanaben Hiten</t>
  </si>
  <si>
    <t xml:space="preserve">Porbandar </t>
  </si>
  <si>
    <t>https://drive.google.com/open?id=1il7YTPqXa1QSSrdXEvqRqR_as7uW_rLX</t>
  </si>
  <si>
    <t>jayeshbhaih140@gmail.com</t>
  </si>
  <si>
    <t>Aangi jayeshbhai shah</t>
  </si>
  <si>
    <t>https://drive.google.com/open?id=1WU62vm1cWMpkOpztfXMvMy9RVIXZzIe1</t>
  </si>
  <si>
    <t>jnsheetal82@gmail.com</t>
  </si>
  <si>
    <t>Sheetal jain</t>
  </si>
  <si>
    <t>https://drive.google.com/open?id=1MYM5-0i3DgJk61CATCxE3giRrtVxYw5G</t>
  </si>
  <si>
    <t>payalmehta_1919@gmail.com</t>
  </si>
  <si>
    <t>Jinisha mehta</t>
  </si>
  <si>
    <t>Badnagar, ujjain, Madhyapradesh</t>
  </si>
  <si>
    <t>https://drive.google.com/open?id=1wsMv54txo7y7jIHsRdlVrqjq2hKlaT2T</t>
  </si>
  <si>
    <t>eshaharaniya8@gmail.com</t>
  </si>
  <si>
    <t xml:space="preserve">Esha Jitesh Haraniya </t>
  </si>
  <si>
    <t xml:space="preserve">Maharashtra /Bhiwandi </t>
  </si>
  <si>
    <t>https://drive.google.com/open?id=14E-pA9-jeENBbHAeR7b0Tez0DPpykHm2</t>
  </si>
  <si>
    <t>mokshashah1112@gmail.com</t>
  </si>
  <si>
    <t>Moksha Kumudbhai Shah</t>
  </si>
  <si>
    <t>Gujarat/ Ahmedabad</t>
  </si>
  <si>
    <t>https://drive.google.com/open?id=1WDaZ3bK-waxZUJWNPp7IbYuV3Ww7yvt3</t>
  </si>
  <si>
    <t>pinka6115@gmail.com</t>
  </si>
  <si>
    <t xml:space="preserve">Priyanka Jain </t>
  </si>
  <si>
    <t>https://drive.google.com/open?id=1Q2Bw9ATHhWI-YnWZG4CPkzxXyDJEvmD9</t>
  </si>
  <si>
    <t>siddhishah7103@gmail.com</t>
  </si>
  <si>
    <t xml:space="preserve">Siddhi Nimesh Shah </t>
  </si>
  <si>
    <t>Maharashtra/Pune</t>
  </si>
  <si>
    <t>https://drive.google.com/open?id=1fXO0GH_QPX1CoYMm9UkEQa0oTbkBnEun</t>
  </si>
  <si>
    <t>The second sheet is named as Aaradhak details, and in this sheet, we will have the email address, the name as per their other card, the age, the blood group, and the emergency contact number</t>
  </si>
  <si>
    <t>Name</t>
  </si>
  <si>
    <t>Emergency Contact Number</t>
  </si>
  <si>
    <t>Drive Photo Link</t>
  </si>
  <si>
    <t/>
  </si>
  <si>
    <t>Source</t>
  </si>
  <si>
    <t>Matched With</t>
  </si>
  <si>
    <t>Key Used</t>
  </si>
  <si>
    <t>Aachal Vinod Bhandari</t>
  </si>
  <si>
    <t>Aaradhak</t>
  </si>
  <si>
    <t>aachal bhandari</t>
  </si>
  <si>
    <t>Aanchal jain</t>
  </si>
  <si>
    <t>aanchal jain</t>
  </si>
  <si>
    <t>Raw Data</t>
  </si>
  <si>
    <t>aangi</t>
  </si>
  <si>
    <t>aarna</t>
  </si>
  <si>
    <t>Aarushi Bhandari</t>
  </si>
  <si>
    <t>aarushi bhandari</t>
  </si>
  <si>
    <t>aashvi chhajed</t>
  </si>
  <si>
    <t>aayushi jain</t>
  </si>
  <si>
    <t>aayushi shah</t>
  </si>
  <si>
    <t>abhilasha jain</t>
  </si>
  <si>
    <t>additi solanki</t>
  </si>
  <si>
    <t>aditi</t>
  </si>
  <si>
    <t>Aditi bhandari</t>
  </si>
  <si>
    <t>aditi bhandari</t>
  </si>
  <si>
    <t>aditi jain</t>
  </si>
  <si>
    <t>aishvi jain</t>
  </si>
  <si>
    <t>akshara jain</t>
  </si>
  <si>
    <t>aksharachopra</t>
  </si>
  <si>
    <t>amisha saklecha</t>
  </si>
  <si>
    <t>amita bora</t>
  </si>
  <si>
    <t>Aneriben Manoj Kumar Shah</t>
  </si>
  <si>
    <t>aneriben shah</t>
  </si>
  <si>
    <t>anuja shah</t>
  </si>
  <si>
    <t>anushi jain</t>
  </si>
  <si>
    <t>anushka kataria</t>
  </si>
  <si>
    <t>aradhana jain</t>
  </si>
  <si>
    <t>ariha shah</t>
  </si>
  <si>
    <t>arpita jain</t>
  </si>
  <si>
    <t>arpita vanvat</t>
  </si>
  <si>
    <t>ashvi jain</t>
  </si>
  <si>
    <t>Avani Lodha</t>
  </si>
  <si>
    <t>avani lodha</t>
  </si>
  <si>
    <t>Avni jain</t>
  </si>
  <si>
    <t>Avni Jain</t>
  </si>
  <si>
    <t>avni jain</t>
  </si>
  <si>
    <t>ayushi chopra</t>
  </si>
  <si>
    <t>b kothari</t>
  </si>
  <si>
    <t>bhaavee doshi</t>
  </si>
  <si>
    <t>Bhakti Jhaveri</t>
  </si>
  <si>
    <t>bhakti jhaveri</t>
  </si>
  <si>
    <t>Bhavana</t>
  </si>
  <si>
    <t>bhavana</t>
  </si>
  <si>
    <t>bhavya</t>
  </si>
  <si>
    <t>bhumi chatter</t>
  </si>
  <si>
    <t>bhumi gadiya</t>
  </si>
  <si>
    <t>Aaradhak (first)</t>
  </si>
  <si>
    <t>bhumika</t>
  </si>
  <si>
    <t>CHAITRALI YUVRAJ MEHTA</t>
  </si>
  <si>
    <t>chaitrali mehta</t>
  </si>
  <si>
    <t>charmi dhariwal</t>
  </si>
  <si>
    <t>charmi doshi</t>
  </si>
  <si>
    <t>darshita kakaria</t>
  </si>
  <si>
    <t>deepali shah</t>
  </si>
  <si>
    <t>deshana shah</t>
  </si>
  <si>
    <t>Devanshi hiran Mehta</t>
  </si>
  <si>
    <t>devanshi mehta</t>
  </si>
  <si>
    <t>Dharmi Jitesh Malde</t>
  </si>
  <si>
    <t>dharmi malde</t>
  </si>
  <si>
    <t>dhriti</t>
  </si>
  <si>
    <t>DUPLICATE</t>
  </si>
  <si>
    <t>dhruvi shah</t>
  </si>
  <si>
    <t>dhruvi s</t>
  </si>
  <si>
    <t>dhvani desai</t>
  </si>
  <si>
    <t>Dimple</t>
  </si>
  <si>
    <t>dimple</t>
  </si>
  <si>
    <t>Dipali Chandreshbhai Parekh</t>
  </si>
  <si>
    <t>dipali parekh</t>
  </si>
  <si>
    <t>disha oswal</t>
  </si>
  <si>
    <t>disha shah</t>
  </si>
  <si>
    <t>divisha kakaria</t>
  </si>
  <si>
    <t>Divya</t>
  </si>
  <si>
    <t>divya</t>
  </si>
  <si>
    <t>divya jain</t>
  </si>
  <si>
    <t>Divya mahendra kankaliya</t>
  </si>
  <si>
    <t>divya kankaliya</t>
  </si>
  <si>
    <t>divya sanghvi</t>
  </si>
  <si>
    <t>Diya Amish shah</t>
  </si>
  <si>
    <t>diya shah</t>
  </si>
  <si>
    <t>diya chajed</t>
  </si>
  <si>
    <t>diya jain</t>
  </si>
  <si>
    <t>Diya Vardhman Chhajed</t>
  </si>
  <si>
    <t>diya chhajed</t>
  </si>
  <si>
    <t>dolly jain</t>
  </si>
  <si>
    <t>dolly patwa</t>
  </si>
  <si>
    <t>Doshi prapti prakash Kumar</t>
  </si>
  <si>
    <t>doshi kumar</t>
  </si>
  <si>
    <t>doshi vidhi</t>
  </si>
  <si>
    <t>drashty malde</t>
  </si>
  <si>
    <t>ekta mehta</t>
  </si>
  <si>
    <t>esha savla</t>
  </si>
  <si>
    <t>forum chheda</t>
  </si>
  <si>
    <t>Gandhi Asha</t>
  </si>
  <si>
    <t>gandhi asha</t>
  </si>
  <si>
    <t>geeta lodha</t>
  </si>
  <si>
    <t>Harshita Rajesh Bhimani</t>
  </si>
  <si>
    <t>harshita bhimani</t>
  </si>
  <si>
    <t>harshvi shah</t>
  </si>
  <si>
    <t>Hasti Hasmukh Dedhia</t>
  </si>
  <si>
    <t>Hasti Dedhia</t>
  </si>
  <si>
    <t>hasti dedhia</t>
  </si>
  <si>
    <t>heena shah</t>
  </si>
  <si>
    <t>heeya gandhi</t>
  </si>
  <si>
    <t>HET MANOJ SHAH</t>
  </si>
  <si>
    <t>het Manoj Shah</t>
  </si>
  <si>
    <t>het shah</t>
  </si>
  <si>
    <t>hetali shah</t>
  </si>
  <si>
    <t>Hetvi Nilesh Shah</t>
  </si>
  <si>
    <t>hetvi shah</t>
  </si>
  <si>
    <t>Hetvi vimal Gosrani</t>
  </si>
  <si>
    <t>hetvi gosrani</t>
  </si>
  <si>
    <t>Hiral Doshi</t>
  </si>
  <si>
    <t>HIRAL NIMESH DOSHI</t>
  </si>
  <si>
    <t>hiral doshi</t>
  </si>
  <si>
    <t>hiral shah</t>
  </si>
  <si>
    <t>hiya dhoka</t>
  </si>
  <si>
    <t>hrishika jain</t>
  </si>
  <si>
    <t>ishika jain</t>
  </si>
  <si>
    <t>ishita jain</t>
  </si>
  <si>
    <t>ishita sagrawat</t>
  </si>
  <si>
    <t>Itishajain</t>
  </si>
  <si>
    <t>itishajain</t>
  </si>
  <si>
    <t>jain ben</t>
  </si>
  <si>
    <t>jain vinod</t>
  </si>
  <si>
    <t>Jain Mehal Ritesh</t>
  </si>
  <si>
    <t>jain ritesh</t>
  </si>
  <si>
    <t>Jain Nikita Manish</t>
  </si>
  <si>
    <t>jain manish</t>
  </si>
  <si>
    <t>Jaini Shah</t>
  </si>
  <si>
    <t>jaini shah</t>
  </si>
  <si>
    <t>jayna jain</t>
  </si>
  <si>
    <t>jayshree jain</t>
  </si>
  <si>
    <t>jeenal gudhka</t>
  </si>
  <si>
    <t>Jeenali Raju Bhandari</t>
  </si>
  <si>
    <t>jeenali bhandari</t>
  </si>
  <si>
    <t>jheel jain</t>
  </si>
  <si>
    <t>jil sumariya</t>
  </si>
  <si>
    <t>jinal</t>
  </si>
  <si>
    <t>Jinali Sanjay Shah</t>
  </si>
  <si>
    <t>jinali shah</t>
  </si>
  <si>
    <t>Jinalkumari Ashokbhai shah</t>
  </si>
  <si>
    <t>jinalkumari shah</t>
  </si>
  <si>
    <t>jinancy doshi</t>
  </si>
  <si>
    <t>Jiya</t>
  </si>
  <si>
    <t>jiya</t>
  </si>
  <si>
    <t>Kaavyaa mayur gudhka</t>
  </si>
  <si>
    <t>kaavyaa gudhka</t>
  </si>
  <si>
    <t>kajal mutha</t>
  </si>
  <si>
    <t>kanisha shah</t>
  </si>
  <si>
    <t>Karaniya Princy jetal</t>
  </si>
  <si>
    <t>karaniya jetal</t>
  </si>
  <si>
    <t>karuna jain</t>
  </si>
  <si>
    <t>kavita vardhan</t>
  </si>
  <si>
    <t>kavya shah</t>
  </si>
  <si>
    <t>khushbhu jain</t>
  </si>
  <si>
    <t>khushbu jain</t>
  </si>
  <si>
    <t>KHUSHBU KAKRECHA</t>
  </si>
  <si>
    <t>khushbu kakrecha</t>
  </si>
  <si>
    <t>khushi gandhi</t>
  </si>
  <si>
    <t>khushi chaudhary</t>
  </si>
  <si>
    <t>Khushi Shreyansh Gandhi</t>
  </si>
  <si>
    <t>khyati shah</t>
  </si>
  <si>
    <t>kinjal kothari</t>
  </si>
  <si>
    <t>kinnari shah</t>
  </si>
  <si>
    <t>kirti jain</t>
  </si>
  <si>
    <t>kiyanshi jain</t>
  </si>
  <si>
    <t>komal sanghvi</t>
  </si>
  <si>
    <t>kratika dangi</t>
  </si>
  <si>
    <t>krina shah</t>
  </si>
  <si>
    <t>Krina Jain</t>
  </si>
  <si>
    <t>krina jain</t>
  </si>
  <si>
    <t>krinal gosrani</t>
  </si>
  <si>
    <t>Krisha</t>
  </si>
  <si>
    <t>krisha</t>
  </si>
  <si>
    <t>krisha gudhka</t>
  </si>
  <si>
    <t>krisha shah</t>
  </si>
  <si>
    <t>krishi gala</t>
  </si>
  <si>
    <t>kriya shah</t>
  </si>
  <si>
    <t>Kriya Hemendra Kothari</t>
  </si>
  <si>
    <t>kriya kothari</t>
  </si>
  <si>
    <t>KRIYA NARENDRA RATHOD</t>
  </si>
  <si>
    <t>kriya rathod</t>
  </si>
  <si>
    <t>kriya jain</t>
  </si>
  <si>
    <t>Kshama Divyesh Khimasiya</t>
  </si>
  <si>
    <t>kshama khimasiya</t>
  </si>
  <si>
    <t>kunika ranka</t>
  </si>
  <si>
    <t>Kusum</t>
  </si>
  <si>
    <t>kusum</t>
  </si>
  <si>
    <t>labdhi</t>
  </si>
  <si>
    <t>labdhi shah</t>
  </si>
  <si>
    <t>labdhi mandovara</t>
  </si>
  <si>
    <t>labdhi tatia</t>
  </si>
  <si>
    <t>Lakshita Jain</t>
  </si>
  <si>
    <t>lakshita jain</t>
  </si>
  <si>
    <t>lavina kawediya</t>
  </si>
  <si>
    <t>lekha jain</t>
  </si>
  <si>
    <t>lukita</t>
  </si>
  <si>
    <t>Mahak Jain</t>
  </si>
  <si>
    <t>mahak jain</t>
  </si>
  <si>
    <t>mahak mogra</t>
  </si>
  <si>
    <t>mahek sanghavi</t>
  </si>
  <si>
    <t>mahek shah</t>
  </si>
  <si>
    <t>mahi</t>
  </si>
  <si>
    <t>mahi jain</t>
  </si>
  <si>
    <t>Mahi Prakash Sanghavi</t>
  </si>
  <si>
    <t>mahi sanghavi</t>
  </si>
  <si>
    <t>mahi sethiya</t>
  </si>
  <si>
    <t>Mahi Sunil Lalwani</t>
  </si>
  <si>
    <t>mahi lalwani</t>
  </si>
  <si>
    <t>maitri nagda</t>
  </si>
  <si>
    <t>MAMATA ANKIT SHAH</t>
  </si>
  <si>
    <t>mamata shah</t>
  </si>
  <si>
    <t>mamta jain</t>
  </si>
  <si>
    <t>mansi seth</t>
  </si>
  <si>
    <t>mansi gulechha</t>
  </si>
  <si>
    <t>misthi vanvat</t>
  </si>
  <si>
    <t>Moksha</t>
  </si>
  <si>
    <t>moksha</t>
  </si>
  <si>
    <t>moksha dhami</t>
  </si>
  <si>
    <t>mokshi jain</t>
  </si>
  <si>
    <t>monika</t>
  </si>
  <si>
    <t>monika s</t>
  </si>
  <si>
    <t>monika khivsara</t>
  </si>
  <si>
    <t>Neha Narendra Jain</t>
  </si>
  <si>
    <t>neha jain</t>
  </si>
  <si>
    <t>nidhi sethiya</t>
  </si>
  <si>
    <t>nidhi shah</t>
  </si>
  <si>
    <t>Niki Pritesh Gandhi</t>
  </si>
  <si>
    <t>niki gandhi</t>
  </si>
  <si>
    <t>nikita shah</t>
  </si>
  <si>
    <t>Nishi</t>
  </si>
  <si>
    <t>nishi</t>
  </si>
  <si>
    <t>nupur shah</t>
  </si>
  <si>
    <t>Palak Jayesh Dodhia</t>
  </si>
  <si>
    <t>palak dodhia</t>
  </si>
  <si>
    <t>Palak Ramanand Nayak</t>
  </si>
  <si>
    <t>palak nayak</t>
  </si>
  <si>
    <t>palak gosrani</t>
  </si>
  <si>
    <t>pallavi jain</t>
  </si>
  <si>
    <t>parekh alpesh</t>
  </si>
  <si>
    <t>payal shah</t>
  </si>
  <si>
    <t>Payal Navinchandra Gosrani</t>
  </si>
  <si>
    <t>payal gosrani</t>
  </si>
  <si>
    <t>Payal Jain baradia</t>
  </si>
  <si>
    <t>payal baradia</t>
  </si>
  <si>
    <t>payal palesha</t>
  </si>
  <si>
    <t>Pooja Ashok Jakhariya</t>
  </si>
  <si>
    <t>pooja jakhariya</t>
  </si>
  <si>
    <t>pooja jain</t>
  </si>
  <si>
    <t>pooja dodhia</t>
  </si>
  <si>
    <t>prachi haria</t>
  </si>
  <si>
    <t>Prachi jain</t>
  </si>
  <si>
    <t>prachi jain</t>
  </si>
  <si>
    <t>Prachi Jain</t>
  </si>
  <si>
    <t>prachi kamdar</t>
  </si>
  <si>
    <t>Prachi Mehta</t>
  </si>
  <si>
    <t>prachi mehta</t>
  </si>
  <si>
    <t>pragya jain</t>
  </si>
  <si>
    <t>Pranali raju bhandari</t>
  </si>
  <si>
    <t>Pranali Raju Bhandari</t>
  </si>
  <si>
    <t>pranali bhandari</t>
  </si>
  <si>
    <t>pranjal</t>
  </si>
  <si>
    <t>Pratika Khinvesara</t>
  </si>
  <si>
    <t>pratika khinvesara</t>
  </si>
  <si>
    <t>preksha barmat</t>
  </si>
  <si>
    <t>preksha parekh</t>
  </si>
  <si>
    <t>preya shah</t>
  </si>
  <si>
    <t>priya vora</t>
  </si>
  <si>
    <t>priyal shah</t>
  </si>
  <si>
    <t>Priyal shah</t>
  </si>
  <si>
    <t>priyal mehta</t>
  </si>
  <si>
    <t>Priyanka</t>
  </si>
  <si>
    <t>priyanka</t>
  </si>
  <si>
    <t>priyanka gelda</t>
  </si>
  <si>
    <t>Priyanka Parmar</t>
  </si>
  <si>
    <t>priyanka parmar</t>
  </si>
  <si>
    <t>priyanshi modi</t>
  </si>
  <si>
    <t>priyantham jain</t>
  </si>
  <si>
    <t>purva jain</t>
  </si>
  <si>
    <t>purvi dangi</t>
  </si>
  <si>
    <t>purvi khivasara</t>
  </si>
  <si>
    <t>raashi jain</t>
  </si>
  <si>
    <t>Rajul Harmit Virvadia</t>
  </si>
  <si>
    <t>rajul virvadia</t>
  </si>
  <si>
    <t>rajvi dedhia</t>
  </si>
  <si>
    <t>Rakshita chaprot</t>
  </si>
  <si>
    <t>rakshita chaprot</t>
  </si>
  <si>
    <t>rashi shah</t>
  </si>
  <si>
    <t>rashi shroff</t>
  </si>
  <si>
    <t>reena kakaria</t>
  </si>
  <si>
    <t>Riddhi</t>
  </si>
  <si>
    <t>riddhi</t>
  </si>
  <si>
    <t>riddhi lalwani</t>
  </si>
  <si>
    <t>rishikamehta</t>
  </si>
  <si>
    <t>Ritika Jain</t>
  </si>
  <si>
    <t>ritika jain</t>
  </si>
  <si>
    <t>RIYA JAIN GANDHI</t>
  </si>
  <si>
    <t>riya gandhi</t>
  </si>
  <si>
    <t>Riya jain</t>
  </si>
  <si>
    <t>riya jain</t>
  </si>
  <si>
    <t>Riya seth</t>
  </si>
  <si>
    <t>riya seth</t>
  </si>
  <si>
    <t>ruchika jain</t>
  </si>
  <si>
    <t>sachi shah</t>
  </si>
  <si>
    <t>Sanchi</t>
  </si>
  <si>
    <t>sanchi</t>
  </si>
  <si>
    <t>sakshi shah</t>
  </si>
  <si>
    <t>sakshi jain</t>
  </si>
  <si>
    <t>Sakshi Viresh Jain</t>
  </si>
  <si>
    <t>saloni chandravat</t>
  </si>
  <si>
    <t>Saloni gandhi</t>
  </si>
  <si>
    <t>saloni gandhi</t>
  </si>
  <si>
    <t>saloni jain</t>
  </si>
  <si>
    <t>sanvi shah</t>
  </si>
  <si>
    <t>seema jain</t>
  </si>
  <si>
    <t>sejal hain</t>
  </si>
  <si>
    <t>sejal jain</t>
  </si>
  <si>
    <t>sejal rathod</t>
  </si>
  <si>
    <t>shah timirkumar</t>
  </si>
  <si>
    <t>Shah Drashty Jignesh</t>
  </si>
  <si>
    <t>shah jignesh</t>
  </si>
  <si>
    <t>shah kumar</t>
  </si>
  <si>
    <t>Shah Jinal Girishbhai</t>
  </si>
  <si>
    <t>shah girishbhai</t>
  </si>
  <si>
    <t>shah jigneshbhai</t>
  </si>
  <si>
    <t>shah jitendra</t>
  </si>
  <si>
    <t>shailee shah</t>
  </si>
  <si>
    <t>shalu</t>
  </si>
  <si>
    <t>shalu bhandari</t>
  </si>
  <si>
    <t>Shiksha jain</t>
  </si>
  <si>
    <t>shiksha jain</t>
  </si>
  <si>
    <t>shilpa bafna</t>
  </si>
  <si>
    <t>shivani jain</t>
  </si>
  <si>
    <t>shree jain</t>
  </si>
  <si>
    <t>shreya gandhi</t>
  </si>
  <si>
    <t>shrusti dedhia</t>
  </si>
  <si>
    <t>Shruti mukesh kothari</t>
  </si>
  <si>
    <t>shruti kothari</t>
  </si>
  <si>
    <t>Shruti Sanjay Nahar</t>
  </si>
  <si>
    <t>shruti nahar</t>
  </si>
  <si>
    <t>siddhi</t>
  </si>
  <si>
    <t>Siddhi Oswal</t>
  </si>
  <si>
    <t>siddhi oswal</t>
  </si>
  <si>
    <t>somya jain</t>
  </si>
  <si>
    <t>Somya Ostwal</t>
  </si>
  <si>
    <t>somya ostwal</t>
  </si>
  <si>
    <t>sonal jain</t>
  </si>
  <si>
    <t>sonal shah</t>
  </si>
  <si>
    <t>sonam dharod</t>
  </si>
  <si>
    <t>srishti bhandari</t>
  </si>
  <si>
    <t>Srushti</t>
  </si>
  <si>
    <t>srushti</t>
  </si>
  <si>
    <t>stuti jain</t>
  </si>
  <si>
    <t>stuti mehta</t>
  </si>
  <si>
    <t>Suditi</t>
  </si>
  <si>
    <t>suditi</t>
  </si>
  <si>
    <t>suhani jain</t>
  </si>
  <si>
    <t>sunita jain</t>
  </si>
  <si>
    <t>swarali mehta</t>
  </si>
  <si>
    <t>sweta jain</t>
  </si>
  <si>
    <t>Tanaya Rahul Bedmutha</t>
  </si>
  <si>
    <t>tanaya bedmutha</t>
  </si>
  <si>
    <t>Tanisha Chopra</t>
  </si>
  <si>
    <t>tanisha chopra</t>
  </si>
  <si>
    <t>tanishka kothari</t>
  </si>
  <si>
    <t>Taniya Saklecha</t>
  </si>
  <si>
    <t>taniya saklecha</t>
  </si>
  <si>
    <t>tanu jain</t>
  </si>
  <si>
    <t>tanvee shah</t>
  </si>
  <si>
    <t>Tatva bhavesh sheth</t>
  </si>
  <si>
    <t>tatva sheth</t>
  </si>
  <si>
    <t>tejal bhayani</t>
  </si>
  <si>
    <t>tejaswini bothara</t>
  </si>
  <si>
    <t>Tisha Sandeep punmiya</t>
  </si>
  <si>
    <t>tisha punmiya</t>
  </si>
  <si>
    <t>tithi shah</t>
  </si>
  <si>
    <t>Upagna tejas Shah</t>
  </si>
  <si>
    <t>upagna shah</t>
  </si>
  <si>
    <t>urmi vora</t>
  </si>
  <si>
    <t>utkarsha bothara</t>
  </si>
  <si>
    <t>vaishvi gosar</t>
  </si>
  <si>
    <t>vanshika mehta</t>
  </si>
  <si>
    <t>varsha chhajed</t>
  </si>
  <si>
    <t>varsha dheeng</t>
  </si>
  <si>
    <t>vedika nahata</t>
  </si>
  <si>
    <t>vidhi kothari</t>
  </si>
  <si>
    <t>vidhi jain</t>
  </si>
  <si>
    <t>vidhi r</t>
  </si>
  <si>
    <t>vidhi malde</t>
  </si>
  <si>
    <t>vidhi patel</t>
  </si>
  <si>
    <t>vidhi mehta</t>
  </si>
  <si>
    <t>vidhi gosrani</t>
  </si>
  <si>
    <t>vijeta bafna</t>
  </si>
  <si>
    <t>vini jain</t>
  </si>
  <si>
    <t>viral bavisi</t>
  </si>
  <si>
    <t>Virti ravish shah</t>
  </si>
  <si>
    <t>virti shah</t>
  </si>
  <si>
    <t>virti vora</t>
  </si>
  <si>
    <t>vishwa shah</t>
  </si>
  <si>
    <t>Vishwa Rupesh Shroff</t>
  </si>
  <si>
    <t>vishwa shroff</t>
  </si>
  <si>
    <t>vrushti shah</t>
  </si>
  <si>
    <t>yashaswini dangi</t>
  </si>
  <si>
    <t>yashi shah</t>
  </si>
  <si>
    <t>yashika jain</t>
  </si>
  <si>
    <t>Yashvi Himanshu Gandhi</t>
  </si>
  <si>
    <t>yashvi gandhi</t>
  </si>
  <si>
    <t>Yatri Jayeshkumar Shah</t>
  </si>
  <si>
    <t>yatri shah</t>
  </si>
  <si>
    <t>yesha shah</t>
  </si>
  <si>
    <t>heena jain</t>
  </si>
  <si>
    <t>Darshna jain</t>
  </si>
  <si>
    <t>darshna jain</t>
  </si>
  <si>
    <t>karishma gandhi</t>
  </si>
  <si>
    <t>ekta jain</t>
  </si>
  <si>
    <t>aayushi</t>
  </si>
  <si>
    <t>bhavna bhandari</t>
  </si>
  <si>
    <t>Esha pritesh shah</t>
  </si>
  <si>
    <t>esha shah</t>
  </si>
  <si>
    <t>dahita</t>
  </si>
  <si>
    <t>mansi</t>
  </si>
  <si>
    <t>aarya</t>
  </si>
  <si>
    <t>megha parekh</t>
  </si>
  <si>
    <t>shraddha parekh</t>
  </si>
  <si>
    <t>riya</t>
  </si>
  <si>
    <t>aayushi golecha</t>
  </si>
  <si>
    <t>rashi jain</t>
  </si>
  <si>
    <t>tithi chhajed</t>
  </si>
  <si>
    <t>siddhi jain</t>
  </si>
  <si>
    <t>Paridhi chopra</t>
  </si>
  <si>
    <t>paridhi</t>
  </si>
  <si>
    <t>miti</t>
  </si>
  <si>
    <t>ashita dhariwal</t>
  </si>
  <si>
    <t>nirali gudhka</t>
  </si>
  <si>
    <t>avani</t>
  </si>
  <si>
    <t>leena jain</t>
  </si>
  <si>
    <t>hasti</t>
  </si>
  <si>
    <t>kria shah</t>
  </si>
  <si>
    <t>teesha</t>
  </si>
  <si>
    <t>princy jain</t>
  </si>
  <si>
    <t>devanshi shah</t>
  </si>
  <si>
    <t>jyoti</t>
  </si>
  <si>
    <t>jainy</t>
  </si>
  <si>
    <t>shweta</t>
  </si>
  <si>
    <t>falak</t>
  </si>
  <si>
    <t>janvi</t>
  </si>
  <si>
    <t>drishti sumariya</t>
  </si>
  <si>
    <t>visha shah</t>
  </si>
  <si>
    <t>Khushi</t>
  </si>
  <si>
    <t>khushi</t>
  </si>
  <si>
    <t>ashvi shah</t>
  </si>
  <si>
    <t>siya shah</t>
  </si>
  <si>
    <t>manasvi bhadviya</t>
  </si>
  <si>
    <t>prachi shah</t>
  </si>
  <si>
    <t>bhakti shah</t>
  </si>
  <si>
    <t>krina</t>
  </si>
  <si>
    <t>Navya Amesh Shah</t>
  </si>
  <si>
    <t>navya shah</t>
  </si>
  <si>
    <t>shilpa lodha</t>
  </si>
  <si>
    <t>Nidhi Ravindra Jain</t>
  </si>
  <si>
    <t>nidhi jain</t>
  </si>
  <si>
    <t>preksha</t>
  </si>
  <si>
    <t>dimple shah</t>
  </si>
  <si>
    <t>hetal chheda</t>
  </si>
  <si>
    <t>sakshi chhajed</t>
  </si>
  <si>
    <t>ayushi shah</t>
  </si>
  <si>
    <t>Moksha patwa</t>
  </si>
  <si>
    <t>moksha patwa</t>
  </si>
  <si>
    <t>riddhima jain</t>
  </si>
  <si>
    <t>Hitanshi mehta</t>
  </si>
  <si>
    <t>hitanshi</t>
  </si>
  <si>
    <t>moxa</t>
  </si>
  <si>
    <t>virti</t>
  </si>
  <si>
    <t>Ankita</t>
  </si>
  <si>
    <t>ankita</t>
  </si>
  <si>
    <t>pari</t>
  </si>
  <si>
    <t>jaynisha</t>
  </si>
  <si>
    <t>sonu</t>
  </si>
  <si>
    <t>valey</t>
  </si>
  <si>
    <t>rashmi</t>
  </si>
  <si>
    <t>pooja</t>
  </si>
  <si>
    <t>sonali mehta</t>
  </si>
  <si>
    <t>Esha</t>
  </si>
  <si>
    <t>esha</t>
  </si>
  <si>
    <t>Jeenali Hiren Shah</t>
  </si>
  <si>
    <t>jeenali shah</t>
  </si>
  <si>
    <t>Siddhi Nimesh Shah</t>
  </si>
  <si>
    <t>siddhi shah</t>
  </si>
  <si>
    <t>moksha jain</t>
  </si>
  <si>
    <t>Siddhi dhirajlal gudhka</t>
  </si>
  <si>
    <t>siddhi gudhka</t>
  </si>
  <si>
    <t>shreya shah</t>
  </si>
  <si>
    <t>hesha shah</t>
  </si>
  <si>
    <t>aangi shah</t>
  </si>
  <si>
    <t>hetvi insta</t>
  </si>
  <si>
    <t>priyanka kataria</t>
  </si>
  <si>
    <t>kinjal parekh</t>
  </si>
  <si>
    <t>archana sheth</t>
  </si>
  <si>
    <t>sheetal murar</t>
  </si>
  <si>
    <t>jinisha mehta</t>
  </si>
  <si>
    <t>vaishali doshi</t>
  </si>
  <si>
    <t>moksha shah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</si>
</sst>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6">
    <font>
      <sz val="10.0"/>
      <color rgb="FF000000"/>
      <name val="Arial"/>
      <scheme val="minor"/>
    </font>
    <font>
      <b/>
      <color theme="1"/>
      <name val="Arial"/>
    </font>
    <font>
      <color theme="1"/>
      <name val="Arial"/>
    </font>
    <font>
      <sz val="11.0"/>
      <color theme="1"/>
      <name val="Calibri"/>
    </font>
    <font>
      <color rgb="FF434343"/>
      <name val="Roboto"/>
    </font>
    <font>
      <color theme="1"/>
      <name val="Roboto"/>
    </font>
    <font>
      <u/>
      <color rgb="FF434343"/>
      <name val="Roboto"/>
    </font>
    <font>
      <u/>
      <color rgb="FF434343"/>
      <name val="Roboto"/>
    </font>
    <font>
      <color rgb="FF434343"/>
      <name val="Arial"/>
    </font>
    <font>
      <sz val="11.0"/>
      <color rgb="FF434343"/>
      <name val="Calibri"/>
    </font>
    <font>
      <u/>
      <color rgb="FF434343"/>
      <name val="Roboto"/>
    </font>
    <font>
      <u/>
      <color rgb="FF434343"/>
      <name val="Roboto"/>
    </font>
    <font>
      <color theme="1"/>
      <name val="Arial"/>
      <scheme val="minor"/>
    </font>
    <font>
      <b/>
      <color theme="1"/>
      <name val="Arial"/>
      <scheme val="minor"/>
    </font>
    <font>
      <u/>
      <color rgb="FF0000FF"/>
      <name val="Roboto"/>
    </font>
    <font>
      <u/>
      <color rgb="FF0000FF"/>
      <name val="Roboto"/>
    </font>
  </fonts>
  <fills count="5">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s>
  <borders count="19">
    <border/>
    <border>
      <left style="thin">
        <color rgb="FFFF00FF"/>
      </left>
      <right style="thin">
        <color rgb="FFFF00FF"/>
      </right>
      <top style="thin">
        <color rgb="FFFF00FF"/>
      </top>
      <bottom style="thin">
        <color rgb="FFFF00FF"/>
      </bottom>
    </border>
    <border>
      <left style="thin">
        <color rgb="FF00FFFF"/>
      </left>
      <right style="thin">
        <color rgb="FF00FFFF"/>
      </right>
      <top style="thin">
        <color rgb="FF00FFFF"/>
      </top>
      <bottom style="thin">
        <color rgb="FF00FFFF"/>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FF0000"/>
      </left>
      <right style="thin">
        <color rgb="FFFF0000"/>
      </right>
      <top style="thin">
        <color rgb="FFFF0000"/>
      </top>
      <bottom style="thin">
        <color rgb="FFFF0000"/>
      </bottom>
    </border>
    <border>
      <left style="thin">
        <color rgb="FFFFFFFF"/>
      </left>
      <right style="thin">
        <color rgb="FF442F65"/>
      </right>
      <top style="thin">
        <color rgb="FFFFFFFF"/>
      </top>
      <bottom style="thin">
        <color rgb="FFFFFFFF"/>
      </bottom>
    </border>
    <border>
      <left style="thin">
        <color rgb="FFF8F9FA"/>
      </left>
      <right style="thin">
        <color rgb="FF442F65"/>
      </right>
      <top style="thin">
        <color rgb="FFF8F9FA"/>
      </top>
      <bottom style="thin">
        <color rgb="FFF8F9FA"/>
      </bottom>
    </border>
    <border>
      <left style="thin">
        <color rgb="FFFFFF00"/>
      </left>
      <right style="thin">
        <color rgb="FFFFFF00"/>
      </right>
      <top style="thin">
        <color rgb="FFFFFF00"/>
      </top>
      <bottom style="thin">
        <color rgb="FFFFFF00"/>
      </bottom>
    </border>
    <border>
      <left style="thin">
        <color rgb="FFFF00FF"/>
      </left>
      <right style="thin">
        <color rgb="FFFF00FF"/>
      </right>
      <top style="thin">
        <color rgb="FFFF00FF"/>
      </top>
      <bottom style="thin">
        <color rgb="FF442F65"/>
      </bottom>
    </border>
    <border>
      <left style="thin">
        <color rgb="FFF8F9FA"/>
      </left>
      <right style="thin">
        <color rgb="FFF8F9FA"/>
      </right>
      <top style="thin">
        <color rgb="FFF8F9FA"/>
      </top>
      <bottom style="thin">
        <color rgb="FF442F65"/>
      </bottom>
    </border>
    <border>
      <left style="thin">
        <color rgb="FF442F65"/>
      </left>
      <right style="thin">
        <color rgb="FFFFFFFF"/>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0" fillId="2" fontId="2" numFmtId="0" xfId="0" applyAlignment="1" applyFont="1">
      <alignment vertical="bottom"/>
    </xf>
    <xf borderId="0" fillId="2" fontId="2" numFmtId="0" xfId="0" applyAlignment="1" applyFont="1">
      <alignment horizontal="right" vertical="bottom"/>
    </xf>
    <xf borderId="0" fillId="2" fontId="3" numFmtId="0" xfId="0" applyAlignment="1" applyFont="1">
      <alignment horizontal="right" vertical="bottom"/>
    </xf>
    <xf borderId="0" fillId="2" fontId="4" numFmtId="0" xfId="0" applyAlignment="1" applyFont="1">
      <alignment shrinkToFit="0" vertical="bottom" wrapText="0"/>
    </xf>
    <xf borderId="0" fillId="2" fontId="4" numFmtId="0" xfId="0" applyAlignment="1" applyFont="1">
      <alignment horizontal="right" shrinkToFit="0" vertical="bottom" wrapText="0"/>
    </xf>
    <xf borderId="0" fillId="2" fontId="3" numFmtId="0" xfId="0" applyAlignment="1" applyFont="1">
      <alignment vertical="bottom"/>
    </xf>
    <xf borderId="0" fillId="2" fontId="2" numFmtId="0" xfId="0" applyAlignment="1" applyFont="1">
      <alignment readingOrder="0" vertical="bottom"/>
    </xf>
    <xf borderId="1" fillId="2" fontId="2" numFmtId="0" xfId="0" applyAlignment="1" applyBorder="1" applyFont="1">
      <alignment vertical="bottom"/>
    </xf>
    <xf borderId="2" fillId="2" fontId="2" numFmtId="0" xfId="0" applyAlignment="1" applyBorder="1" applyFont="1">
      <alignment horizontal="right" vertical="bottom"/>
    </xf>
    <xf borderId="3" fillId="2" fontId="2" numFmtId="0" xfId="0" applyAlignment="1" applyBorder="1" applyFont="1">
      <alignment horizontal="right" vertical="bottom"/>
    </xf>
    <xf borderId="4" fillId="2" fontId="2" numFmtId="0" xfId="0" applyAlignment="1" applyBorder="1" applyFont="1">
      <alignment horizontal="right" vertical="bottom"/>
    </xf>
    <xf borderId="1" fillId="2" fontId="4" numFmtId="0" xfId="0" applyAlignment="1" applyBorder="1" applyFont="1">
      <alignment shrinkToFit="0" vertical="bottom" wrapText="0"/>
    </xf>
    <xf borderId="4" fillId="2" fontId="4" numFmtId="0" xfId="0" applyAlignment="1" applyBorder="1" applyFont="1">
      <alignment horizontal="right" shrinkToFit="0" vertical="bottom" wrapText="0"/>
    </xf>
    <xf borderId="1" fillId="2" fontId="3" numFmtId="0" xfId="0" applyAlignment="1" applyBorder="1" applyFont="1">
      <alignment vertical="bottom"/>
    </xf>
    <xf borderId="4" fillId="2" fontId="2" numFmtId="0" xfId="0" applyAlignment="1" applyBorder="1" applyFont="1">
      <alignment vertical="bottom"/>
    </xf>
    <xf borderId="4" fillId="2" fontId="3" numFmtId="0" xfId="0" applyAlignment="1" applyBorder="1" applyFont="1">
      <alignment horizontal="right" vertical="bottom"/>
    </xf>
    <xf borderId="5" fillId="2" fontId="4" numFmtId="0" xfId="0" applyAlignment="1" applyBorder="1" applyFont="1">
      <alignment shrinkToFit="0" vertical="bottom" wrapText="0"/>
    </xf>
    <xf borderId="6" fillId="2" fontId="2" numFmtId="0" xfId="0" applyAlignment="1" applyBorder="1" applyFont="1">
      <alignment vertical="bottom"/>
    </xf>
    <xf borderId="5" fillId="2" fontId="2" numFmtId="0" xfId="0" applyAlignment="1" applyBorder="1" applyFont="1">
      <alignment vertical="bottom"/>
    </xf>
    <xf borderId="3" fillId="2" fontId="2" numFmtId="0" xfId="0" applyAlignment="1" applyBorder="1" applyFont="1">
      <alignment vertical="bottom"/>
    </xf>
    <xf borderId="7" fillId="2" fontId="2" numFmtId="0" xfId="0" applyAlignment="1" applyBorder="1" applyFont="1">
      <alignment vertical="bottom"/>
    </xf>
    <xf borderId="8" fillId="2" fontId="2" numFmtId="0" xfId="0" applyAlignment="1" applyBorder="1" applyFont="1">
      <alignment vertical="bottom"/>
    </xf>
    <xf borderId="3" fillId="2" fontId="4" numFmtId="0" xfId="0" applyAlignment="1" applyBorder="1" applyFont="1">
      <alignment horizontal="right" shrinkToFit="0" vertical="bottom" wrapText="0"/>
    </xf>
    <xf borderId="8" fillId="2" fontId="2" numFmtId="0" xfId="0" applyAlignment="1" applyBorder="1" applyFont="1">
      <alignment vertical="bottom"/>
    </xf>
    <xf borderId="4" fillId="2" fontId="2" numFmtId="0" xfId="0" applyAlignment="1" applyBorder="1" applyFont="1">
      <alignment horizontal="right" vertical="bottom"/>
    </xf>
    <xf borderId="3" fillId="2" fontId="2" numFmtId="0" xfId="0" applyAlignment="1" applyBorder="1" applyFont="1">
      <alignment horizontal="right" vertical="bottom"/>
    </xf>
    <xf borderId="5" fillId="2" fontId="2" numFmtId="0" xfId="0" applyAlignment="1" applyBorder="1" applyFont="1">
      <alignment vertical="bottom"/>
    </xf>
    <xf borderId="4" fillId="2" fontId="2" numFmtId="0" xfId="0" applyAlignment="1" applyBorder="1" applyFont="1">
      <alignment vertical="bottom"/>
    </xf>
    <xf borderId="4" fillId="2" fontId="3" numFmtId="0" xfId="0" applyAlignment="1" applyBorder="1" applyFont="1">
      <alignment horizontal="right" vertical="bottom"/>
    </xf>
    <xf borderId="4" fillId="2" fontId="2" numFmtId="0" xfId="0" applyAlignment="1" applyBorder="1" applyFont="1">
      <alignment readingOrder="0" vertical="bottom"/>
    </xf>
    <xf borderId="8" fillId="2" fontId="4" numFmtId="0" xfId="0" applyAlignment="1" applyBorder="1" applyFont="1">
      <alignment shrinkToFit="0" vertical="bottom" wrapText="0"/>
    </xf>
    <xf borderId="3" fillId="2" fontId="4" numFmtId="0" xfId="0" applyAlignment="1" applyBorder="1" applyFont="1">
      <alignment horizontal="right" shrinkToFit="0" vertical="bottom" wrapText="0"/>
    </xf>
    <xf borderId="5" fillId="2" fontId="3" numFmtId="0" xfId="0" applyAlignment="1" applyBorder="1" applyFont="1">
      <alignment vertical="bottom"/>
    </xf>
    <xf borderId="3" fillId="2" fontId="3" numFmtId="0" xfId="0" applyAlignment="1" applyBorder="1" applyFont="1">
      <alignment horizontal="right" vertical="bottom"/>
    </xf>
    <xf borderId="9" fillId="2" fontId="4" numFmtId="0" xfId="0" applyAlignment="1" applyBorder="1" applyFont="1">
      <alignment shrinkToFit="0" vertical="bottom" wrapText="0"/>
    </xf>
    <xf borderId="10" fillId="2" fontId="4" numFmtId="0" xfId="0" applyAlignment="1" applyBorder="1" applyFont="1">
      <alignment horizontal="right" shrinkToFit="0" vertical="bottom" wrapText="0"/>
    </xf>
    <xf borderId="0" fillId="2" fontId="2" numFmtId="0" xfId="0" applyAlignment="1" applyFont="1">
      <alignment horizontal="right" vertical="bottom"/>
    </xf>
    <xf borderId="0" fillId="0" fontId="3" numFmtId="0" xfId="0" applyAlignment="1" applyFont="1">
      <alignment vertical="bottom"/>
    </xf>
    <xf borderId="0" fillId="2" fontId="3" numFmtId="0" xfId="0" applyAlignment="1" applyFont="1">
      <alignment horizontal="right" vertical="bottom"/>
    </xf>
    <xf borderId="0" fillId="3" fontId="3" numFmtId="0" xfId="0" applyAlignment="1" applyFill="1" applyFont="1">
      <alignment vertical="bottom"/>
    </xf>
    <xf borderId="0" fillId="3" fontId="2" numFmtId="0" xfId="0" applyAlignment="1" applyFont="1">
      <alignment vertical="bottom"/>
    </xf>
    <xf borderId="0" fillId="0" fontId="3" numFmtId="0" xfId="0" applyAlignment="1" applyFont="1">
      <alignment horizontal="right" vertical="bottom"/>
    </xf>
    <xf borderId="0" fillId="0" fontId="2" numFmtId="0" xfId="0" applyAlignment="1" applyFont="1">
      <alignment horizontal="right" vertical="bottom"/>
    </xf>
    <xf borderId="0" fillId="2" fontId="3" numFmtId="0" xfId="0" applyAlignment="1" applyFont="1">
      <alignment vertical="bottom"/>
    </xf>
    <xf quotePrefix="1" borderId="0" fillId="2" fontId="2" numFmtId="0" xfId="0" applyAlignment="1" applyFont="1">
      <alignment vertical="bottom"/>
    </xf>
    <xf borderId="0" fillId="0" fontId="5" numFmtId="0" xfId="0" applyAlignment="1" applyFont="1">
      <alignment horizontal="left" readingOrder="0" shrinkToFit="0" vertical="center" wrapText="0"/>
    </xf>
    <xf borderId="0" fillId="0" fontId="2" numFmtId="0" xfId="0" applyAlignment="1" applyFont="1">
      <alignment vertical="bottom"/>
    </xf>
    <xf borderId="11" fillId="2" fontId="4" numFmtId="164" xfId="0" applyAlignment="1" applyBorder="1" applyFont="1" applyNumberFormat="1">
      <alignment horizontal="right" shrinkToFit="0" vertical="center" wrapText="0"/>
    </xf>
    <xf borderId="4" fillId="2" fontId="4" numFmtId="0" xfId="0" applyAlignment="1" applyBorder="1" applyFont="1">
      <alignment shrinkToFit="0" vertical="center" wrapText="0"/>
    </xf>
    <xf borderId="4" fillId="2" fontId="4" numFmtId="0" xfId="0" applyAlignment="1" applyBorder="1" applyFont="1">
      <alignment horizontal="left" readingOrder="0" shrinkToFit="0" vertical="center" wrapText="0"/>
    </xf>
    <xf borderId="4" fillId="2" fontId="4" numFmtId="0" xfId="0" applyAlignment="1" applyBorder="1" applyFont="1">
      <alignment horizontal="right" shrinkToFit="0" vertical="center" wrapText="0"/>
    </xf>
    <xf borderId="4" fillId="2" fontId="6" numFmtId="0" xfId="0" applyAlignment="1" applyBorder="1" applyFont="1">
      <alignment shrinkToFit="0" vertical="center" wrapText="0"/>
    </xf>
    <xf borderId="6" fillId="2" fontId="2" numFmtId="0" xfId="0" applyAlignment="1" applyBorder="1" applyFont="1">
      <alignment shrinkToFit="0" vertical="center" wrapText="0"/>
    </xf>
    <xf borderId="12" fillId="3" fontId="4" numFmtId="164" xfId="0" applyAlignment="1" applyBorder="1" applyFont="1" applyNumberFormat="1">
      <alignment horizontal="right" shrinkToFit="0" vertical="center" wrapText="0"/>
    </xf>
    <xf borderId="3" fillId="3" fontId="4" numFmtId="0" xfId="0" applyAlignment="1" applyBorder="1" applyFont="1">
      <alignment shrinkToFit="0" vertical="center" wrapText="0"/>
    </xf>
    <xf borderId="3" fillId="3" fontId="4" numFmtId="0" xfId="0" applyAlignment="1" applyBorder="1" applyFont="1">
      <alignment horizontal="left" readingOrder="0" shrinkToFit="0" vertical="center" wrapText="0"/>
    </xf>
    <xf borderId="3" fillId="3" fontId="4" numFmtId="0" xfId="0" applyAlignment="1" applyBorder="1" applyFont="1">
      <alignment horizontal="right" shrinkToFit="0" vertical="center" wrapText="0"/>
    </xf>
    <xf borderId="3" fillId="3" fontId="7" numFmtId="0" xfId="0" applyAlignment="1" applyBorder="1" applyFont="1">
      <alignment shrinkToFit="0" vertical="center" wrapText="0"/>
    </xf>
    <xf borderId="7" fillId="3" fontId="2" numFmtId="0" xfId="0" applyAlignment="1" applyBorder="1" applyFont="1">
      <alignment shrinkToFit="0" vertical="center" wrapText="0"/>
    </xf>
    <xf borderId="4" fillId="2" fontId="4" numFmtId="0" xfId="0" applyAlignment="1" applyBorder="1" applyFont="1">
      <alignment horizontal="left" shrinkToFit="0" vertical="center" wrapText="0"/>
    </xf>
    <xf borderId="3" fillId="3" fontId="4" numFmtId="0" xfId="0" applyAlignment="1" applyBorder="1" applyFont="1">
      <alignment horizontal="left" shrinkToFit="0" vertical="center" wrapText="0"/>
    </xf>
    <xf borderId="3" fillId="3" fontId="4" numFmtId="3" xfId="0" applyAlignment="1" applyBorder="1" applyFont="1" applyNumberFormat="1">
      <alignment horizontal="right" readingOrder="0" shrinkToFit="0" vertical="center" wrapText="0"/>
    </xf>
    <xf borderId="4" fillId="2" fontId="4" numFmtId="0" xfId="0" applyAlignment="1" applyBorder="1" applyFont="1">
      <alignment readingOrder="0" shrinkToFit="0" vertical="center" wrapText="0"/>
    </xf>
    <xf borderId="12" fillId="3" fontId="8" numFmtId="164" xfId="0" applyAlignment="1" applyBorder="1" applyFont="1" applyNumberFormat="1">
      <alignment horizontal="right" shrinkToFit="0" vertical="bottom" wrapText="0"/>
    </xf>
    <xf borderId="3" fillId="3" fontId="8" numFmtId="0" xfId="0" applyAlignment="1" applyBorder="1" applyFont="1">
      <alignment horizontal="right" shrinkToFit="0" vertical="bottom" wrapText="0"/>
    </xf>
    <xf borderId="3" fillId="3" fontId="8" numFmtId="0" xfId="0" applyAlignment="1" applyBorder="1" applyFont="1">
      <alignment horizontal="left" shrinkToFit="0" vertical="bottom" wrapText="0"/>
    </xf>
    <xf borderId="3" fillId="3" fontId="9" numFmtId="0" xfId="0" applyAlignment="1" applyBorder="1" applyFont="1">
      <alignment horizontal="right" shrinkToFit="0" vertical="bottom" wrapText="0"/>
    </xf>
    <xf borderId="3" fillId="3" fontId="8" numFmtId="0" xfId="0" applyAlignment="1" applyBorder="1" applyFont="1">
      <alignment shrinkToFit="0" vertical="bottom" wrapText="0"/>
    </xf>
    <xf borderId="3" fillId="3" fontId="8" numFmtId="3" xfId="0" applyAlignment="1" applyBorder="1" applyFont="1" applyNumberFormat="1">
      <alignment horizontal="right" readingOrder="0" shrinkToFit="0" vertical="bottom" wrapText="0"/>
    </xf>
    <xf borderId="3" fillId="3" fontId="4" numFmtId="0" xfId="0" applyAlignment="1" applyBorder="1" applyFont="1">
      <alignment readingOrder="0" shrinkToFit="0" vertical="center" wrapText="0"/>
    </xf>
    <xf borderId="11" fillId="2" fontId="8" numFmtId="164" xfId="0" applyAlignment="1" applyBorder="1" applyFont="1" applyNumberFormat="1">
      <alignment horizontal="right" shrinkToFit="0" vertical="bottom" wrapText="0"/>
    </xf>
    <xf borderId="4" fillId="2" fontId="8" numFmtId="0" xfId="0" applyAlignment="1" applyBorder="1" applyFont="1">
      <alignment horizontal="right" shrinkToFit="0" vertical="bottom" wrapText="0"/>
    </xf>
    <xf borderId="4" fillId="2" fontId="8" numFmtId="0" xfId="0" applyAlignment="1" applyBorder="1" applyFont="1">
      <alignment horizontal="left" shrinkToFit="0" vertical="bottom" wrapText="0"/>
    </xf>
    <xf borderId="4" fillId="2" fontId="9" numFmtId="0" xfId="0" applyAlignment="1" applyBorder="1" applyFont="1">
      <alignment horizontal="right" shrinkToFit="0" vertical="bottom" wrapText="0"/>
    </xf>
    <xf borderId="4" fillId="2" fontId="8" numFmtId="0" xfId="0" applyAlignment="1" applyBorder="1" applyFont="1">
      <alignment shrinkToFit="0" vertical="bottom" wrapText="0"/>
    </xf>
    <xf borderId="4" fillId="2" fontId="4" numFmtId="3" xfId="0" applyAlignment="1" applyBorder="1" applyFont="1" applyNumberFormat="1">
      <alignment horizontal="right" readingOrder="0" shrinkToFit="0" vertical="center" wrapText="0"/>
    </xf>
    <xf borderId="13" fillId="3" fontId="4" numFmtId="164" xfId="0" applyAlignment="1" applyBorder="1" applyFont="1" applyNumberFormat="1">
      <alignment horizontal="right" shrinkToFit="0" vertical="center" wrapText="0"/>
    </xf>
    <xf borderId="10" fillId="3" fontId="4" numFmtId="0" xfId="0" applyAlignment="1" applyBorder="1" applyFont="1">
      <alignment shrinkToFit="0" vertical="center" wrapText="0"/>
    </xf>
    <xf borderId="10" fillId="3" fontId="4" numFmtId="0" xfId="0" applyAlignment="1" applyBorder="1" applyFont="1">
      <alignment horizontal="left" shrinkToFit="0" vertical="center" wrapText="0"/>
    </xf>
    <xf borderId="10" fillId="3" fontId="4" numFmtId="0" xfId="0" applyAlignment="1" applyBorder="1" applyFont="1">
      <alignment horizontal="right" shrinkToFit="0" vertical="center" wrapText="0"/>
    </xf>
    <xf borderId="10" fillId="3" fontId="10" numFmtId="0" xfId="0" applyAlignment="1" applyBorder="1" applyFont="1">
      <alignment shrinkToFit="0" vertical="center" wrapText="0"/>
    </xf>
    <xf borderId="14" fillId="3" fontId="2" numFmtId="0" xfId="0" applyAlignment="1" applyBorder="1" applyFont="1">
      <alignment shrinkToFit="0" vertical="center" wrapText="0"/>
    </xf>
    <xf borderId="15" fillId="2" fontId="4" numFmtId="164" xfId="0" applyAlignment="1" applyBorder="1" applyFont="1" applyNumberFormat="1">
      <alignment horizontal="right" shrinkToFit="0" wrapText="0"/>
    </xf>
    <xf borderId="16" fillId="2" fontId="4" numFmtId="0" xfId="0" applyAlignment="1" applyBorder="1" applyFont="1">
      <alignment shrinkToFit="0" wrapText="0"/>
    </xf>
    <xf borderId="16" fillId="2" fontId="4" numFmtId="0" xfId="0" applyAlignment="1" applyBorder="1" applyFont="1">
      <alignment horizontal="left" shrinkToFit="0" wrapText="0"/>
    </xf>
    <xf borderId="16" fillId="2" fontId="4" numFmtId="0" xfId="0" applyAlignment="1" applyBorder="1" applyFont="1">
      <alignment horizontal="right" shrinkToFit="0" wrapText="0"/>
    </xf>
    <xf borderId="16" fillId="2" fontId="11" numFmtId="0" xfId="0" applyAlignment="1" applyBorder="1" applyFont="1">
      <alignment shrinkToFit="0" wrapText="0"/>
    </xf>
    <xf borderId="17" fillId="2" fontId="2" numFmtId="0" xfId="0" applyBorder="1" applyFont="1"/>
    <xf borderId="0" fillId="0" fontId="2" numFmtId="0" xfId="0" applyAlignment="1" applyFont="1">
      <alignment horizontal="left" vertical="bottom"/>
    </xf>
    <xf borderId="0" fillId="2" fontId="2" numFmtId="0" xfId="0" applyAlignment="1" applyFont="1">
      <alignment shrinkToFit="0" vertical="bottom" wrapText="0"/>
    </xf>
    <xf borderId="0" fillId="2" fontId="2" numFmtId="0" xfId="0" applyAlignment="1" applyFont="1">
      <alignment horizontal="right" shrinkToFit="0" vertical="bottom" wrapText="0"/>
    </xf>
    <xf borderId="0" fillId="0" fontId="12" numFmtId="0" xfId="0" applyAlignment="1" applyFont="1">
      <alignment shrinkToFit="0" vertical="center" wrapText="0"/>
    </xf>
    <xf borderId="0" fillId="0" fontId="12" numFmtId="0" xfId="0" applyAlignment="1" applyFont="1">
      <alignment readingOrder="0"/>
    </xf>
    <xf borderId="0" fillId="2" fontId="4" numFmtId="0" xfId="0" applyAlignment="1" applyFont="1">
      <alignment shrinkToFit="0" vertical="bottom" wrapText="0"/>
    </xf>
    <xf borderId="0" fillId="2" fontId="3" numFmtId="0" xfId="0" applyAlignment="1" applyFont="1">
      <alignment shrinkToFit="0" vertical="bottom" wrapText="0"/>
    </xf>
    <xf borderId="1" fillId="2" fontId="2" numFmtId="0" xfId="0" applyAlignment="1" applyBorder="1" applyFont="1">
      <alignment shrinkToFit="0" vertical="bottom" wrapText="0"/>
    </xf>
    <xf borderId="1" fillId="2" fontId="4" numFmtId="0" xfId="0" applyAlignment="1" applyBorder="1" applyFont="1">
      <alignment shrinkToFit="0" vertical="bottom" wrapText="0"/>
    </xf>
    <xf borderId="1" fillId="2" fontId="3" numFmtId="0" xfId="0" applyAlignment="1" applyBorder="1" applyFont="1">
      <alignment shrinkToFit="0" vertical="bottom" wrapText="0"/>
    </xf>
    <xf borderId="5" fillId="2" fontId="4" numFmtId="0" xfId="0" applyAlignment="1" applyBorder="1" applyFont="1">
      <alignment shrinkToFit="0" vertical="bottom" wrapText="0"/>
    </xf>
    <xf borderId="5" fillId="2" fontId="2" numFmtId="0" xfId="0" applyAlignment="1" applyBorder="1" applyFont="1">
      <alignment shrinkToFit="0" vertical="bottom" wrapText="0"/>
    </xf>
    <xf borderId="8" fillId="2" fontId="2" numFmtId="0" xfId="0" applyAlignment="1" applyBorder="1" applyFont="1">
      <alignment shrinkToFit="0" vertical="bottom" wrapText="0"/>
    </xf>
    <xf borderId="8" fillId="2" fontId="2" numFmtId="0" xfId="0" applyAlignment="1" applyBorder="1" applyFont="1">
      <alignment shrinkToFit="0" vertical="bottom" wrapText="0"/>
    </xf>
    <xf borderId="5" fillId="2" fontId="2" numFmtId="0" xfId="0" applyAlignment="1" applyBorder="1" applyFont="1">
      <alignment shrinkToFit="0" vertical="bottom" wrapText="0"/>
    </xf>
    <xf borderId="8" fillId="2" fontId="4" numFmtId="0" xfId="0" applyAlignment="1" applyBorder="1" applyFont="1">
      <alignment shrinkToFit="0" vertical="bottom" wrapText="0"/>
    </xf>
    <xf borderId="5" fillId="2" fontId="3" numFmtId="0" xfId="0" applyAlignment="1" applyBorder="1" applyFont="1">
      <alignment shrinkToFit="0" vertical="bottom" wrapText="0"/>
    </xf>
    <xf borderId="9" fillId="2" fontId="4" numFmtId="0" xfId="0" applyAlignment="1" applyBorder="1" applyFont="1">
      <alignment shrinkToFit="0" vertical="bottom" wrapText="0"/>
    </xf>
    <xf borderId="0" fillId="2" fontId="2" numFmtId="0" xfId="0" applyAlignment="1" applyFont="1">
      <alignment shrinkToFit="0" vertical="bottom" wrapText="0"/>
    </xf>
    <xf borderId="0" fillId="0" fontId="3" numFmtId="0" xfId="0" applyAlignment="1" applyFont="1">
      <alignment shrinkToFit="0" vertical="bottom" wrapText="0"/>
    </xf>
    <xf borderId="0" fillId="3" fontId="3" numFmtId="0" xfId="0" applyAlignment="1" applyFont="1">
      <alignment shrinkToFit="0" vertical="bottom" wrapText="0"/>
    </xf>
    <xf borderId="0" fillId="3" fontId="2" numFmtId="0" xfId="0" applyAlignment="1" applyFont="1">
      <alignment shrinkToFit="0" vertical="bottom" wrapText="0"/>
    </xf>
    <xf borderId="0" fillId="2" fontId="3" numFmtId="0" xfId="0" applyAlignment="1" applyFont="1">
      <alignment shrinkToFit="0" vertical="bottom" wrapText="0"/>
    </xf>
    <xf borderId="0" fillId="0" fontId="13" numFmtId="0" xfId="0" applyAlignment="1" applyFont="1">
      <alignment horizontal="left" readingOrder="0" shrinkToFit="0" vertical="center" wrapText="0"/>
    </xf>
    <xf borderId="0" fillId="0" fontId="13" numFmtId="0" xfId="0" applyAlignment="1" applyFont="1">
      <alignment horizontal="left" readingOrder="0" shrinkToFit="0" vertical="center" wrapText="0"/>
    </xf>
    <xf borderId="18" fillId="0" fontId="12" numFmtId="0" xfId="0" applyAlignment="1" applyBorder="1" applyFont="1">
      <alignment shrinkToFit="0" vertical="center" wrapText="0"/>
    </xf>
    <xf borderId="18" fillId="0" fontId="12" numFmtId="0" xfId="0" applyAlignment="1" applyBorder="1" applyFont="1">
      <alignment shrinkToFit="0" vertical="center" wrapText="0"/>
    </xf>
    <xf borderId="0" fillId="0" fontId="14" numFmtId="0" xfId="0" applyAlignment="1" applyFont="1">
      <alignment shrinkToFit="0" vertical="center" wrapText="0"/>
    </xf>
    <xf borderId="0" fillId="0" fontId="12" numFmtId="0" xfId="0" applyFont="1"/>
    <xf borderId="0" fillId="0" fontId="12" numFmtId="0" xfId="0" applyAlignment="1" applyFont="1">
      <alignment horizontal="left" readingOrder="0" shrinkToFit="0" vertical="center" wrapText="0"/>
    </xf>
    <xf borderId="0" fillId="0" fontId="12" numFmtId="0" xfId="0" applyAlignment="1" applyFont="1">
      <alignment shrinkToFit="0" vertical="center" wrapText="0"/>
    </xf>
    <xf borderId="0" fillId="0" fontId="12" numFmtId="0" xfId="0" applyAlignment="1" applyFont="1">
      <alignment shrinkToFit="0" vertical="center" wrapText="0"/>
    </xf>
    <xf borderId="0" fillId="0" fontId="15" numFmtId="0" xfId="0" applyAlignment="1" applyFont="1">
      <alignment readingOrder="0" shrinkToFit="0" vertical="center" wrapText="0"/>
    </xf>
    <xf borderId="0" fillId="0" fontId="12" numFmtId="0" xfId="0" applyAlignment="1" applyFont="1">
      <alignment readingOrder="0" shrinkToFit="0" vertical="center" wrapText="0"/>
    </xf>
    <xf borderId="18" fillId="4" fontId="1" numFmtId="0" xfId="0" applyAlignment="1" applyBorder="1" applyFill="1" applyFont="1">
      <alignment horizontal="center" vertical="bottom"/>
    </xf>
    <xf borderId="0" fillId="0" fontId="2" numFmtId="0" xfId="0" applyAlignment="1" applyFont="1">
      <alignment horizontal="center" vertical="bottom"/>
    </xf>
    <xf borderId="18" fillId="0" fontId="2" numFmtId="0" xfId="0" applyAlignment="1" applyBorder="1" applyFont="1">
      <alignment horizontal="center" vertical="bottom"/>
    </xf>
    <xf borderId="18" fillId="0" fontId="2" numFmtId="3" xfId="0" applyAlignment="1" applyBorder="1" applyFont="1" applyNumberFormat="1">
      <alignment horizontal="center" vertical="bottom"/>
    </xf>
  </cellXfs>
  <cellStyles count="1">
    <cellStyle xfId="0" name="Normal" builtinId="0"/>
  </cellStyles>
  <dxfs count="7">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B3F86"/>
          <bgColor rgb="FF5B3F86"/>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s>
  <tableStyles count="181">
    <tableStyle count="2" pivot="0" name="Raw Data-style">
      <tableStyleElement dxfId="1" type="firstRowStripe"/>
      <tableStyleElement dxfId="2" type="secondRowStripe"/>
    </tableStyle>
    <tableStyle count="2" pivot="0" name="Raw Data-style 2">
      <tableStyleElement dxfId="1" type="firstRowStripe"/>
      <tableStyleElement dxfId="2" type="secondRowStripe"/>
    </tableStyle>
    <tableStyle count="2" pivot="0" name="Raw Data-style 3">
      <tableStyleElement dxfId="2" type="firstRowStripe"/>
      <tableStyleElement dxfId="1" type="secondRowStripe"/>
    </tableStyle>
    <tableStyle count="2" pivot="0" name="Raw Data-style 4">
      <tableStyleElement dxfId="1" type="firstRowStripe"/>
      <tableStyleElement dxfId="2" type="secondRowStripe"/>
    </tableStyle>
    <tableStyle count="2" pivot="0" name="Raw Data-style 5">
      <tableStyleElement dxfId="2" type="firstRowStripe"/>
      <tableStyleElement dxfId="1" type="secondRowStripe"/>
    </tableStyle>
    <tableStyle count="2" pivot="0" name="Raw Data-style 6">
      <tableStyleElement dxfId="1" type="firstRowStripe"/>
      <tableStyleElement dxfId="2" type="secondRowStripe"/>
    </tableStyle>
    <tableStyle count="2" pivot="0" name="Raw Data-style 7">
      <tableStyleElement dxfId="2" type="firstRowStripe"/>
      <tableStyleElement dxfId="1" type="secondRowStripe"/>
    </tableStyle>
    <tableStyle count="2" pivot="0" name="Raw Data-style 8">
      <tableStyleElement dxfId="2" type="firstRowStripe"/>
      <tableStyleElement dxfId="1" type="secondRowStripe"/>
    </tableStyle>
    <tableStyle count="2" pivot="0" name="Raw Data-style 9">
      <tableStyleElement dxfId="1" type="firstRowStripe"/>
      <tableStyleElement dxfId="2" type="secondRowStripe"/>
    </tableStyle>
    <tableStyle count="2" pivot="0" name="Raw Data-style 10">
      <tableStyleElement dxfId="2" type="firstRowStripe"/>
      <tableStyleElement dxfId="1" type="secondRowStripe"/>
    </tableStyle>
    <tableStyle count="2" pivot="0" name="Raw Data-style 11">
      <tableStyleElement dxfId="2" type="firstRowStripe"/>
      <tableStyleElement dxfId="1" type="secondRowStripe"/>
    </tableStyle>
    <tableStyle count="2" pivot="0" name="Raw Data-style 12">
      <tableStyleElement dxfId="1" type="firstRowStripe"/>
      <tableStyleElement dxfId="2" type="secondRowStripe"/>
    </tableStyle>
    <tableStyle count="2" pivot="0" name="Raw Data-style 13">
      <tableStyleElement dxfId="1" type="firstRowStripe"/>
      <tableStyleElement dxfId="2" type="secondRowStripe"/>
    </tableStyle>
    <tableStyle count="2" pivot="0" name="Raw Data-style 14">
      <tableStyleElement dxfId="1" type="firstRowStripe"/>
      <tableStyleElement dxfId="2" type="secondRowStripe"/>
    </tableStyle>
    <tableStyle count="2" pivot="0" name="Raw Data-style 15">
      <tableStyleElement dxfId="2" type="firstRowStripe"/>
      <tableStyleElement dxfId="1" type="secondRowStripe"/>
    </tableStyle>
    <tableStyle count="2" pivot="0" name="Raw Data-style 16">
      <tableStyleElement dxfId="2" type="firstRowStripe"/>
      <tableStyleElement dxfId="1" type="secondRowStripe"/>
    </tableStyle>
    <tableStyle count="2" pivot="0" name="Raw Data-style 17">
      <tableStyleElement dxfId="2" type="firstRowStripe"/>
      <tableStyleElement dxfId="1" type="secondRowStripe"/>
    </tableStyle>
    <tableStyle count="2" pivot="0" name="Raw Data-style 18">
      <tableStyleElement dxfId="1" type="firstRowStripe"/>
      <tableStyleElement dxfId="2" type="secondRowStripe"/>
    </tableStyle>
    <tableStyle count="2" pivot="0" name="Raw Data-style 19">
      <tableStyleElement dxfId="2" type="firstRowStripe"/>
      <tableStyleElement dxfId="1" type="secondRowStripe"/>
    </tableStyle>
    <tableStyle count="2" pivot="0" name="Raw Data-style 20">
      <tableStyleElement dxfId="2" type="firstRowStripe"/>
      <tableStyleElement dxfId="1" type="secondRowStripe"/>
    </tableStyle>
    <tableStyle count="2" pivot="0" name="Raw Data-style 21">
      <tableStyleElement dxfId="1" type="firstRowStripe"/>
      <tableStyleElement dxfId="2" type="secondRowStripe"/>
    </tableStyle>
    <tableStyle count="2" pivot="0" name="Raw Data-style 22">
      <tableStyleElement dxfId="2" type="firstRowStripe"/>
      <tableStyleElement dxfId="1" type="secondRowStripe"/>
    </tableStyle>
    <tableStyle count="2" pivot="0" name="Raw Data-style 23">
      <tableStyleElement dxfId="2" type="firstRowStripe"/>
      <tableStyleElement dxfId="1" type="secondRowStripe"/>
    </tableStyle>
    <tableStyle count="2" pivot="0" name="Raw Data-style 24">
      <tableStyleElement dxfId="1" type="firstRowStripe"/>
      <tableStyleElement dxfId="2" type="secondRowStripe"/>
    </tableStyle>
    <tableStyle count="2" pivot="0" name="Raw Data-style 25">
      <tableStyleElement dxfId="1" type="firstRowStripe"/>
      <tableStyleElement dxfId="2" type="secondRowStripe"/>
    </tableStyle>
    <tableStyle count="2" pivot="0" name="Raw Data-style 26">
      <tableStyleElement dxfId="2" type="firstRowStripe"/>
      <tableStyleElement dxfId="1" type="secondRowStripe"/>
    </tableStyle>
    <tableStyle count="2" pivot="0" name="Raw Data-style 27">
      <tableStyleElement dxfId="2" type="firstRowStripe"/>
      <tableStyleElement dxfId="1" type="secondRowStripe"/>
    </tableStyle>
    <tableStyle count="2" pivot="0" name="Raw Data-style 28">
      <tableStyleElement dxfId="2" type="firstRowStripe"/>
      <tableStyleElement dxfId="1" type="secondRowStripe"/>
    </tableStyle>
    <tableStyle count="2" pivot="0" name="Raw Data-style 29">
      <tableStyleElement dxfId="2" type="firstRowStripe"/>
      <tableStyleElement dxfId="1" type="secondRowStripe"/>
    </tableStyle>
    <tableStyle count="2" pivot="0" name="Raw Data-style 30">
      <tableStyleElement dxfId="1" type="firstRowStripe"/>
      <tableStyleElement dxfId="2" type="secondRowStripe"/>
    </tableStyle>
    <tableStyle count="2" pivot="0" name="Raw Data-style 31">
      <tableStyleElement dxfId="1" type="firstRowStripe"/>
      <tableStyleElement dxfId="2" type="secondRowStripe"/>
    </tableStyle>
    <tableStyle count="2" pivot="0" name="Raw Data-style 32">
      <tableStyleElement dxfId="1" type="firstRowStripe"/>
      <tableStyleElement dxfId="2" type="secondRowStripe"/>
    </tableStyle>
    <tableStyle count="2" pivot="0" name="Raw Data-style 33">
      <tableStyleElement dxfId="2" type="firstRowStripe"/>
      <tableStyleElement dxfId="1" type="secondRowStripe"/>
    </tableStyle>
    <tableStyle count="2" pivot="0" name="Raw Data-style 34">
      <tableStyleElement dxfId="1" type="firstRowStripe"/>
      <tableStyleElement dxfId="2" type="secondRowStripe"/>
    </tableStyle>
    <tableStyle count="2" pivot="0" name="Raw Data-style 35">
      <tableStyleElement dxfId="1" type="firstRowStripe"/>
      <tableStyleElement dxfId="2" type="secondRowStripe"/>
    </tableStyle>
    <tableStyle count="2" pivot="0" name="Raw Data-style 36">
      <tableStyleElement dxfId="1" type="firstRowStripe"/>
      <tableStyleElement dxfId="2" type="secondRowStripe"/>
    </tableStyle>
    <tableStyle count="2" pivot="0" name="Raw Data-style 37">
      <tableStyleElement dxfId="1" type="firstRowStripe"/>
      <tableStyleElement dxfId="2" type="secondRowStripe"/>
    </tableStyle>
    <tableStyle count="2" pivot="0" name="Raw Data-style 38">
      <tableStyleElement dxfId="1" type="firstRowStripe"/>
      <tableStyleElement dxfId="2" type="secondRowStripe"/>
    </tableStyle>
    <tableStyle count="2" pivot="0" name="Raw Data-style 39">
      <tableStyleElement dxfId="1" type="firstRowStripe"/>
      <tableStyleElement dxfId="2" type="secondRowStripe"/>
    </tableStyle>
    <tableStyle count="2" pivot="0" name="Raw Data-style 40">
      <tableStyleElement dxfId="1" type="firstRowStripe"/>
      <tableStyleElement dxfId="2" type="secondRowStripe"/>
    </tableStyle>
    <tableStyle count="2" pivot="0" name="Raw Data-style 41">
      <tableStyleElement dxfId="1" type="firstRowStripe"/>
      <tableStyleElement dxfId="2" type="secondRowStripe"/>
    </tableStyle>
    <tableStyle count="2" pivot="0" name="Raw Data-style 42">
      <tableStyleElement dxfId="1" type="firstRowStripe"/>
      <tableStyleElement dxfId="2" type="secondRowStripe"/>
    </tableStyle>
    <tableStyle count="2" pivot="0" name="Raw Data-style 43">
      <tableStyleElement dxfId="2" type="firstRowStripe"/>
      <tableStyleElement dxfId="1" type="secondRowStripe"/>
    </tableStyle>
    <tableStyle count="2" pivot="0" name="Raw Data-style 44">
      <tableStyleElement dxfId="1" type="firstRowStripe"/>
      <tableStyleElement dxfId="2" type="secondRowStripe"/>
    </tableStyle>
    <tableStyle count="2" pivot="0" name="Raw Data-style 45">
      <tableStyleElement dxfId="2" type="firstRowStripe"/>
      <tableStyleElement dxfId="1" type="secondRowStripe"/>
    </tableStyle>
    <tableStyle count="2" pivot="0" name="Raw Data-style 46">
      <tableStyleElement dxfId="2" type="firstRowStripe"/>
      <tableStyleElement dxfId="1" type="secondRowStripe"/>
    </tableStyle>
    <tableStyle count="2" pivot="0" name="Raw Data-style 47">
      <tableStyleElement dxfId="1" type="firstRowStripe"/>
      <tableStyleElement dxfId="2" type="secondRowStripe"/>
    </tableStyle>
    <tableStyle count="2" pivot="0" name="Raw Data-style 48">
      <tableStyleElement dxfId="2" type="firstRowStripe"/>
      <tableStyleElement dxfId="1" type="secondRowStripe"/>
    </tableStyle>
    <tableStyle count="2" pivot="0" name="Raw Data-style 49">
      <tableStyleElement dxfId="2" type="firstRowStripe"/>
      <tableStyleElement dxfId="1" type="secondRowStripe"/>
    </tableStyle>
    <tableStyle count="2" pivot="0" name="Raw Data-style 50">
      <tableStyleElement dxfId="1" type="firstRowStripe"/>
      <tableStyleElement dxfId="2" type="secondRowStripe"/>
    </tableStyle>
    <tableStyle count="2" pivot="0" name="Raw Data-style 51">
      <tableStyleElement dxfId="2" type="firstRowStripe"/>
      <tableStyleElement dxfId="1" type="secondRowStripe"/>
    </tableStyle>
    <tableStyle count="2" pivot="0" name="Raw Data-style 52">
      <tableStyleElement dxfId="2" type="firstRowStripe"/>
      <tableStyleElement dxfId="1" type="secondRowStripe"/>
    </tableStyle>
    <tableStyle count="2" pivot="0" name="Raw Data-style 53">
      <tableStyleElement dxfId="2" type="firstRowStripe"/>
      <tableStyleElement dxfId="1" type="secondRowStripe"/>
    </tableStyle>
    <tableStyle count="2" pivot="0" name="Raw Data-style 54">
      <tableStyleElement dxfId="2" type="firstRowStripe"/>
      <tableStyleElement dxfId="1" type="secondRowStripe"/>
    </tableStyle>
    <tableStyle count="2" pivot="0" name="Raw Data-style 55">
      <tableStyleElement dxfId="1" type="firstRowStripe"/>
      <tableStyleElement dxfId="2" type="secondRowStripe"/>
    </tableStyle>
    <tableStyle count="2" pivot="0" name="Raw Data-style 56">
      <tableStyleElement dxfId="1" type="firstRowStripe"/>
      <tableStyleElement dxfId="2" type="secondRowStripe"/>
    </tableStyle>
    <tableStyle count="2" pivot="0" name="Raw Data-style 57">
      <tableStyleElement dxfId="1" type="firstRowStripe"/>
      <tableStyleElement dxfId="2" type="secondRowStripe"/>
    </tableStyle>
    <tableStyle count="2" pivot="0" name="Raw Data-style 58">
      <tableStyleElement dxfId="1" type="firstRowStripe"/>
      <tableStyleElement dxfId="2" type="secondRowStripe"/>
    </tableStyle>
    <tableStyle count="2" pivot="0" name="Raw Data-style 59">
      <tableStyleElement dxfId="2" type="firstRowStripe"/>
      <tableStyleElement dxfId="1" type="secondRowStripe"/>
    </tableStyle>
    <tableStyle count="2" pivot="0" name="Raw Data-style 60">
      <tableStyleElement dxfId="2" type="firstRowStripe"/>
      <tableStyleElement dxfId="1" type="secondRowStripe"/>
    </tableStyle>
    <tableStyle count="2" pivot="0" name="Raw Data-style 61">
      <tableStyleElement dxfId="2" type="firstRowStripe"/>
      <tableStyleElement dxfId="1" type="secondRowStripe"/>
    </tableStyle>
    <tableStyle count="2" pivot="0" name="Raw Data-style 62">
      <tableStyleElement dxfId="1" type="firstRowStripe"/>
      <tableStyleElement dxfId="2" type="secondRowStripe"/>
    </tableStyle>
    <tableStyle count="2" pivot="0" name="Raw Data-style 63">
      <tableStyleElement dxfId="1" type="firstRowStripe"/>
      <tableStyleElement dxfId="2" type="secondRowStripe"/>
    </tableStyle>
    <tableStyle count="2" pivot="0" name="Raw Data-style 64">
      <tableStyleElement dxfId="2" type="firstRowStripe"/>
      <tableStyleElement dxfId="1" type="secondRowStripe"/>
    </tableStyle>
    <tableStyle count="2" pivot="0" name="Raw Data-style 65">
      <tableStyleElement dxfId="1" type="firstRowStripe"/>
      <tableStyleElement dxfId="2" type="secondRowStripe"/>
    </tableStyle>
    <tableStyle count="2" pivot="0" name="Raw Data-style 66">
      <tableStyleElement dxfId="2" type="firstRowStripe"/>
      <tableStyleElement dxfId="1" type="secondRowStripe"/>
    </tableStyle>
    <tableStyle count="2" pivot="0" name="Raw Data-style 67">
      <tableStyleElement dxfId="1" type="firstRowStripe"/>
      <tableStyleElement dxfId="2" type="secondRowStripe"/>
    </tableStyle>
    <tableStyle count="2" pivot="0" name="Raw Data-style 68">
      <tableStyleElement dxfId="1" type="firstRowStripe"/>
      <tableStyleElement dxfId="2" type="secondRowStripe"/>
    </tableStyle>
    <tableStyle count="2" pivot="0" name="Raw Data-style 69">
      <tableStyleElement dxfId="1" type="firstRowStripe"/>
      <tableStyleElement dxfId="2" type="secondRowStripe"/>
    </tableStyle>
    <tableStyle count="2" pivot="0" name="Raw Data-style 70">
      <tableStyleElement dxfId="1" type="firstRowStripe"/>
      <tableStyleElement dxfId="2" type="secondRowStripe"/>
    </tableStyle>
    <tableStyle count="2" pivot="0" name="Raw Data-style 71">
      <tableStyleElement dxfId="2" type="firstRowStripe"/>
      <tableStyleElement dxfId="1" type="secondRowStripe"/>
    </tableStyle>
    <tableStyle count="2" pivot="0" name="Raw Data-style 72">
      <tableStyleElement dxfId="1" type="firstRowStripe"/>
      <tableStyleElement dxfId="2" type="secondRowStripe"/>
    </tableStyle>
    <tableStyle count="2" pivot="0" name="Raw Data-style 73">
      <tableStyleElement dxfId="1" type="firstRowStripe"/>
      <tableStyleElement dxfId="2" type="secondRowStripe"/>
    </tableStyle>
    <tableStyle count="2" pivot="0" name="Raw Data-style 74">
      <tableStyleElement dxfId="2" type="firstRowStripe"/>
      <tableStyleElement dxfId="1" type="secondRowStripe"/>
    </tableStyle>
    <tableStyle count="2" pivot="0" name="Raw Data-style 75">
      <tableStyleElement dxfId="1" type="firstRowStripe"/>
      <tableStyleElement dxfId="2" type="secondRowStripe"/>
    </tableStyle>
    <tableStyle count="2" pivot="0" name="Raw Data-style 76">
      <tableStyleElement dxfId="2" type="firstRowStripe"/>
      <tableStyleElement dxfId="1" type="secondRowStripe"/>
    </tableStyle>
    <tableStyle count="2" pivot="0" name="Raw Data-style 77">
      <tableStyleElement dxfId="1" type="firstRowStripe"/>
      <tableStyleElement dxfId="2" type="secondRowStripe"/>
    </tableStyle>
    <tableStyle count="2" pivot="0" name="Raw Data-style 78">
      <tableStyleElement dxfId="2" type="firstRowStripe"/>
      <tableStyleElement dxfId="1" type="secondRowStripe"/>
    </tableStyle>
    <tableStyle count="2" pivot="0" name="Raw Data-style 79">
      <tableStyleElement dxfId="1" type="firstRowStripe"/>
      <tableStyleElement dxfId="2" type="secondRowStripe"/>
    </tableStyle>
    <tableStyle count="2" pivot="0" name="Raw Data-style 80">
      <tableStyleElement dxfId="1" type="firstRowStripe"/>
      <tableStyleElement dxfId="2" type="secondRowStripe"/>
    </tableStyle>
    <tableStyle count="2" pivot="0" name="Raw Data-style 81">
      <tableStyleElement dxfId="2" type="firstRowStripe"/>
      <tableStyleElement dxfId="1" type="secondRowStripe"/>
    </tableStyle>
    <tableStyle count="2" pivot="0" name="Raw Data-style 82">
      <tableStyleElement dxfId="1" type="firstRowStripe"/>
      <tableStyleElement dxfId="2" type="secondRowStripe"/>
    </tableStyle>
    <tableStyle count="2" pivot="0" name="Raw Data-style 83">
      <tableStyleElement dxfId="2" type="firstRowStripe"/>
      <tableStyleElement dxfId="1" type="secondRowStripe"/>
    </tableStyle>
    <tableStyle count="2" pivot="0" name="Raw Data-style 84">
      <tableStyleElement dxfId="1" type="firstRowStripe"/>
      <tableStyleElement dxfId="2" type="secondRowStripe"/>
    </tableStyle>
    <tableStyle count="2" pivot="0" name="Raw Data-style 85">
      <tableStyleElement dxfId="2" type="firstRowStripe"/>
      <tableStyleElement dxfId="1" type="secondRowStripe"/>
    </tableStyle>
    <tableStyle count="2" pivot="0" name="Raw Data-style 86">
      <tableStyleElement dxfId="2" type="firstRowStripe"/>
      <tableStyleElement dxfId="1" type="secondRowStripe"/>
    </tableStyle>
    <tableStyle count="2" pivot="0" name="Raw Data-style 87">
      <tableStyleElement dxfId="2" type="firstRowStripe"/>
      <tableStyleElement dxfId="1" type="secondRowStripe"/>
    </tableStyle>
    <tableStyle count="2" pivot="0" name="Raw Data-style 88">
      <tableStyleElement dxfId="1" type="firstRowStripe"/>
      <tableStyleElement dxfId="2" type="secondRowStripe"/>
    </tableStyle>
    <tableStyle count="2" pivot="0" name="Actual_Data-style">
      <tableStyleElement dxfId="1" type="firstRowStripe"/>
      <tableStyleElement dxfId="2" type="secondRowStripe"/>
    </tableStyle>
    <tableStyle count="2" pivot="0" name="Actual_Data-style 2">
      <tableStyleElement dxfId="1" type="firstRowStripe"/>
      <tableStyleElement dxfId="2" type="secondRowStripe"/>
    </tableStyle>
    <tableStyle count="2" pivot="0" name="Actual_Data-style 3">
      <tableStyleElement dxfId="2" type="firstRowStripe"/>
      <tableStyleElement dxfId="1" type="secondRowStripe"/>
    </tableStyle>
    <tableStyle count="2" pivot="0" name="Actual_Data-style 4">
      <tableStyleElement dxfId="1" type="firstRowStripe"/>
      <tableStyleElement dxfId="2" type="secondRowStripe"/>
    </tableStyle>
    <tableStyle count="2" pivot="0" name="Actual_Data-style 5">
      <tableStyleElement dxfId="2" type="firstRowStripe"/>
      <tableStyleElement dxfId="1" type="secondRowStripe"/>
    </tableStyle>
    <tableStyle count="2" pivot="0" name="Actual_Data-style 6">
      <tableStyleElement dxfId="1" type="firstRowStripe"/>
      <tableStyleElement dxfId="2" type="secondRowStripe"/>
    </tableStyle>
    <tableStyle count="2" pivot="0" name="Actual_Data-style 7">
      <tableStyleElement dxfId="2" type="firstRowStripe"/>
      <tableStyleElement dxfId="1" type="secondRowStripe"/>
    </tableStyle>
    <tableStyle count="2" pivot="0" name="Actual_Data-style 8">
      <tableStyleElement dxfId="2" type="firstRowStripe"/>
      <tableStyleElement dxfId="1" type="secondRowStripe"/>
    </tableStyle>
    <tableStyle count="2" pivot="0" name="Actual_Data-style 9">
      <tableStyleElement dxfId="1" type="firstRowStripe"/>
      <tableStyleElement dxfId="2" type="secondRowStripe"/>
    </tableStyle>
    <tableStyle count="2" pivot="0" name="Actual_Data-style 10">
      <tableStyleElement dxfId="2" type="firstRowStripe"/>
      <tableStyleElement dxfId="1" type="secondRowStripe"/>
    </tableStyle>
    <tableStyle count="2" pivot="0" name="Actual_Data-style 11">
      <tableStyleElement dxfId="2" type="firstRowStripe"/>
      <tableStyleElement dxfId="1" type="secondRowStripe"/>
    </tableStyle>
    <tableStyle count="2" pivot="0" name="Actual_Data-style 12">
      <tableStyleElement dxfId="1" type="firstRowStripe"/>
      <tableStyleElement dxfId="2" type="secondRowStripe"/>
    </tableStyle>
    <tableStyle count="2" pivot="0" name="Actual_Data-style 13">
      <tableStyleElement dxfId="1" type="firstRowStripe"/>
      <tableStyleElement dxfId="2" type="secondRowStripe"/>
    </tableStyle>
    <tableStyle count="2" pivot="0" name="Actual_Data-style 14">
      <tableStyleElement dxfId="1" type="firstRowStripe"/>
      <tableStyleElement dxfId="2" type="secondRowStripe"/>
    </tableStyle>
    <tableStyle count="2" pivot="0" name="Actual_Data-style 15">
      <tableStyleElement dxfId="2" type="firstRowStripe"/>
      <tableStyleElement dxfId="1" type="secondRowStripe"/>
    </tableStyle>
    <tableStyle count="2" pivot="0" name="Actual_Data-style 16">
      <tableStyleElement dxfId="2" type="firstRowStripe"/>
      <tableStyleElement dxfId="1" type="secondRowStripe"/>
    </tableStyle>
    <tableStyle count="2" pivot="0" name="Actual_Data-style 17">
      <tableStyleElement dxfId="2" type="firstRowStripe"/>
      <tableStyleElement dxfId="1" type="secondRowStripe"/>
    </tableStyle>
    <tableStyle count="2" pivot="0" name="Actual_Data-style 18">
      <tableStyleElement dxfId="1" type="firstRowStripe"/>
      <tableStyleElement dxfId="2" type="secondRowStripe"/>
    </tableStyle>
    <tableStyle count="2" pivot="0" name="Actual_Data-style 19">
      <tableStyleElement dxfId="2" type="firstRowStripe"/>
      <tableStyleElement dxfId="1" type="secondRowStripe"/>
    </tableStyle>
    <tableStyle count="2" pivot="0" name="Actual_Data-style 20">
      <tableStyleElement dxfId="2" type="firstRowStripe"/>
      <tableStyleElement dxfId="1" type="secondRowStripe"/>
    </tableStyle>
    <tableStyle count="2" pivot="0" name="Actual_Data-style 21">
      <tableStyleElement dxfId="1" type="firstRowStripe"/>
      <tableStyleElement dxfId="2" type="secondRowStripe"/>
    </tableStyle>
    <tableStyle count="2" pivot="0" name="Actual_Data-style 22">
      <tableStyleElement dxfId="2" type="firstRowStripe"/>
      <tableStyleElement dxfId="1" type="secondRowStripe"/>
    </tableStyle>
    <tableStyle count="2" pivot="0" name="Actual_Data-style 23">
      <tableStyleElement dxfId="2" type="firstRowStripe"/>
      <tableStyleElement dxfId="1" type="secondRowStripe"/>
    </tableStyle>
    <tableStyle count="2" pivot="0" name="Actual_Data-style 24">
      <tableStyleElement dxfId="1" type="firstRowStripe"/>
      <tableStyleElement dxfId="2" type="secondRowStripe"/>
    </tableStyle>
    <tableStyle count="2" pivot="0" name="Actual_Data-style 25">
      <tableStyleElement dxfId="1" type="firstRowStripe"/>
      <tableStyleElement dxfId="2" type="secondRowStripe"/>
    </tableStyle>
    <tableStyle count="2" pivot="0" name="Actual_Data-style 26">
      <tableStyleElement dxfId="2" type="firstRowStripe"/>
      <tableStyleElement dxfId="1" type="secondRowStripe"/>
    </tableStyle>
    <tableStyle count="2" pivot="0" name="Actual_Data-style 27">
      <tableStyleElement dxfId="2" type="firstRowStripe"/>
      <tableStyleElement dxfId="1" type="secondRowStripe"/>
    </tableStyle>
    <tableStyle count="2" pivot="0" name="Actual_Data-style 28">
      <tableStyleElement dxfId="2" type="firstRowStripe"/>
      <tableStyleElement dxfId="1" type="secondRowStripe"/>
    </tableStyle>
    <tableStyle count="2" pivot="0" name="Actual_Data-style 29">
      <tableStyleElement dxfId="2" type="firstRowStripe"/>
      <tableStyleElement dxfId="1" type="secondRowStripe"/>
    </tableStyle>
    <tableStyle count="2" pivot="0" name="Actual_Data-style 30">
      <tableStyleElement dxfId="1" type="firstRowStripe"/>
      <tableStyleElement dxfId="2" type="secondRowStripe"/>
    </tableStyle>
    <tableStyle count="2" pivot="0" name="Actual_Data-style 31">
      <tableStyleElement dxfId="1" type="firstRowStripe"/>
      <tableStyleElement dxfId="2" type="secondRowStripe"/>
    </tableStyle>
    <tableStyle count="2" pivot="0" name="Actual_Data-style 32">
      <tableStyleElement dxfId="1" type="firstRowStripe"/>
      <tableStyleElement dxfId="2" type="secondRowStripe"/>
    </tableStyle>
    <tableStyle count="2" pivot="0" name="Actual_Data-style 33">
      <tableStyleElement dxfId="2" type="firstRowStripe"/>
      <tableStyleElement dxfId="1" type="secondRowStripe"/>
    </tableStyle>
    <tableStyle count="2" pivot="0" name="Actual_Data-style 34">
      <tableStyleElement dxfId="1" type="firstRowStripe"/>
      <tableStyleElement dxfId="2" type="secondRowStripe"/>
    </tableStyle>
    <tableStyle count="2" pivot="0" name="Actual_Data-style 35">
      <tableStyleElement dxfId="1" type="firstRowStripe"/>
      <tableStyleElement dxfId="2" type="secondRowStripe"/>
    </tableStyle>
    <tableStyle count="2" pivot="0" name="Actual_Data-style 36">
      <tableStyleElement dxfId="1" type="firstRowStripe"/>
      <tableStyleElement dxfId="2" type="secondRowStripe"/>
    </tableStyle>
    <tableStyle count="2" pivot="0" name="Actual_Data-style 37">
      <tableStyleElement dxfId="1" type="firstRowStripe"/>
      <tableStyleElement dxfId="2" type="secondRowStripe"/>
    </tableStyle>
    <tableStyle count="2" pivot="0" name="Actual_Data-style 38">
      <tableStyleElement dxfId="1" type="firstRowStripe"/>
      <tableStyleElement dxfId="2" type="secondRowStripe"/>
    </tableStyle>
    <tableStyle count="2" pivot="0" name="Actual_Data-style 39">
      <tableStyleElement dxfId="1" type="firstRowStripe"/>
      <tableStyleElement dxfId="2" type="secondRowStripe"/>
    </tableStyle>
    <tableStyle count="2" pivot="0" name="Actual_Data-style 40">
      <tableStyleElement dxfId="1" type="firstRowStripe"/>
      <tableStyleElement dxfId="2" type="secondRowStripe"/>
    </tableStyle>
    <tableStyle count="2" pivot="0" name="Actual_Data-style 41">
      <tableStyleElement dxfId="1" type="firstRowStripe"/>
      <tableStyleElement dxfId="2" type="secondRowStripe"/>
    </tableStyle>
    <tableStyle count="2" pivot="0" name="Actual_Data-style 42">
      <tableStyleElement dxfId="1" type="firstRowStripe"/>
      <tableStyleElement dxfId="2" type="secondRowStripe"/>
    </tableStyle>
    <tableStyle count="2" pivot="0" name="Actual_Data-style 43">
      <tableStyleElement dxfId="2" type="firstRowStripe"/>
      <tableStyleElement dxfId="1" type="secondRowStripe"/>
    </tableStyle>
    <tableStyle count="2" pivot="0" name="Actual_Data-style 44">
      <tableStyleElement dxfId="1" type="firstRowStripe"/>
      <tableStyleElement dxfId="2" type="secondRowStripe"/>
    </tableStyle>
    <tableStyle count="2" pivot="0" name="Actual_Data-style 45">
      <tableStyleElement dxfId="2" type="firstRowStripe"/>
      <tableStyleElement dxfId="1" type="secondRowStripe"/>
    </tableStyle>
    <tableStyle count="2" pivot="0" name="Actual_Data-style 46">
      <tableStyleElement dxfId="2" type="firstRowStripe"/>
      <tableStyleElement dxfId="1" type="secondRowStripe"/>
    </tableStyle>
    <tableStyle count="2" pivot="0" name="Actual_Data-style 47">
      <tableStyleElement dxfId="1" type="firstRowStripe"/>
      <tableStyleElement dxfId="2" type="secondRowStripe"/>
    </tableStyle>
    <tableStyle count="2" pivot="0" name="Actual_Data-style 48">
      <tableStyleElement dxfId="2" type="firstRowStripe"/>
      <tableStyleElement dxfId="1" type="secondRowStripe"/>
    </tableStyle>
    <tableStyle count="2" pivot="0" name="Actual_Data-style 49">
      <tableStyleElement dxfId="2" type="firstRowStripe"/>
      <tableStyleElement dxfId="1" type="secondRowStripe"/>
    </tableStyle>
    <tableStyle count="2" pivot="0" name="Actual_Data-style 50">
      <tableStyleElement dxfId="1" type="firstRowStripe"/>
      <tableStyleElement dxfId="2" type="secondRowStripe"/>
    </tableStyle>
    <tableStyle count="2" pivot="0" name="Actual_Data-style 51">
      <tableStyleElement dxfId="2" type="firstRowStripe"/>
      <tableStyleElement dxfId="1" type="secondRowStripe"/>
    </tableStyle>
    <tableStyle count="2" pivot="0" name="Actual_Data-style 52">
      <tableStyleElement dxfId="2" type="firstRowStripe"/>
      <tableStyleElement dxfId="1" type="secondRowStripe"/>
    </tableStyle>
    <tableStyle count="2" pivot="0" name="Actual_Data-style 53">
      <tableStyleElement dxfId="2" type="firstRowStripe"/>
      <tableStyleElement dxfId="1" type="secondRowStripe"/>
    </tableStyle>
    <tableStyle count="2" pivot="0" name="Actual_Data-style 54">
      <tableStyleElement dxfId="2" type="firstRowStripe"/>
      <tableStyleElement dxfId="1" type="secondRowStripe"/>
    </tableStyle>
    <tableStyle count="2" pivot="0" name="Actual_Data-style 55">
      <tableStyleElement dxfId="1" type="firstRowStripe"/>
      <tableStyleElement dxfId="2" type="secondRowStripe"/>
    </tableStyle>
    <tableStyle count="2" pivot="0" name="Actual_Data-style 56">
      <tableStyleElement dxfId="1" type="firstRowStripe"/>
      <tableStyleElement dxfId="2" type="secondRowStripe"/>
    </tableStyle>
    <tableStyle count="2" pivot="0" name="Actual_Data-style 57">
      <tableStyleElement dxfId="1" type="firstRowStripe"/>
      <tableStyleElement dxfId="2" type="secondRowStripe"/>
    </tableStyle>
    <tableStyle count="2" pivot="0" name="Actual_Data-style 58">
      <tableStyleElement dxfId="1" type="firstRowStripe"/>
      <tableStyleElement dxfId="2" type="secondRowStripe"/>
    </tableStyle>
    <tableStyle count="2" pivot="0" name="Actual_Data-style 59">
      <tableStyleElement dxfId="2" type="firstRowStripe"/>
      <tableStyleElement dxfId="1" type="secondRowStripe"/>
    </tableStyle>
    <tableStyle count="2" pivot="0" name="Actual_Data-style 60">
      <tableStyleElement dxfId="2" type="firstRowStripe"/>
      <tableStyleElement dxfId="1" type="secondRowStripe"/>
    </tableStyle>
    <tableStyle count="2" pivot="0" name="Actual_Data-style 61">
      <tableStyleElement dxfId="2" type="firstRowStripe"/>
      <tableStyleElement dxfId="1" type="secondRowStripe"/>
    </tableStyle>
    <tableStyle count="2" pivot="0" name="Actual_Data-style 62">
      <tableStyleElement dxfId="1" type="firstRowStripe"/>
      <tableStyleElement dxfId="2" type="secondRowStripe"/>
    </tableStyle>
    <tableStyle count="2" pivot="0" name="Actual_Data-style 63">
      <tableStyleElement dxfId="1" type="firstRowStripe"/>
      <tableStyleElement dxfId="2" type="secondRowStripe"/>
    </tableStyle>
    <tableStyle count="2" pivot="0" name="Actual_Data-style 64">
      <tableStyleElement dxfId="2" type="firstRowStripe"/>
      <tableStyleElement dxfId="1" type="secondRowStripe"/>
    </tableStyle>
    <tableStyle count="2" pivot="0" name="Actual_Data-style 65">
      <tableStyleElement dxfId="1" type="firstRowStripe"/>
      <tableStyleElement dxfId="2" type="secondRowStripe"/>
    </tableStyle>
    <tableStyle count="2" pivot="0" name="Actual_Data-style 66">
      <tableStyleElement dxfId="2" type="firstRowStripe"/>
      <tableStyleElement dxfId="1" type="secondRowStripe"/>
    </tableStyle>
    <tableStyle count="2" pivot="0" name="Actual_Data-style 67">
      <tableStyleElement dxfId="1" type="firstRowStripe"/>
      <tableStyleElement dxfId="2" type="secondRowStripe"/>
    </tableStyle>
    <tableStyle count="2" pivot="0" name="Actual_Data-style 68">
      <tableStyleElement dxfId="1" type="firstRowStripe"/>
      <tableStyleElement dxfId="2" type="secondRowStripe"/>
    </tableStyle>
    <tableStyle count="2" pivot="0" name="Actual_Data-style 69">
      <tableStyleElement dxfId="1" type="firstRowStripe"/>
      <tableStyleElement dxfId="2" type="secondRowStripe"/>
    </tableStyle>
    <tableStyle count="2" pivot="0" name="Actual_Data-style 70">
      <tableStyleElement dxfId="1" type="firstRowStripe"/>
      <tableStyleElement dxfId="2" type="secondRowStripe"/>
    </tableStyle>
    <tableStyle count="2" pivot="0" name="Actual_Data-style 71">
      <tableStyleElement dxfId="2" type="firstRowStripe"/>
      <tableStyleElement dxfId="1" type="secondRowStripe"/>
    </tableStyle>
    <tableStyle count="2" pivot="0" name="Actual_Data-style 72">
      <tableStyleElement dxfId="1" type="firstRowStripe"/>
      <tableStyleElement dxfId="2" type="secondRowStripe"/>
    </tableStyle>
    <tableStyle count="2" pivot="0" name="Actual_Data-style 73">
      <tableStyleElement dxfId="1" type="firstRowStripe"/>
      <tableStyleElement dxfId="2" type="secondRowStripe"/>
    </tableStyle>
    <tableStyle count="2" pivot="0" name="Actual_Data-style 74">
      <tableStyleElement dxfId="2" type="firstRowStripe"/>
      <tableStyleElement dxfId="1" type="secondRowStripe"/>
    </tableStyle>
    <tableStyle count="2" pivot="0" name="Actual_Data-style 75">
      <tableStyleElement dxfId="1" type="firstRowStripe"/>
      <tableStyleElement dxfId="2" type="secondRowStripe"/>
    </tableStyle>
    <tableStyle count="2" pivot="0" name="Actual_Data-style 76">
      <tableStyleElement dxfId="2" type="firstRowStripe"/>
      <tableStyleElement dxfId="1" type="secondRowStripe"/>
    </tableStyle>
    <tableStyle count="2" pivot="0" name="Actual_Data-style 77">
      <tableStyleElement dxfId="1" type="firstRowStripe"/>
      <tableStyleElement dxfId="2" type="secondRowStripe"/>
    </tableStyle>
    <tableStyle count="2" pivot="0" name="Actual_Data-style 78">
      <tableStyleElement dxfId="2" type="firstRowStripe"/>
      <tableStyleElement dxfId="1" type="secondRowStripe"/>
    </tableStyle>
    <tableStyle count="2" pivot="0" name="Actual_Data-style 79">
      <tableStyleElement dxfId="1" type="firstRowStripe"/>
      <tableStyleElement dxfId="2" type="secondRowStripe"/>
    </tableStyle>
    <tableStyle count="2" pivot="0" name="Actual_Data-style 80">
      <tableStyleElement dxfId="1" type="firstRowStripe"/>
      <tableStyleElement dxfId="2" type="secondRowStripe"/>
    </tableStyle>
    <tableStyle count="2" pivot="0" name="Actual_Data-style 81">
      <tableStyleElement dxfId="2" type="firstRowStripe"/>
      <tableStyleElement dxfId="1" type="secondRowStripe"/>
    </tableStyle>
    <tableStyle count="2" pivot="0" name="Actual_Data-style 82">
      <tableStyleElement dxfId="1" type="firstRowStripe"/>
      <tableStyleElement dxfId="2" type="secondRowStripe"/>
    </tableStyle>
    <tableStyle count="2" pivot="0" name="Actual_Data-style 83">
      <tableStyleElement dxfId="2" type="firstRowStripe"/>
      <tableStyleElement dxfId="1" type="secondRowStripe"/>
    </tableStyle>
    <tableStyle count="2" pivot="0" name="Actual_Data-style 84">
      <tableStyleElement dxfId="1" type="firstRowStripe"/>
      <tableStyleElement dxfId="2" type="secondRowStripe"/>
    </tableStyle>
    <tableStyle count="2" pivot="0" name="Actual_Data-style 85">
      <tableStyleElement dxfId="2" type="firstRowStripe"/>
      <tableStyleElement dxfId="1" type="secondRowStripe"/>
    </tableStyle>
    <tableStyle count="2" pivot="0" name="Actual_Data-style 86">
      <tableStyleElement dxfId="2" type="firstRowStripe"/>
      <tableStyleElement dxfId="1" type="secondRowStripe"/>
    </tableStyle>
    <tableStyle count="2" pivot="0" name="Actual_Data-style 87">
      <tableStyleElement dxfId="2" type="firstRowStripe"/>
      <tableStyleElement dxfId="1" type="secondRowStripe"/>
    </tableStyle>
    <tableStyle count="2" pivot="0" name="Actual_Data-style 88">
      <tableStyleElement dxfId="1" type="firstRowStripe"/>
      <tableStyleElement dxfId="2" type="secondRowStripe"/>
    </tableStyle>
    <tableStyle count="4" pivot="0" name="Aaradhak_Details-style">
      <tableStyleElement dxfId="3" type="headerRow"/>
      <tableStyleElement dxfId="1" type="firstRowStripe"/>
      <tableStyleElement dxfId="2" type="secondRowStripe"/>
      <tableStyleElement dxfId="4" size="0" type="wholeTable"/>
    </tableStyle>
    <tableStyle count="2" pivot="0" name="Aaradhak_Details-style 2">
      <tableStyleElement dxfId="1" type="firstRowStripe"/>
      <tableStyleElement dxfId="2" type="secondRowStripe"/>
    </tableStyle>
    <tableStyle count="4" pivot="0" name="ID Card Data-style">
      <tableStyleElement dxfId="3" type="headerRow"/>
      <tableStyleElement dxfId="1" type="firstRowStripe"/>
      <tableStyleElement dxfId="2" type="secondRowStripe"/>
      <tableStyleElement dxfId="4" size="0" type="wholeTable"/>
    </tableStyle>
    <tableStyle count="4" pivot="0" name="ID_Card_Output-style">
      <tableStyleElement dxfId="5" type="headerRow"/>
      <tableStyleElement dxfId="1" type="firstRowStripe"/>
      <tableStyleElement dxfId="6" type="secondRowStripe"/>
      <tableStyleElement dxfId="4" size="0" type="wholeTable"/>
    </tableStyle>
    <tableStyle count="4" pivot="0" name="Final Data-style">
      <tableStyleElement dxfId="5" type="headerRow"/>
      <tableStyleElement dxfId="1"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R22" displayName="Table_1" name="Table_1" id="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showColumnStripes="0" showFirstColumn="1" showLastColumn="1" showRowStripes="1"/>
</table>
</file>

<file path=xl/tables/table2.xml><?xml version="1.0" encoding="utf-8"?>
<table xmlns="http://schemas.openxmlformats.org/spreadsheetml/2006/main" headerRowCount="0" ref="A23:R23" displayName="Table_2" name="Table_2" id="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2" showColumnStripes="0" showFirstColumn="1" showLastColumn="1" showRowStripes="1"/>
</table>
</file>

<file path=xl/tables/table3.xml><?xml version="1.0" encoding="utf-8"?>
<table xmlns="http://schemas.openxmlformats.org/spreadsheetml/2006/main" headerRowCount="0" ref="A24:R91" displayName="Table_3" name="Table_3" id="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3" showColumnStripes="0" showFirstColumn="1" showLastColumn="1" showRowStripes="1"/>
</table>
</file>

<file path=xl/tables/table4.xml><?xml version="1.0" encoding="utf-8"?>
<table xmlns="http://schemas.openxmlformats.org/spreadsheetml/2006/main" headerRowCount="0" ref="A92:R103" displayName="Table_4" name="Table_4" id="4">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4" showColumnStripes="0" showFirstColumn="1" showLastColumn="1" showRowStripes="1"/>
</table>
</file>

<file path=xl/tables/table5.xml><?xml version="1.0" encoding="utf-8"?>
<table xmlns="http://schemas.openxmlformats.org/spreadsheetml/2006/main" headerRowCount="0" ref="A104:R127" displayName="Table_5" name="Table_5" id="5">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5" showColumnStripes="0" showFirstColumn="1" showLastColumn="1" showRowStripes="1"/>
</table>
</file>

<file path=xl/tables/table6.xml><?xml version="1.0" encoding="utf-8"?>
<table xmlns="http://schemas.openxmlformats.org/spreadsheetml/2006/main" headerRowCount="0" ref="A128:R128" displayName="Table_6" name="Table_6" id="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6" showColumnStripes="0" showFirstColumn="1" showLastColumn="1" showRowStripes="1"/>
</table>
</file>

<file path=xl/tables/table7.xml><?xml version="1.0" encoding="utf-8"?>
<table xmlns="http://schemas.openxmlformats.org/spreadsheetml/2006/main" headerRowCount="0" ref="A129:R142" displayName="Table_7" name="Table_7" id="7">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7" showColumnStripes="0" showFirstColumn="1" showLastColumn="1" showRowStripes="1"/>
</table>
</file>

<file path=xl/tables/table8.xml><?xml version="1.0" encoding="utf-8"?>
<table xmlns="http://schemas.openxmlformats.org/spreadsheetml/2006/main" headerRowCount="0" ref="A143:R145" displayName="Table_8" name="Table_8" id="8">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8" showColumnStripes="0" showFirstColumn="1" showLastColumn="1" showRowStripes="1"/>
</table>
</file>

<file path=xl/tables/table9.xml><?xml version="1.0" encoding="utf-8"?>
<table xmlns="http://schemas.openxmlformats.org/spreadsheetml/2006/main" headerRowCount="0" ref="A146:R147" displayName="Table_9" name="Table_9" id="9">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9" showColumnStripes="0" showFirstColumn="1" showLastColumn="1" showRowStripes="1"/>
</table>
</file>

<file path=xl/tables/table10.xml><?xml version="1.0" encoding="utf-8"?>
<table xmlns="http://schemas.openxmlformats.org/spreadsheetml/2006/main" headerRowCount="0" ref="A148:R152" displayName="Table_10" name="Table_10" id="10">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10" showColumnStripes="0" showFirstColumn="1" showLastColumn="1" showRowStripes="1"/>
</table>
</file>

<file path=xl/tables/table11.xml><?xml version="1.0" encoding="utf-8"?>
<table xmlns="http://schemas.openxmlformats.org/spreadsheetml/2006/main" headerRowCount="0" ref="A153:R155" displayName="Table_11" name="Table_11" id="1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11" showColumnStripes="0" showFirstColumn="1" showLastColumn="1" showRowStripes="1"/>
</table>
</file>

<file path=xl/tables/table12.xml><?xml version="1.0" encoding="utf-8"?>
<table xmlns="http://schemas.openxmlformats.org/spreadsheetml/2006/main" headerRowCount="0" ref="A156:R157" displayName="Table_12" name="Table_12" id="1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12" showColumnStripes="0" showFirstColumn="1" showLastColumn="1" showRowStripes="1"/>
</table>
</file>

<file path=xl/tables/table13.xml><?xml version="1.0" encoding="utf-8"?>
<table xmlns="http://schemas.openxmlformats.org/spreadsheetml/2006/main" headerRowCount="0" ref="A158:R163" displayName="Table_13" name="Table_13" id="1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13" showColumnStripes="0" showFirstColumn="1" showLastColumn="1" showRowStripes="1"/>
</table>
</file>

<file path=xl/tables/table14.xml><?xml version="1.0" encoding="utf-8"?>
<table xmlns="http://schemas.openxmlformats.org/spreadsheetml/2006/main" headerRowCount="0" ref="A164:R164" displayName="Table_14" name="Table_14" id="14">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14" showColumnStripes="0" showFirstColumn="1" showLastColumn="1" showRowStripes="1"/>
</table>
</file>

<file path=xl/tables/table15.xml><?xml version="1.0" encoding="utf-8"?>
<table xmlns="http://schemas.openxmlformats.org/spreadsheetml/2006/main" headerRowCount="0" ref="A165:R165" displayName="Table_15" name="Table_15" id="15">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15" showColumnStripes="0" showFirstColumn="1" showLastColumn="1" showRowStripes="1"/>
</table>
</file>

<file path=xl/tables/table16.xml><?xml version="1.0" encoding="utf-8"?>
<table xmlns="http://schemas.openxmlformats.org/spreadsheetml/2006/main" headerRowCount="0" ref="A166:R171" displayName="Table_16" name="Table_16" id="1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16" showColumnStripes="0" showFirstColumn="1" showLastColumn="1" showRowStripes="1"/>
</table>
</file>

<file path=xl/tables/table17.xml><?xml version="1.0" encoding="utf-8"?>
<table xmlns="http://schemas.openxmlformats.org/spreadsheetml/2006/main" headerRowCount="0" ref="A172:R173" displayName="Table_17" name="Table_17" id="17">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17" showColumnStripes="0" showFirstColumn="1" showLastColumn="1" showRowStripes="1"/>
</table>
</file>

<file path=xl/tables/table18.xml><?xml version="1.0" encoding="utf-8"?>
<table xmlns="http://schemas.openxmlformats.org/spreadsheetml/2006/main" headerRowCount="0" ref="A174:R175" displayName="Table_18" name="Table_18" id="18">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18" showColumnStripes="0" showFirstColumn="1" showLastColumn="1" showRowStripes="1"/>
</table>
</file>

<file path=xl/tables/table19.xml><?xml version="1.0" encoding="utf-8"?>
<table xmlns="http://schemas.openxmlformats.org/spreadsheetml/2006/main" headerRowCount="0" ref="A176:R180" displayName="Table_19" name="Table_19" id="19">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19" showColumnStripes="0" showFirstColumn="1" showLastColumn="1" showRowStripes="1"/>
</table>
</file>

<file path=xl/tables/table20.xml><?xml version="1.0" encoding="utf-8"?>
<table xmlns="http://schemas.openxmlformats.org/spreadsheetml/2006/main" headerRowCount="0" ref="A181:R186" displayName="Table_20" name="Table_20" id="20">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20" showColumnStripes="0" showFirstColumn="1" showLastColumn="1" showRowStripes="1"/>
</table>
</file>

<file path=xl/tables/table21.xml><?xml version="1.0" encoding="utf-8"?>
<table xmlns="http://schemas.openxmlformats.org/spreadsheetml/2006/main" headerRowCount="0" ref="A187:R190" displayName="Table_21" name="Table_21" id="2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21" showColumnStripes="0" showFirstColumn="1" showLastColumn="1" showRowStripes="1"/>
</table>
</file>

<file path=xl/tables/table22.xml><?xml version="1.0" encoding="utf-8"?>
<table xmlns="http://schemas.openxmlformats.org/spreadsheetml/2006/main" headerRowCount="0" ref="A191:R191" displayName="Table_22" name="Table_22" id="2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22" showColumnStripes="0" showFirstColumn="1" showLastColumn="1" showRowStripes="1"/>
</table>
</file>

<file path=xl/tables/table23.xml><?xml version="1.0" encoding="utf-8"?>
<table xmlns="http://schemas.openxmlformats.org/spreadsheetml/2006/main" headerRowCount="0" ref="A192:R192" displayName="Table_23" name="Table_23" id="2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23" showColumnStripes="0" showFirstColumn="1" showLastColumn="1" showRowStripes="1"/>
</table>
</file>

<file path=xl/tables/table24.xml><?xml version="1.0" encoding="utf-8"?>
<table xmlns="http://schemas.openxmlformats.org/spreadsheetml/2006/main" headerRowCount="0" ref="A193:R197" displayName="Table_24" name="Table_24" id="24">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24" showColumnStripes="0" showFirstColumn="1" showLastColumn="1" showRowStripes="1"/>
</table>
</file>

<file path=xl/tables/table25.xml><?xml version="1.0" encoding="utf-8"?>
<table xmlns="http://schemas.openxmlformats.org/spreadsheetml/2006/main" headerRowCount="0" ref="A198:R205" displayName="Table_25" name="Table_25" id="25">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25" showColumnStripes="0" showFirstColumn="1" showLastColumn="1" showRowStripes="1"/>
</table>
</file>

<file path=xl/tables/table26.xml><?xml version="1.0" encoding="utf-8"?>
<table xmlns="http://schemas.openxmlformats.org/spreadsheetml/2006/main" headerRowCount="0" ref="A206:R206" displayName="Table_26" name="Table_26" id="2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26" showColumnStripes="0" showFirstColumn="1" showLastColumn="1" showRowStripes="1"/>
</table>
</file>

<file path=xl/tables/table27.xml><?xml version="1.0" encoding="utf-8"?>
<table xmlns="http://schemas.openxmlformats.org/spreadsheetml/2006/main" headerRowCount="0" ref="A207:R207" displayName="Table_27" name="Table_27" id="27">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27" showColumnStripes="0" showFirstColumn="1" showLastColumn="1" showRowStripes="1"/>
</table>
</file>

<file path=xl/tables/table28.xml><?xml version="1.0" encoding="utf-8"?>
<table xmlns="http://schemas.openxmlformats.org/spreadsheetml/2006/main" headerRowCount="0" ref="A208:R208" displayName="Table_28" name="Table_28" id="28">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28" showColumnStripes="0" showFirstColumn="1" showLastColumn="1" showRowStripes="1"/>
</table>
</file>

<file path=xl/tables/table29.xml><?xml version="1.0" encoding="utf-8"?>
<table xmlns="http://schemas.openxmlformats.org/spreadsheetml/2006/main" headerRowCount="0" ref="A209:R211" displayName="Table_29" name="Table_29" id="29">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29" showColumnStripes="0" showFirstColumn="1" showLastColumn="1" showRowStripes="1"/>
</table>
</file>

<file path=xl/tables/table30.xml><?xml version="1.0" encoding="utf-8"?>
<table xmlns="http://schemas.openxmlformats.org/spreadsheetml/2006/main" headerRowCount="0" ref="A212:R212" displayName="Table_30" name="Table_30" id="30">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30" showColumnStripes="0" showFirstColumn="1" showLastColumn="1" showRowStripes="1"/>
</table>
</file>

<file path=xl/tables/table31.xml><?xml version="1.0" encoding="utf-8"?>
<table xmlns="http://schemas.openxmlformats.org/spreadsheetml/2006/main" headerRowCount="0" ref="A213:R219" displayName="Table_31" name="Table_31" id="3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31" showColumnStripes="0" showFirstColumn="1" showLastColumn="1" showRowStripes="1"/>
</table>
</file>

<file path=xl/tables/table32.xml><?xml version="1.0" encoding="utf-8"?>
<table xmlns="http://schemas.openxmlformats.org/spreadsheetml/2006/main" headerRowCount="0" ref="A220:R220" displayName="Table_32" name="Table_32" id="3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32" showColumnStripes="0" showFirstColumn="1" showLastColumn="1" showRowStripes="1"/>
</table>
</file>

<file path=xl/tables/table33.xml><?xml version="1.0" encoding="utf-8"?>
<table xmlns="http://schemas.openxmlformats.org/spreadsheetml/2006/main" headerRowCount="0" ref="A221:R223" displayName="Table_33" name="Table_33" id="3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33" showColumnStripes="0" showFirstColumn="1" showLastColumn="1" showRowStripes="1"/>
</table>
</file>

<file path=xl/tables/table34.xml><?xml version="1.0" encoding="utf-8"?>
<table xmlns="http://schemas.openxmlformats.org/spreadsheetml/2006/main" headerRowCount="0" ref="A226:R230" displayName="Table_34" name="Table_34" id="34">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34" showColumnStripes="0" showFirstColumn="1" showLastColumn="1" showRowStripes="1"/>
</table>
</file>

<file path=xl/tables/table35.xml><?xml version="1.0" encoding="utf-8"?>
<table xmlns="http://schemas.openxmlformats.org/spreadsheetml/2006/main" headerRowCount="0" ref="A235:R237" displayName="Table_35" name="Table_35" id="35">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35" showColumnStripes="0" showFirstColumn="1" showLastColumn="1" showRowStripes="1"/>
</table>
</file>

<file path=xl/tables/table36.xml><?xml version="1.0" encoding="utf-8"?>
<table xmlns="http://schemas.openxmlformats.org/spreadsheetml/2006/main" headerRowCount="0" ref="A238:R238" displayName="Table_36" name="Table_36" id="3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36" showColumnStripes="0" showFirstColumn="1" showLastColumn="1" showRowStripes="1"/>
</table>
</file>

<file path=xl/tables/table37.xml><?xml version="1.0" encoding="utf-8"?>
<table xmlns="http://schemas.openxmlformats.org/spreadsheetml/2006/main" headerRowCount="0" ref="A239:R239" displayName="Table_37" name="Table_37" id="37">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37" showColumnStripes="0" showFirstColumn="1" showLastColumn="1" showRowStripes="1"/>
</table>
</file>

<file path=xl/tables/table38.xml><?xml version="1.0" encoding="utf-8"?>
<table xmlns="http://schemas.openxmlformats.org/spreadsheetml/2006/main" headerRowCount="0" ref="A240:R243" displayName="Table_38" name="Table_38" id="38">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38" showColumnStripes="0" showFirstColumn="1" showLastColumn="1" showRowStripes="1"/>
</table>
</file>

<file path=xl/tables/table39.xml><?xml version="1.0" encoding="utf-8"?>
<table xmlns="http://schemas.openxmlformats.org/spreadsheetml/2006/main" headerRowCount="0" ref="A244:R244" displayName="Table_39" name="Table_39" id="39">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39" showColumnStripes="0" showFirstColumn="1" showLastColumn="1" showRowStripes="1"/>
</table>
</file>

<file path=xl/tables/table40.xml><?xml version="1.0" encoding="utf-8"?>
<table xmlns="http://schemas.openxmlformats.org/spreadsheetml/2006/main" headerRowCount="0" ref="A245:R246" displayName="Table_40" name="Table_40" id="40">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40" showColumnStripes="0" showFirstColumn="1" showLastColumn="1" showRowStripes="1"/>
</table>
</file>

<file path=xl/tables/table41.xml><?xml version="1.0" encoding="utf-8"?>
<table xmlns="http://schemas.openxmlformats.org/spreadsheetml/2006/main" headerRowCount="0" ref="A247:R247" displayName="Table_41" name="Table_41" id="4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41" showColumnStripes="0" showFirstColumn="1" showLastColumn="1" showRowStripes="1"/>
</table>
</file>

<file path=xl/tables/table42.xml><?xml version="1.0" encoding="utf-8"?>
<table xmlns="http://schemas.openxmlformats.org/spreadsheetml/2006/main" headerRowCount="0" ref="A248:R250" displayName="Table_42" name="Table_42" id="4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42" showColumnStripes="0" showFirstColumn="1" showLastColumn="1" showRowStripes="1"/>
</table>
</file>

<file path=xl/tables/table43.xml><?xml version="1.0" encoding="utf-8"?>
<table xmlns="http://schemas.openxmlformats.org/spreadsheetml/2006/main" headerRowCount="0" ref="A251:R253" displayName="Table_43" name="Table_43" id="4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43" showColumnStripes="0" showFirstColumn="1" showLastColumn="1" showRowStripes="1"/>
</table>
</file>

<file path=xl/tables/table44.xml><?xml version="1.0" encoding="utf-8"?>
<table xmlns="http://schemas.openxmlformats.org/spreadsheetml/2006/main" headerRowCount="0" ref="A254:R255" displayName="Table_44" name="Table_44" id="44">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44" showColumnStripes="0" showFirstColumn="1" showLastColumn="1" showRowStripes="1"/>
</table>
</file>

<file path=xl/tables/table45.xml><?xml version="1.0" encoding="utf-8"?>
<table xmlns="http://schemas.openxmlformats.org/spreadsheetml/2006/main" headerRowCount="0" ref="A256:R256" displayName="Table_45" name="Table_45" id="45">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45" showColumnStripes="0" showFirstColumn="1" showLastColumn="1" showRowStripes="1"/>
</table>
</file>

<file path=xl/tables/table46.xml><?xml version="1.0" encoding="utf-8"?>
<table xmlns="http://schemas.openxmlformats.org/spreadsheetml/2006/main" headerRowCount="0" ref="A257:R257" displayName="Table_46" name="Table_46" id="4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46" showColumnStripes="0" showFirstColumn="1" showLastColumn="1" showRowStripes="1"/>
</table>
</file>

<file path=xl/tables/table47.xml><?xml version="1.0" encoding="utf-8"?>
<table xmlns="http://schemas.openxmlformats.org/spreadsheetml/2006/main" headerRowCount="0" ref="A258:R261" displayName="Table_47" name="Table_47" id="47">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47" showColumnStripes="0" showFirstColumn="1" showLastColumn="1" showRowStripes="1"/>
</table>
</file>

<file path=xl/tables/table48.xml><?xml version="1.0" encoding="utf-8"?>
<table xmlns="http://schemas.openxmlformats.org/spreadsheetml/2006/main" headerRowCount="0" ref="A262:R264" displayName="Table_48" name="Table_48" id="48">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48" showColumnStripes="0" showFirstColumn="1" showLastColumn="1" showRowStripes="1"/>
</table>
</file>

<file path=xl/tables/table49.xml><?xml version="1.0" encoding="utf-8"?>
<table xmlns="http://schemas.openxmlformats.org/spreadsheetml/2006/main" headerRowCount="0" ref="A265:R265" displayName="Table_49" name="Table_49" id="49">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49" showColumnStripes="0" showFirstColumn="1" showLastColumn="1" showRowStripes="1"/>
</table>
</file>

<file path=xl/tables/table50.xml><?xml version="1.0" encoding="utf-8"?>
<table xmlns="http://schemas.openxmlformats.org/spreadsheetml/2006/main" headerRowCount="0" ref="A266:R269" displayName="Table_50" name="Table_50" id="50">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50" showColumnStripes="0" showFirstColumn="1" showLastColumn="1" showRowStripes="1"/>
</table>
</file>

<file path=xl/tables/table51.xml><?xml version="1.0" encoding="utf-8"?>
<table xmlns="http://schemas.openxmlformats.org/spreadsheetml/2006/main" headerRowCount="0" ref="A270:R271" displayName="Table_51" name="Table_51" id="5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51" showColumnStripes="0" showFirstColumn="1" showLastColumn="1" showRowStripes="1"/>
</table>
</file>

<file path=xl/tables/table52.xml><?xml version="1.0" encoding="utf-8"?>
<table xmlns="http://schemas.openxmlformats.org/spreadsheetml/2006/main" headerRowCount="0" ref="A272:R273" displayName="Table_52" name="Table_52" id="5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52" showColumnStripes="0" showFirstColumn="1" showLastColumn="1" showRowStripes="1"/>
</table>
</file>

<file path=xl/tables/table53.xml><?xml version="1.0" encoding="utf-8"?>
<table xmlns="http://schemas.openxmlformats.org/spreadsheetml/2006/main" headerRowCount="0" ref="A274:R278" displayName="Table_53" name="Table_53" id="5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53" showColumnStripes="0" showFirstColumn="1" showLastColumn="1" showRowStripes="1"/>
</table>
</file>

<file path=xl/tables/table54.xml><?xml version="1.0" encoding="utf-8"?>
<table xmlns="http://schemas.openxmlformats.org/spreadsheetml/2006/main" headerRowCount="0" ref="A279:R279" displayName="Table_54" name="Table_54" id="54">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54" showColumnStripes="0" showFirstColumn="1" showLastColumn="1" showRowStripes="1"/>
</table>
</file>

<file path=xl/tables/table55.xml><?xml version="1.0" encoding="utf-8"?>
<table xmlns="http://schemas.openxmlformats.org/spreadsheetml/2006/main" headerRowCount="0" ref="A280:R282" displayName="Table_55" name="Table_55" id="55">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55" showColumnStripes="0" showFirstColumn="1" showLastColumn="1" showRowStripes="1"/>
</table>
</file>

<file path=xl/tables/table56.xml><?xml version="1.0" encoding="utf-8"?>
<table xmlns="http://schemas.openxmlformats.org/spreadsheetml/2006/main" headerRowCount="0" ref="A283:R283" displayName="Table_56" name="Table_56" id="5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56" showColumnStripes="0" showFirstColumn="1" showLastColumn="1" showRowStripes="1"/>
</table>
</file>

<file path=xl/tables/table57.xml><?xml version="1.0" encoding="utf-8"?>
<table xmlns="http://schemas.openxmlformats.org/spreadsheetml/2006/main" headerRowCount="0" ref="A284:R284" displayName="Table_57" name="Table_57" id="57">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57" showColumnStripes="0" showFirstColumn="1" showLastColumn="1" showRowStripes="1"/>
</table>
</file>

<file path=xl/tables/table58.xml><?xml version="1.0" encoding="utf-8"?>
<table xmlns="http://schemas.openxmlformats.org/spreadsheetml/2006/main" headerRowCount="0" ref="A285:R289" displayName="Table_58" name="Table_58" id="58">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58" showColumnStripes="0" showFirstColumn="1" showLastColumn="1" showRowStripes="1"/>
</table>
</file>

<file path=xl/tables/table59.xml><?xml version="1.0" encoding="utf-8"?>
<table xmlns="http://schemas.openxmlformats.org/spreadsheetml/2006/main" headerRowCount="0" ref="A290:R290" displayName="Table_59" name="Table_59" id="59">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59" showColumnStripes="0" showFirstColumn="1" showLastColumn="1" showRowStripes="1"/>
</table>
</file>

<file path=xl/tables/table60.xml><?xml version="1.0" encoding="utf-8"?>
<table xmlns="http://schemas.openxmlformats.org/spreadsheetml/2006/main" headerRowCount="0" ref="A291:R291" displayName="Table_60" name="Table_60" id="60">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60" showColumnStripes="0" showFirstColumn="1" showLastColumn="1" showRowStripes="1"/>
</table>
</file>

<file path=xl/tables/table61.xml><?xml version="1.0" encoding="utf-8"?>
<table xmlns="http://schemas.openxmlformats.org/spreadsheetml/2006/main" headerRowCount="0" ref="A292:R292" displayName="Table_61" name="Table_61" id="6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61" showColumnStripes="0" showFirstColumn="1" showLastColumn="1" showRowStripes="1"/>
</table>
</file>

<file path=xl/tables/table62.xml><?xml version="1.0" encoding="utf-8"?>
<table xmlns="http://schemas.openxmlformats.org/spreadsheetml/2006/main" headerRowCount="0" ref="A293:R296" displayName="Table_62" name="Table_62" id="6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62" showColumnStripes="0" showFirstColumn="1" showLastColumn="1" showRowStripes="1"/>
</table>
</file>

<file path=xl/tables/table63.xml><?xml version="1.0" encoding="utf-8"?>
<table xmlns="http://schemas.openxmlformats.org/spreadsheetml/2006/main" headerRowCount="0" ref="A297:R297" displayName="Table_63" name="Table_63" id="6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63" showColumnStripes="0" showFirstColumn="1" showLastColumn="1" showRowStripes="1"/>
</table>
</file>

<file path=xl/tables/table64.xml><?xml version="1.0" encoding="utf-8"?>
<table xmlns="http://schemas.openxmlformats.org/spreadsheetml/2006/main" headerRowCount="0" ref="A298:R301" displayName="Table_64" name="Table_64" id="64">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64" showColumnStripes="0" showFirstColumn="1" showLastColumn="1" showRowStripes="1"/>
</table>
</file>

<file path=xl/tables/table65.xml><?xml version="1.0" encoding="utf-8"?>
<table xmlns="http://schemas.openxmlformats.org/spreadsheetml/2006/main" headerRowCount="0" ref="A302:R302" displayName="Table_65" name="Table_65" id="65">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65" showColumnStripes="0" showFirstColumn="1" showLastColumn="1" showRowStripes="1"/>
</table>
</file>

<file path=xl/tables/table66.xml><?xml version="1.0" encoding="utf-8"?>
<table xmlns="http://schemas.openxmlformats.org/spreadsheetml/2006/main" headerRowCount="0" ref="A303:R303" displayName="Table_66" name="Table_66" id="6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66" showColumnStripes="0" showFirstColumn="1" showLastColumn="1" showRowStripes="1"/>
</table>
</file>

<file path=xl/tables/table67.xml><?xml version="1.0" encoding="utf-8"?>
<table xmlns="http://schemas.openxmlformats.org/spreadsheetml/2006/main" headerRowCount="0" ref="A304:R306" displayName="Table_67" name="Table_67" id="67">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67" showColumnStripes="0" showFirstColumn="1" showLastColumn="1" showRowStripes="1"/>
</table>
</file>

<file path=xl/tables/table68.xml><?xml version="1.0" encoding="utf-8"?>
<table xmlns="http://schemas.openxmlformats.org/spreadsheetml/2006/main" headerRowCount="0" ref="A307:R310" displayName="Table_68" name="Table_68" id="68">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68" showColumnStripes="0" showFirstColumn="1" showLastColumn="1" showRowStripes="1"/>
</table>
</file>

<file path=xl/tables/table69.xml><?xml version="1.0" encoding="utf-8"?>
<table xmlns="http://schemas.openxmlformats.org/spreadsheetml/2006/main" headerRowCount="0" ref="A311:R312" displayName="Table_69" name="Table_69" id="69">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69" showColumnStripes="0" showFirstColumn="1" showLastColumn="1" showRowStripes="1"/>
</table>
</file>

<file path=xl/tables/table70.xml><?xml version="1.0" encoding="utf-8"?>
<table xmlns="http://schemas.openxmlformats.org/spreadsheetml/2006/main" headerRowCount="0" ref="A313:R313" displayName="Table_70" name="Table_70" id="70">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70" showColumnStripes="0" showFirstColumn="1" showLastColumn="1" showRowStripes="1"/>
</table>
</file>

<file path=xl/tables/table71.xml><?xml version="1.0" encoding="utf-8"?>
<table xmlns="http://schemas.openxmlformats.org/spreadsheetml/2006/main" headerRowCount="0" ref="A314:R316" displayName="Table_71" name="Table_71" id="7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71" showColumnStripes="0" showFirstColumn="1" showLastColumn="1" showRowStripes="1"/>
</table>
</file>

<file path=xl/tables/table72.xml><?xml version="1.0" encoding="utf-8"?>
<table xmlns="http://schemas.openxmlformats.org/spreadsheetml/2006/main" headerRowCount="0" ref="A317:R318" displayName="Table_72" name="Table_72" id="7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72" showColumnStripes="0" showFirstColumn="1" showLastColumn="1" showRowStripes="1"/>
</table>
</file>

<file path=xl/tables/table73.xml><?xml version="1.0" encoding="utf-8"?>
<table xmlns="http://schemas.openxmlformats.org/spreadsheetml/2006/main" headerRowCount="0" ref="A319:R320" displayName="Table_73" name="Table_73" id="7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73" showColumnStripes="0" showFirstColumn="1" showLastColumn="1" showRowStripes="1"/>
</table>
</file>

<file path=xl/tables/table74.xml><?xml version="1.0" encoding="utf-8"?>
<table xmlns="http://schemas.openxmlformats.org/spreadsheetml/2006/main" headerRowCount="0" ref="A321:R321" displayName="Table_74" name="Table_74" id="74">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74" showColumnStripes="0" showFirstColumn="1" showLastColumn="1" showRowStripes="1"/>
</table>
</file>

<file path=xl/tables/table75.xml><?xml version="1.0" encoding="utf-8"?>
<table xmlns="http://schemas.openxmlformats.org/spreadsheetml/2006/main" headerRowCount="0" ref="A322:R322" displayName="Table_75" name="Table_75" id="75">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75" showColumnStripes="0" showFirstColumn="1" showLastColumn="1" showRowStripes="1"/>
</table>
</file>

<file path=xl/tables/table76.xml><?xml version="1.0" encoding="utf-8"?>
<table xmlns="http://schemas.openxmlformats.org/spreadsheetml/2006/main" headerRowCount="0" ref="A323:R323" displayName="Table_76" name="Table_76" id="7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76" showColumnStripes="0" showFirstColumn="1" showLastColumn="1" showRowStripes="1"/>
</table>
</file>

<file path=xl/tables/table77.xml><?xml version="1.0" encoding="utf-8"?>
<table xmlns="http://schemas.openxmlformats.org/spreadsheetml/2006/main" headerRowCount="0" ref="A324:R324" displayName="Table_77" name="Table_77" id="77">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77" showColumnStripes="0" showFirstColumn="1" showLastColumn="1" showRowStripes="1"/>
</table>
</file>

<file path=xl/tables/table78.xml><?xml version="1.0" encoding="utf-8"?>
<table xmlns="http://schemas.openxmlformats.org/spreadsheetml/2006/main" headerRowCount="0" ref="A325:R327" displayName="Table_78" name="Table_78" id="78">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78" showColumnStripes="0" showFirstColumn="1" showLastColumn="1" showRowStripes="1"/>
</table>
</file>

<file path=xl/tables/table79.xml><?xml version="1.0" encoding="utf-8"?>
<table xmlns="http://schemas.openxmlformats.org/spreadsheetml/2006/main" headerRowCount="0" ref="A328:R328" displayName="Table_79" name="Table_79" id="79">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79" showColumnStripes="0" showFirstColumn="1" showLastColumn="1" showRowStripes="1"/>
</table>
</file>

<file path=xl/tables/table80.xml><?xml version="1.0" encoding="utf-8"?>
<table xmlns="http://schemas.openxmlformats.org/spreadsheetml/2006/main" headerRowCount="0" ref="A329:R329" displayName="Table_80" name="Table_80" id="80">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80" showColumnStripes="0" showFirstColumn="1" showLastColumn="1" showRowStripes="1"/>
</table>
</file>

<file path=xl/tables/table81.xml><?xml version="1.0" encoding="utf-8"?>
<table xmlns="http://schemas.openxmlformats.org/spreadsheetml/2006/main" headerRowCount="0" ref="A330:R330" displayName="Table_81" name="Table_81" id="8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81" showColumnStripes="0" showFirstColumn="1" showLastColumn="1" showRowStripes="1"/>
</table>
</file>

<file path=xl/tables/table82.xml><?xml version="1.0" encoding="utf-8"?>
<table xmlns="http://schemas.openxmlformats.org/spreadsheetml/2006/main" headerRowCount="0" ref="A331:R331" displayName="Table_82" name="Table_82" id="8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82" showColumnStripes="0" showFirstColumn="1" showLastColumn="1" showRowStripes="1"/>
</table>
</file>

<file path=xl/tables/table83.xml><?xml version="1.0" encoding="utf-8"?>
<table xmlns="http://schemas.openxmlformats.org/spreadsheetml/2006/main" headerRowCount="0" ref="A332:R332" displayName="Table_83" name="Table_83" id="8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83" showColumnStripes="0" showFirstColumn="1" showLastColumn="1" showRowStripes="1"/>
</table>
</file>

<file path=xl/tables/table84.xml><?xml version="1.0" encoding="utf-8"?>
<table xmlns="http://schemas.openxmlformats.org/spreadsheetml/2006/main" headerRowCount="0" ref="A333:R333" displayName="Table_84" name="Table_84" id="84">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84" showColumnStripes="0" showFirstColumn="1" showLastColumn="1" showRowStripes="1"/>
</table>
</file>

<file path=xl/tables/table85.xml><?xml version="1.0" encoding="utf-8"?>
<table xmlns="http://schemas.openxmlformats.org/spreadsheetml/2006/main" headerRowCount="0" ref="C341:D393" displayName="Table_85" name="Table_85" id="85">
  <tableColumns count="2">
    <tableColumn name="Column1" id="1"/>
    <tableColumn name="Column2" id="2"/>
  </tableColumns>
  <tableStyleInfo name="Raw Data-style 85" showColumnStripes="0" showFirstColumn="1" showLastColumn="1" showRowStripes="1"/>
</table>
</file>

<file path=xl/tables/table86.xml><?xml version="1.0" encoding="utf-8"?>
<table xmlns="http://schemas.openxmlformats.org/spreadsheetml/2006/main" headerRowCount="0" ref="A395:R395" displayName="Table_86" name="Table_86" id="8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86" showColumnStripes="0" showFirstColumn="1" showLastColumn="1" showRowStripes="1"/>
</table>
</file>

<file path=xl/tables/table87.xml><?xml version="1.0" encoding="utf-8"?>
<table xmlns="http://schemas.openxmlformats.org/spreadsheetml/2006/main" headerRowCount="0" ref="A396:R396" displayName="Table_87" name="Table_87" id="87">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87" showColumnStripes="0" showFirstColumn="1" showLastColumn="1" showRowStripes="1"/>
</table>
</file>

<file path=xl/tables/table88.xml><?xml version="1.0" encoding="utf-8"?>
<table xmlns="http://schemas.openxmlformats.org/spreadsheetml/2006/main" headerRowCount="0" ref="A397:R397" displayName="Table_88" name="Table_88" id="88">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Data-style 88" showColumnStripes="0" showFirstColumn="1" showLastColumn="1" showRowStripes="1"/>
</table>
</file>

<file path=xl/tables/table89.xml><?xml version="1.0" encoding="utf-8"?>
<table xmlns="http://schemas.openxmlformats.org/spreadsheetml/2006/main" headerRowCount="0" ref="A2:K22" displayName="Table_89" name="Table_89" id="8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showColumnStripes="0" showFirstColumn="1" showLastColumn="1" showRowStripes="1"/>
</table>
</file>

<file path=xl/tables/table90.xml><?xml version="1.0" encoding="utf-8"?>
<table xmlns="http://schemas.openxmlformats.org/spreadsheetml/2006/main" headerRowCount="0" ref="A23:K23" displayName="Table_90" name="Table_90" id="9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2" showColumnStripes="0" showFirstColumn="1" showLastColumn="1" showRowStripes="1"/>
</table>
</file>

<file path=xl/tables/table91.xml><?xml version="1.0" encoding="utf-8"?>
<table xmlns="http://schemas.openxmlformats.org/spreadsheetml/2006/main" headerRowCount="0" ref="A24:K91" displayName="Table_91" name="Table_91" id="9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3" showColumnStripes="0" showFirstColumn="1" showLastColumn="1" showRowStripes="1"/>
</table>
</file>

<file path=xl/tables/table92.xml><?xml version="1.0" encoding="utf-8"?>
<table xmlns="http://schemas.openxmlformats.org/spreadsheetml/2006/main" headerRowCount="0" ref="A92:K103" displayName="Table_92" name="Table_92" id="9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4" showColumnStripes="0" showFirstColumn="1" showLastColumn="1" showRowStripes="1"/>
</table>
</file>

<file path=xl/tables/table93.xml><?xml version="1.0" encoding="utf-8"?>
<table xmlns="http://schemas.openxmlformats.org/spreadsheetml/2006/main" headerRowCount="0" ref="A104:K127" displayName="Table_93" name="Table_93" id="9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5" showColumnStripes="0" showFirstColumn="1" showLastColumn="1" showRowStripes="1"/>
</table>
</file>

<file path=xl/tables/table94.xml><?xml version="1.0" encoding="utf-8"?>
<table xmlns="http://schemas.openxmlformats.org/spreadsheetml/2006/main" headerRowCount="0" ref="A128:K128" displayName="Table_94" name="Table_94" id="9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6" showColumnStripes="0" showFirstColumn="1" showLastColumn="1" showRowStripes="1"/>
</table>
</file>

<file path=xl/tables/table95.xml><?xml version="1.0" encoding="utf-8"?>
<table xmlns="http://schemas.openxmlformats.org/spreadsheetml/2006/main" headerRowCount="0" ref="A129:K142" displayName="Table_95" name="Table_95" id="9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7" showColumnStripes="0" showFirstColumn="1" showLastColumn="1" showRowStripes="1"/>
</table>
</file>

<file path=xl/tables/table96.xml><?xml version="1.0" encoding="utf-8"?>
<table xmlns="http://schemas.openxmlformats.org/spreadsheetml/2006/main" headerRowCount="0" ref="A143:K145" displayName="Table_96" name="Table_96" id="9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8" showColumnStripes="0" showFirstColumn="1" showLastColumn="1" showRowStripes="1"/>
</table>
</file>

<file path=xl/tables/table97.xml><?xml version="1.0" encoding="utf-8"?>
<table xmlns="http://schemas.openxmlformats.org/spreadsheetml/2006/main" headerRowCount="0" ref="A146:K147" displayName="Table_97" name="Table_97" id="9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9" showColumnStripes="0" showFirstColumn="1" showLastColumn="1" showRowStripes="1"/>
</table>
</file>

<file path=xl/tables/table98.xml><?xml version="1.0" encoding="utf-8"?>
<table xmlns="http://schemas.openxmlformats.org/spreadsheetml/2006/main" headerRowCount="0" ref="A148:K152" displayName="Table_98" name="Table_98" id="9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10" showColumnStripes="0" showFirstColumn="1" showLastColumn="1" showRowStripes="1"/>
</table>
</file>

<file path=xl/tables/table99.xml><?xml version="1.0" encoding="utf-8"?>
<table xmlns="http://schemas.openxmlformats.org/spreadsheetml/2006/main" headerRowCount="0" ref="A153:K155" displayName="Table_99" name="Table_99" id="9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11" showColumnStripes="0" showFirstColumn="1" showLastColumn="1" showRowStripes="1"/>
</table>
</file>

<file path=xl/tables/table100.xml><?xml version="1.0" encoding="utf-8"?>
<table xmlns="http://schemas.openxmlformats.org/spreadsheetml/2006/main" headerRowCount="0" ref="A156:K157" displayName="Table_100" name="Table_100" id="10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12" showColumnStripes="0" showFirstColumn="1" showLastColumn="1" showRowStripes="1"/>
</table>
</file>

<file path=xl/tables/table101.xml><?xml version="1.0" encoding="utf-8"?>
<table xmlns="http://schemas.openxmlformats.org/spreadsheetml/2006/main" headerRowCount="0" ref="A158:K163" displayName="Table_101" name="Table_101" id="10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13" showColumnStripes="0" showFirstColumn="1" showLastColumn="1" showRowStripes="1"/>
</table>
</file>

<file path=xl/tables/table102.xml><?xml version="1.0" encoding="utf-8"?>
<table xmlns="http://schemas.openxmlformats.org/spreadsheetml/2006/main" headerRowCount="0" ref="A164:K164" displayName="Table_102" name="Table_102" id="10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14" showColumnStripes="0" showFirstColumn="1" showLastColumn="1" showRowStripes="1"/>
</table>
</file>

<file path=xl/tables/table103.xml><?xml version="1.0" encoding="utf-8"?>
<table xmlns="http://schemas.openxmlformats.org/spreadsheetml/2006/main" headerRowCount="0" ref="A165:K165" displayName="Table_103" name="Table_103" id="10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15" showColumnStripes="0" showFirstColumn="1" showLastColumn="1" showRowStripes="1"/>
</table>
</file>

<file path=xl/tables/table104.xml><?xml version="1.0" encoding="utf-8"?>
<table xmlns="http://schemas.openxmlformats.org/spreadsheetml/2006/main" headerRowCount="0" ref="A166:K171" displayName="Table_104" name="Table_104" id="10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16" showColumnStripes="0" showFirstColumn="1" showLastColumn="1" showRowStripes="1"/>
</table>
</file>

<file path=xl/tables/table105.xml><?xml version="1.0" encoding="utf-8"?>
<table xmlns="http://schemas.openxmlformats.org/spreadsheetml/2006/main" headerRowCount="0" ref="A172:K173" displayName="Table_105" name="Table_105" id="10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17" showColumnStripes="0" showFirstColumn="1" showLastColumn="1" showRowStripes="1"/>
</table>
</file>

<file path=xl/tables/table106.xml><?xml version="1.0" encoding="utf-8"?>
<table xmlns="http://schemas.openxmlformats.org/spreadsheetml/2006/main" headerRowCount="0" ref="A174:K175" displayName="Table_106" name="Table_106" id="10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18" showColumnStripes="0" showFirstColumn="1" showLastColumn="1" showRowStripes="1"/>
</table>
</file>

<file path=xl/tables/table107.xml><?xml version="1.0" encoding="utf-8"?>
<table xmlns="http://schemas.openxmlformats.org/spreadsheetml/2006/main" headerRowCount="0" ref="A176:K180" displayName="Table_107" name="Table_107" id="10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19" showColumnStripes="0" showFirstColumn="1" showLastColumn="1" showRowStripes="1"/>
</table>
</file>

<file path=xl/tables/table108.xml><?xml version="1.0" encoding="utf-8"?>
<table xmlns="http://schemas.openxmlformats.org/spreadsheetml/2006/main" headerRowCount="0" ref="A181:K186" displayName="Table_108" name="Table_108" id="10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20" showColumnStripes="0" showFirstColumn="1" showLastColumn="1" showRowStripes="1"/>
</table>
</file>

<file path=xl/tables/table109.xml><?xml version="1.0" encoding="utf-8"?>
<table xmlns="http://schemas.openxmlformats.org/spreadsheetml/2006/main" headerRowCount="0" ref="A187:K190" displayName="Table_109" name="Table_109" id="10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21" showColumnStripes="0" showFirstColumn="1" showLastColumn="1" showRowStripes="1"/>
</table>
</file>

<file path=xl/tables/table110.xml><?xml version="1.0" encoding="utf-8"?>
<table xmlns="http://schemas.openxmlformats.org/spreadsheetml/2006/main" headerRowCount="0" ref="A191:K191" displayName="Table_110" name="Table_110" id="11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22" showColumnStripes="0" showFirstColumn="1" showLastColumn="1" showRowStripes="1"/>
</table>
</file>

<file path=xl/tables/table111.xml><?xml version="1.0" encoding="utf-8"?>
<table xmlns="http://schemas.openxmlformats.org/spreadsheetml/2006/main" headerRowCount="0" ref="A192:K192" displayName="Table_111" name="Table_111" id="11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23" showColumnStripes="0" showFirstColumn="1" showLastColumn="1" showRowStripes="1"/>
</table>
</file>

<file path=xl/tables/table112.xml><?xml version="1.0" encoding="utf-8"?>
<table xmlns="http://schemas.openxmlformats.org/spreadsheetml/2006/main" headerRowCount="0" ref="A193:K197" displayName="Table_112" name="Table_112" id="11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24" showColumnStripes="0" showFirstColumn="1" showLastColumn="1" showRowStripes="1"/>
</table>
</file>

<file path=xl/tables/table113.xml><?xml version="1.0" encoding="utf-8"?>
<table xmlns="http://schemas.openxmlformats.org/spreadsheetml/2006/main" headerRowCount="0" ref="A198:K205" displayName="Table_113" name="Table_113" id="11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25" showColumnStripes="0" showFirstColumn="1" showLastColumn="1" showRowStripes="1"/>
</table>
</file>

<file path=xl/tables/table114.xml><?xml version="1.0" encoding="utf-8"?>
<table xmlns="http://schemas.openxmlformats.org/spreadsheetml/2006/main" headerRowCount="0" ref="A206:K206" displayName="Table_114" name="Table_114" id="11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26" showColumnStripes="0" showFirstColumn="1" showLastColumn="1" showRowStripes="1"/>
</table>
</file>

<file path=xl/tables/table115.xml><?xml version="1.0" encoding="utf-8"?>
<table xmlns="http://schemas.openxmlformats.org/spreadsheetml/2006/main" headerRowCount="0" ref="A207:K207" displayName="Table_115" name="Table_115" id="11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27" showColumnStripes="0" showFirstColumn="1" showLastColumn="1" showRowStripes="1"/>
</table>
</file>

<file path=xl/tables/table116.xml><?xml version="1.0" encoding="utf-8"?>
<table xmlns="http://schemas.openxmlformats.org/spreadsheetml/2006/main" headerRowCount="0" ref="A208:K208" displayName="Table_116" name="Table_116" id="11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28" showColumnStripes="0" showFirstColumn="1" showLastColumn="1" showRowStripes="1"/>
</table>
</file>

<file path=xl/tables/table117.xml><?xml version="1.0" encoding="utf-8"?>
<table xmlns="http://schemas.openxmlformats.org/spreadsheetml/2006/main" headerRowCount="0" ref="A209:K211" displayName="Table_117" name="Table_117" id="11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29" showColumnStripes="0" showFirstColumn="1" showLastColumn="1" showRowStripes="1"/>
</table>
</file>

<file path=xl/tables/table118.xml><?xml version="1.0" encoding="utf-8"?>
<table xmlns="http://schemas.openxmlformats.org/spreadsheetml/2006/main" headerRowCount="0" ref="A212:K212" displayName="Table_118" name="Table_118" id="11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30" showColumnStripes="0" showFirstColumn="1" showLastColumn="1" showRowStripes="1"/>
</table>
</file>

<file path=xl/tables/table119.xml><?xml version="1.0" encoding="utf-8"?>
<table xmlns="http://schemas.openxmlformats.org/spreadsheetml/2006/main" headerRowCount="0" ref="A213:K219" displayName="Table_119" name="Table_119" id="11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31" showColumnStripes="0" showFirstColumn="1" showLastColumn="1" showRowStripes="1"/>
</table>
</file>

<file path=xl/tables/table120.xml><?xml version="1.0" encoding="utf-8"?>
<table xmlns="http://schemas.openxmlformats.org/spreadsheetml/2006/main" headerRowCount="0" ref="A220:K220" displayName="Table_120" name="Table_120" id="12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32" showColumnStripes="0" showFirstColumn="1" showLastColumn="1" showRowStripes="1"/>
</table>
</file>

<file path=xl/tables/table121.xml><?xml version="1.0" encoding="utf-8"?>
<table xmlns="http://schemas.openxmlformats.org/spreadsheetml/2006/main" headerRowCount="0" ref="A221:K223" displayName="Table_121" name="Table_121" id="12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33" showColumnStripes="0" showFirstColumn="1" showLastColumn="1" showRowStripes="1"/>
</table>
</file>

<file path=xl/tables/table122.xml><?xml version="1.0" encoding="utf-8"?>
<table xmlns="http://schemas.openxmlformats.org/spreadsheetml/2006/main" headerRowCount="0" ref="A226:E230" displayName="Table_122" name="Table_122" id="122">
  <tableColumns count="5">
    <tableColumn name="Column1" id="1"/>
    <tableColumn name="Column2" id="2"/>
    <tableColumn name="Column3" id="3"/>
    <tableColumn name="Column4" id="4"/>
    <tableColumn name="Column5" id="5"/>
  </tableColumns>
  <tableStyleInfo name="Actual_Data-style 34" showColumnStripes="0" showFirstColumn="1" showLastColumn="1" showRowStripes="1"/>
</table>
</file>

<file path=xl/tables/table123.xml><?xml version="1.0" encoding="utf-8"?>
<table xmlns="http://schemas.openxmlformats.org/spreadsheetml/2006/main" headerRowCount="0" ref="A235:E237" displayName="Table_123" name="Table_123" id="123">
  <tableColumns count="5">
    <tableColumn name="Column1" id="1"/>
    <tableColumn name="Column2" id="2"/>
    <tableColumn name="Column3" id="3"/>
    <tableColumn name="Column4" id="4"/>
    <tableColumn name="Column5" id="5"/>
  </tableColumns>
  <tableStyleInfo name="Actual_Data-style 35" showColumnStripes="0" showFirstColumn="1" showLastColumn="1" showRowStripes="1"/>
</table>
</file>

<file path=xl/tables/table124.xml><?xml version="1.0" encoding="utf-8"?>
<table xmlns="http://schemas.openxmlformats.org/spreadsheetml/2006/main" headerRowCount="0" ref="A238:E238" displayName="Table_124" name="Table_124" id="124">
  <tableColumns count="5">
    <tableColumn name="Column1" id="1"/>
    <tableColumn name="Column2" id="2"/>
    <tableColumn name="Column3" id="3"/>
    <tableColumn name="Column4" id="4"/>
    <tableColumn name="Column5" id="5"/>
  </tableColumns>
  <tableStyleInfo name="Actual_Data-style 36" showColumnStripes="0" showFirstColumn="1" showLastColumn="1" showRowStripes="1"/>
</table>
</file>

<file path=xl/tables/table125.xml><?xml version="1.0" encoding="utf-8"?>
<table xmlns="http://schemas.openxmlformats.org/spreadsheetml/2006/main" headerRowCount="0" ref="A239:E239" displayName="Table_125" name="Table_125" id="125">
  <tableColumns count="5">
    <tableColumn name="Column1" id="1"/>
    <tableColumn name="Column2" id="2"/>
    <tableColumn name="Column3" id="3"/>
    <tableColumn name="Column4" id="4"/>
    <tableColumn name="Column5" id="5"/>
  </tableColumns>
  <tableStyleInfo name="Actual_Data-style 37" showColumnStripes="0" showFirstColumn="1" showLastColumn="1" showRowStripes="1"/>
</table>
</file>

<file path=xl/tables/table126.xml><?xml version="1.0" encoding="utf-8"?>
<table xmlns="http://schemas.openxmlformats.org/spreadsheetml/2006/main" headerRowCount="0" ref="A240:E243" displayName="Table_126" name="Table_126" id="126">
  <tableColumns count="5">
    <tableColumn name="Column1" id="1"/>
    <tableColumn name="Column2" id="2"/>
    <tableColumn name="Column3" id="3"/>
    <tableColumn name="Column4" id="4"/>
    <tableColumn name="Column5" id="5"/>
  </tableColumns>
  <tableStyleInfo name="Actual_Data-style 38" showColumnStripes="0" showFirstColumn="1" showLastColumn="1" showRowStripes="1"/>
</table>
</file>

<file path=xl/tables/table127.xml><?xml version="1.0" encoding="utf-8"?>
<table xmlns="http://schemas.openxmlformats.org/spreadsheetml/2006/main" headerRowCount="0" ref="A244:E244" displayName="Table_127" name="Table_127" id="127">
  <tableColumns count="5">
    <tableColumn name="Column1" id="1"/>
    <tableColumn name="Column2" id="2"/>
    <tableColumn name="Column3" id="3"/>
    <tableColumn name="Column4" id="4"/>
    <tableColumn name="Column5" id="5"/>
  </tableColumns>
  <tableStyleInfo name="Actual_Data-style 39" showColumnStripes="0" showFirstColumn="1" showLastColumn="1" showRowStripes="1"/>
</table>
</file>

<file path=xl/tables/table128.xml><?xml version="1.0" encoding="utf-8"?>
<table xmlns="http://schemas.openxmlformats.org/spreadsheetml/2006/main" headerRowCount="0" ref="A245:E246" displayName="Table_128" name="Table_128" id="128">
  <tableColumns count="5">
    <tableColumn name="Column1" id="1"/>
    <tableColumn name="Column2" id="2"/>
    <tableColumn name="Column3" id="3"/>
    <tableColumn name="Column4" id="4"/>
    <tableColumn name="Column5" id="5"/>
  </tableColumns>
  <tableStyleInfo name="Actual_Data-style 40" showColumnStripes="0" showFirstColumn="1" showLastColumn="1" showRowStripes="1"/>
</table>
</file>

<file path=xl/tables/table129.xml><?xml version="1.0" encoding="utf-8"?>
<table xmlns="http://schemas.openxmlformats.org/spreadsheetml/2006/main" headerRowCount="0" ref="A247:E247" displayName="Table_129" name="Table_129" id="129">
  <tableColumns count="5">
    <tableColumn name="Column1" id="1"/>
    <tableColumn name="Column2" id="2"/>
    <tableColumn name="Column3" id="3"/>
    <tableColumn name="Column4" id="4"/>
    <tableColumn name="Column5" id="5"/>
  </tableColumns>
  <tableStyleInfo name="Actual_Data-style 41" showColumnStripes="0" showFirstColumn="1" showLastColumn="1" showRowStripes="1"/>
</table>
</file>

<file path=xl/tables/table130.xml><?xml version="1.0" encoding="utf-8"?>
<table xmlns="http://schemas.openxmlformats.org/spreadsheetml/2006/main" headerRowCount="0" ref="A248:E250" displayName="Table_130" name="Table_130" id="130">
  <tableColumns count="5">
    <tableColumn name="Column1" id="1"/>
    <tableColumn name="Column2" id="2"/>
    <tableColumn name="Column3" id="3"/>
    <tableColumn name="Column4" id="4"/>
    <tableColumn name="Column5" id="5"/>
  </tableColumns>
  <tableStyleInfo name="Actual_Data-style 42" showColumnStripes="0" showFirstColumn="1" showLastColumn="1" showRowStripes="1"/>
</table>
</file>

<file path=xl/tables/table131.xml><?xml version="1.0" encoding="utf-8"?>
<table xmlns="http://schemas.openxmlformats.org/spreadsheetml/2006/main" headerRowCount="0" ref="A251:E253" displayName="Table_131" name="Table_131" id="131">
  <tableColumns count="5">
    <tableColumn name="Column1" id="1"/>
    <tableColumn name="Column2" id="2"/>
    <tableColumn name="Column3" id="3"/>
    <tableColumn name="Column4" id="4"/>
    <tableColumn name="Column5" id="5"/>
  </tableColumns>
  <tableStyleInfo name="Actual_Data-style 43" showColumnStripes="0" showFirstColumn="1" showLastColumn="1" showRowStripes="1"/>
</table>
</file>

<file path=xl/tables/table132.xml><?xml version="1.0" encoding="utf-8"?>
<table xmlns="http://schemas.openxmlformats.org/spreadsheetml/2006/main" headerRowCount="0" ref="A254:E255" displayName="Table_132" name="Table_132" id="132">
  <tableColumns count="5">
    <tableColumn name="Column1" id="1"/>
    <tableColumn name="Column2" id="2"/>
    <tableColumn name="Column3" id="3"/>
    <tableColumn name="Column4" id="4"/>
    <tableColumn name="Column5" id="5"/>
  </tableColumns>
  <tableStyleInfo name="Actual_Data-style 44" showColumnStripes="0" showFirstColumn="1" showLastColumn="1" showRowStripes="1"/>
</table>
</file>

<file path=xl/tables/table133.xml><?xml version="1.0" encoding="utf-8"?>
<table xmlns="http://schemas.openxmlformats.org/spreadsheetml/2006/main" headerRowCount="0" ref="A256:E256" displayName="Table_133" name="Table_133" id="133">
  <tableColumns count="5">
    <tableColumn name="Column1" id="1"/>
    <tableColumn name="Column2" id="2"/>
    <tableColumn name="Column3" id="3"/>
    <tableColumn name="Column4" id="4"/>
    <tableColumn name="Column5" id="5"/>
  </tableColumns>
  <tableStyleInfo name="Actual_Data-style 45" showColumnStripes="0" showFirstColumn="1" showLastColumn="1" showRowStripes="1"/>
</table>
</file>

<file path=xl/tables/table134.xml><?xml version="1.0" encoding="utf-8"?>
<table xmlns="http://schemas.openxmlformats.org/spreadsheetml/2006/main" headerRowCount="0" ref="A257:E257" displayName="Table_134" name="Table_134" id="134">
  <tableColumns count="5">
    <tableColumn name="Column1" id="1"/>
    <tableColumn name="Column2" id="2"/>
    <tableColumn name="Column3" id="3"/>
    <tableColumn name="Column4" id="4"/>
    <tableColumn name="Column5" id="5"/>
  </tableColumns>
  <tableStyleInfo name="Actual_Data-style 46" showColumnStripes="0" showFirstColumn="1" showLastColumn="1" showRowStripes="1"/>
</table>
</file>

<file path=xl/tables/table135.xml><?xml version="1.0" encoding="utf-8"?>
<table xmlns="http://schemas.openxmlformats.org/spreadsheetml/2006/main" headerRowCount="0" ref="A258:K261" displayName="Table_135" name="Table_135" id="13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47" showColumnStripes="0" showFirstColumn="1" showLastColumn="1" showRowStripes="1"/>
</table>
</file>

<file path=xl/tables/table136.xml><?xml version="1.0" encoding="utf-8"?>
<table xmlns="http://schemas.openxmlformats.org/spreadsheetml/2006/main" headerRowCount="0" ref="A262:K264" displayName="Table_136" name="Table_136" id="13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48" showColumnStripes="0" showFirstColumn="1" showLastColumn="1" showRowStripes="1"/>
</table>
</file>

<file path=xl/tables/table137.xml><?xml version="1.0" encoding="utf-8"?>
<table xmlns="http://schemas.openxmlformats.org/spreadsheetml/2006/main" headerRowCount="0" ref="A265:K265" displayName="Table_137" name="Table_137" id="13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49" showColumnStripes="0" showFirstColumn="1" showLastColumn="1" showRowStripes="1"/>
</table>
</file>

<file path=xl/tables/table138.xml><?xml version="1.0" encoding="utf-8"?>
<table xmlns="http://schemas.openxmlformats.org/spreadsheetml/2006/main" headerRowCount="0" ref="A266:K269" displayName="Table_138" name="Table_138" id="13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50" showColumnStripes="0" showFirstColumn="1" showLastColumn="1" showRowStripes="1"/>
</table>
</file>

<file path=xl/tables/table139.xml><?xml version="1.0" encoding="utf-8"?>
<table xmlns="http://schemas.openxmlformats.org/spreadsheetml/2006/main" headerRowCount="0" ref="A270:K271" displayName="Table_139" name="Table_139" id="13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51" showColumnStripes="0" showFirstColumn="1" showLastColumn="1" showRowStripes="1"/>
</table>
</file>

<file path=xl/tables/table140.xml><?xml version="1.0" encoding="utf-8"?>
<table xmlns="http://schemas.openxmlformats.org/spreadsheetml/2006/main" headerRowCount="0" ref="A272:K273" displayName="Table_140" name="Table_140" id="14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52" showColumnStripes="0" showFirstColumn="1" showLastColumn="1" showRowStripes="1"/>
</table>
</file>

<file path=xl/tables/table141.xml><?xml version="1.0" encoding="utf-8"?>
<table xmlns="http://schemas.openxmlformats.org/spreadsheetml/2006/main" headerRowCount="0" ref="A274:K278" displayName="Table_141" name="Table_141" id="14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53" showColumnStripes="0" showFirstColumn="1" showLastColumn="1" showRowStripes="1"/>
</table>
</file>

<file path=xl/tables/table142.xml><?xml version="1.0" encoding="utf-8"?>
<table xmlns="http://schemas.openxmlformats.org/spreadsheetml/2006/main" headerRowCount="0" ref="A279:K279" displayName="Table_142" name="Table_142" id="14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54" showColumnStripes="0" showFirstColumn="1" showLastColumn="1" showRowStripes="1"/>
</table>
</file>

<file path=xl/tables/table143.xml><?xml version="1.0" encoding="utf-8"?>
<table xmlns="http://schemas.openxmlformats.org/spreadsheetml/2006/main" headerRowCount="0" ref="A280:K282" displayName="Table_143" name="Table_143" id="14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55" showColumnStripes="0" showFirstColumn="1" showLastColumn="1" showRowStripes="1"/>
</table>
</file>

<file path=xl/tables/table144.xml><?xml version="1.0" encoding="utf-8"?>
<table xmlns="http://schemas.openxmlformats.org/spreadsheetml/2006/main" headerRowCount="0" ref="A283:K283" displayName="Table_144" name="Table_144" id="14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56" showColumnStripes="0" showFirstColumn="1" showLastColumn="1" showRowStripes="1"/>
</table>
</file>

<file path=xl/tables/table145.xml><?xml version="1.0" encoding="utf-8"?>
<table xmlns="http://schemas.openxmlformats.org/spreadsheetml/2006/main" headerRowCount="0" ref="A284:K284" displayName="Table_145" name="Table_145" id="14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57" showColumnStripes="0" showFirstColumn="1" showLastColumn="1" showRowStripes="1"/>
</table>
</file>

<file path=xl/tables/table146.xml><?xml version="1.0" encoding="utf-8"?>
<table xmlns="http://schemas.openxmlformats.org/spreadsheetml/2006/main" headerRowCount="0" ref="A285:K289" displayName="Table_146" name="Table_146" id="14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58" showColumnStripes="0" showFirstColumn="1" showLastColumn="1" showRowStripes="1"/>
</table>
</file>

<file path=xl/tables/table147.xml><?xml version="1.0" encoding="utf-8"?>
<table xmlns="http://schemas.openxmlformats.org/spreadsheetml/2006/main" headerRowCount="0" ref="A290:K290" displayName="Table_147" name="Table_147" id="14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59" showColumnStripes="0" showFirstColumn="1" showLastColumn="1" showRowStripes="1"/>
</table>
</file>

<file path=xl/tables/table148.xml><?xml version="1.0" encoding="utf-8"?>
<table xmlns="http://schemas.openxmlformats.org/spreadsheetml/2006/main" headerRowCount="0" ref="A291:K291" displayName="Table_148" name="Table_148" id="14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60" showColumnStripes="0" showFirstColumn="1" showLastColumn="1" showRowStripes="1"/>
</table>
</file>

<file path=xl/tables/table149.xml><?xml version="1.0" encoding="utf-8"?>
<table xmlns="http://schemas.openxmlformats.org/spreadsheetml/2006/main" headerRowCount="0" ref="A292:K292" displayName="Table_149" name="Table_149" id="14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61" showColumnStripes="0" showFirstColumn="1" showLastColumn="1" showRowStripes="1"/>
</table>
</file>

<file path=xl/tables/table150.xml><?xml version="1.0" encoding="utf-8"?>
<table xmlns="http://schemas.openxmlformats.org/spreadsheetml/2006/main" headerRowCount="0" ref="A293:K296" displayName="Table_150" name="Table_150" id="15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62" showColumnStripes="0" showFirstColumn="1" showLastColumn="1" showRowStripes="1"/>
</table>
</file>

<file path=xl/tables/table151.xml><?xml version="1.0" encoding="utf-8"?>
<table xmlns="http://schemas.openxmlformats.org/spreadsheetml/2006/main" headerRowCount="0" ref="A297:K297" displayName="Table_151" name="Table_151" id="15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63" showColumnStripes="0" showFirstColumn="1" showLastColumn="1" showRowStripes="1"/>
</table>
</file>

<file path=xl/tables/table152.xml><?xml version="1.0" encoding="utf-8"?>
<table xmlns="http://schemas.openxmlformats.org/spreadsheetml/2006/main" headerRowCount="0" ref="A298:K301" displayName="Table_152" name="Table_152" id="15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64" showColumnStripes="0" showFirstColumn="1" showLastColumn="1" showRowStripes="1"/>
</table>
</file>

<file path=xl/tables/table153.xml><?xml version="1.0" encoding="utf-8"?>
<table xmlns="http://schemas.openxmlformats.org/spreadsheetml/2006/main" headerRowCount="0" ref="A302:E302" displayName="Table_153" name="Table_153" id="153">
  <tableColumns count="5">
    <tableColumn name="Column1" id="1"/>
    <tableColumn name="Column2" id="2"/>
    <tableColumn name="Column3" id="3"/>
    <tableColumn name="Column4" id="4"/>
    <tableColumn name="Column5" id="5"/>
  </tableColumns>
  <tableStyleInfo name="Actual_Data-style 65" showColumnStripes="0" showFirstColumn="1" showLastColumn="1" showRowStripes="1"/>
</table>
</file>

<file path=xl/tables/table154.xml><?xml version="1.0" encoding="utf-8"?>
<table xmlns="http://schemas.openxmlformats.org/spreadsheetml/2006/main" headerRowCount="0" ref="A303:K303" displayName="Table_154" name="Table_154" id="15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66" showColumnStripes="0" showFirstColumn="1" showLastColumn="1" showRowStripes="1"/>
</table>
</file>

<file path=xl/tables/table155.xml><?xml version="1.0" encoding="utf-8"?>
<table xmlns="http://schemas.openxmlformats.org/spreadsheetml/2006/main" headerRowCount="0" ref="A304:K306" displayName="Table_155" name="Table_155" id="15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67" showColumnStripes="0" showFirstColumn="1" showLastColumn="1" showRowStripes="1"/>
</table>
</file>

<file path=xl/tables/table156.xml><?xml version="1.0" encoding="utf-8"?>
<table xmlns="http://schemas.openxmlformats.org/spreadsheetml/2006/main" headerRowCount="0" ref="A307:K310" displayName="Table_156" name="Table_156" id="15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68" showColumnStripes="0" showFirstColumn="1" showLastColumn="1" showRowStripes="1"/>
</table>
</file>

<file path=xl/tables/table157.xml><?xml version="1.0" encoding="utf-8"?>
<table xmlns="http://schemas.openxmlformats.org/spreadsheetml/2006/main" headerRowCount="0" ref="A311:K312" displayName="Table_157" name="Table_157" id="15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69" showColumnStripes="0" showFirstColumn="1" showLastColumn="1" showRowStripes="1"/>
</table>
</file>

<file path=xl/tables/table158.xml><?xml version="1.0" encoding="utf-8"?>
<table xmlns="http://schemas.openxmlformats.org/spreadsheetml/2006/main" headerRowCount="0" ref="A313:K313" displayName="Table_158" name="Table_158" id="15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70" showColumnStripes="0" showFirstColumn="1" showLastColumn="1" showRowStripes="1"/>
</table>
</file>

<file path=xl/tables/table159.xml><?xml version="1.0" encoding="utf-8"?>
<table xmlns="http://schemas.openxmlformats.org/spreadsheetml/2006/main" headerRowCount="0" ref="A314:K316" displayName="Table_159" name="Table_159" id="15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71" showColumnStripes="0" showFirstColumn="1" showLastColumn="1" showRowStripes="1"/>
</table>
</file>

<file path=xl/tables/table160.xml><?xml version="1.0" encoding="utf-8"?>
<table xmlns="http://schemas.openxmlformats.org/spreadsheetml/2006/main" headerRowCount="0" ref="A317:K318" displayName="Table_160" name="Table_160" id="16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72" showColumnStripes="0" showFirstColumn="1" showLastColumn="1" showRowStripes="1"/>
</table>
</file>

<file path=xl/tables/table161.xml><?xml version="1.0" encoding="utf-8"?>
<table xmlns="http://schemas.openxmlformats.org/spreadsheetml/2006/main" headerRowCount="0" ref="A319:K320" displayName="Table_161" name="Table_161" id="16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73" showColumnStripes="0" showFirstColumn="1" showLastColumn="1" showRowStripes="1"/>
</table>
</file>

<file path=xl/tables/table162.xml><?xml version="1.0" encoding="utf-8"?>
<table xmlns="http://schemas.openxmlformats.org/spreadsheetml/2006/main" headerRowCount="0" ref="A321:K321" displayName="Table_162" name="Table_162" id="16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74" showColumnStripes="0" showFirstColumn="1" showLastColumn="1" showRowStripes="1"/>
</table>
</file>

<file path=xl/tables/table163.xml><?xml version="1.0" encoding="utf-8"?>
<table xmlns="http://schemas.openxmlformats.org/spreadsheetml/2006/main" headerRowCount="0" ref="A322:K322" displayName="Table_163" name="Table_163" id="16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75" showColumnStripes="0" showFirstColumn="1" showLastColumn="1" showRowStripes="1"/>
</table>
</file>

<file path=xl/tables/table164.xml><?xml version="1.0" encoding="utf-8"?>
<table xmlns="http://schemas.openxmlformats.org/spreadsheetml/2006/main" headerRowCount="0" ref="A323:K323" displayName="Table_164" name="Table_164" id="16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76" showColumnStripes="0" showFirstColumn="1" showLastColumn="1" showRowStripes="1"/>
</table>
</file>

<file path=xl/tables/table165.xml><?xml version="1.0" encoding="utf-8"?>
<table xmlns="http://schemas.openxmlformats.org/spreadsheetml/2006/main" headerRowCount="0" ref="A324:K324" displayName="Table_165" name="Table_165" id="16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77" showColumnStripes="0" showFirstColumn="1" showLastColumn="1" showRowStripes="1"/>
</table>
</file>

<file path=xl/tables/table166.xml><?xml version="1.0" encoding="utf-8"?>
<table xmlns="http://schemas.openxmlformats.org/spreadsheetml/2006/main" headerRowCount="0" ref="A325:K327" displayName="Table_166" name="Table_166" id="16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78" showColumnStripes="0" showFirstColumn="1" showLastColumn="1" showRowStripes="1"/>
</table>
</file>

<file path=xl/tables/table167.xml><?xml version="1.0" encoding="utf-8"?>
<table xmlns="http://schemas.openxmlformats.org/spreadsheetml/2006/main" headerRowCount="0" ref="A328:K328" displayName="Table_167" name="Table_167" id="16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79" showColumnStripes="0" showFirstColumn="1" showLastColumn="1" showRowStripes="1"/>
</table>
</file>

<file path=xl/tables/table168.xml><?xml version="1.0" encoding="utf-8"?>
<table xmlns="http://schemas.openxmlformats.org/spreadsheetml/2006/main" headerRowCount="0" ref="A329:K329" displayName="Table_168" name="Table_168" id="16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80" showColumnStripes="0" showFirstColumn="1" showLastColumn="1" showRowStripes="1"/>
</table>
</file>

<file path=xl/tables/table169.xml><?xml version="1.0" encoding="utf-8"?>
<table xmlns="http://schemas.openxmlformats.org/spreadsheetml/2006/main" headerRowCount="0" ref="A330:K330" displayName="Table_169" name="Table_169" id="16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81" showColumnStripes="0" showFirstColumn="1" showLastColumn="1" showRowStripes="1"/>
</table>
</file>

<file path=xl/tables/table170.xml><?xml version="1.0" encoding="utf-8"?>
<table xmlns="http://schemas.openxmlformats.org/spreadsheetml/2006/main" headerRowCount="0" ref="A331:K331" displayName="Table_170" name="Table_170" id="17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82" showColumnStripes="0" showFirstColumn="1" showLastColumn="1" showRowStripes="1"/>
</table>
</file>

<file path=xl/tables/table171.xml><?xml version="1.0" encoding="utf-8"?>
<table xmlns="http://schemas.openxmlformats.org/spreadsheetml/2006/main" headerRowCount="0" ref="A332:K332" displayName="Table_171" name="Table_171" id="17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83" showColumnStripes="0" showFirstColumn="1" showLastColumn="1" showRowStripes="1"/>
</table>
</file>

<file path=xl/tables/table172.xml><?xml version="1.0" encoding="utf-8"?>
<table xmlns="http://schemas.openxmlformats.org/spreadsheetml/2006/main" headerRowCount="0" ref="A333:K333" displayName="Table_172" name="Table_172" id="17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84" showColumnStripes="0" showFirstColumn="1" showLastColumn="1" showRowStripes="1"/>
</table>
</file>

<file path=xl/tables/table173.xml><?xml version="1.0" encoding="utf-8"?>
<table xmlns="http://schemas.openxmlformats.org/spreadsheetml/2006/main" headerRowCount="0" ref="C341:D393" displayName="Table_173" name="Table_173" id="173">
  <tableColumns count="2">
    <tableColumn name="Column1" id="1"/>
    <tableColumn name="Column2" id="2"/>
  </tableColumns>
  <tableStyleInfo name="Actual_Data-style 85" showColumnStripes="0" showFirstColumn="1" showLastColumn="1" showRowStripes="1"/>
</table>
</file>

<file path=xl/tables/table174.xml><?xml version="1.0" encoding="utf-8"?>
<table xmlns="http://schemas.openxmlformats.org/spreadsheetml/2006/main" headerRowCount="0" ref="A395:K395" displayName="Table_174" name="Table_174" id="17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86" showColumnStripes="0" showFirstColumn="1" showLastColumn="1" showRowStripes="1"/>
</table>
</file>

<file path=xl/tables/table175.xml><?xml version="1.0" encoding="utf-8"?>
<table xmlns="http://schemas.openxmlformats.org/spreadsheetml/2006/main" headerRowCount="0" ref="A396:K396" displayName="Table_175" name="Table_175" id="17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87" showColumnStripes="0" showFirstColumn="1" showLastColumn="1" showRowStripes="1"/>
</table>
</file>

<file path=xl/tables/table176.xml><?xml version="1.0" encoding="utf-8"?>
<table xmlns="http://schemas.openxmlformats.org/spreadsheetml/2006/main" headerRowCount="0" ref="A397:K397" displayName="Table_176" name="Table_176" id="17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Actual_Data-style 88" showColumnStripes="0" showFirstColumn="1" showLastColumn="1" showRowStripes="1"/>
</table>
</file>

<file path=xl/tables/table177.xml><?xml version="1.0" encoding="utf-8"?>
<table xmlns="http://schemas.openxmlformats.org/spreadsheetml/2006/main" ref="A1:L340" displayName="Table1" name="Table1" id="177">
  <tableColumns count="12">
    <tableColumn name="Timestamp" id="1"/>
    <tableColumn name="Email address" id="2"/>
    <tableColumn name="Name(As per adhar card)" id="3"/>
    <tableColumn name="Code" id="4"/>
    <tableColumn name="Badge Number" id="5"/>
    <tableColumn name="Age" id="6"/>
    <tableColumn name="Blood Group" id="7"/>
    <tableColumn name="State/City" id="8"/>
    <tableColumn name="Emergency Contact number" id="9"/>
    <tableColumn name="Upload a Passport Size Photo" id="10"/>
    <tableColumn name="Do you agree to the terms and conditions?" id="11"/>
    <tableColumn name="Column 12" id="12"/>
  </tableColumns>
  <tableStyleInfo name="Aaradhak_Details-style" showColumnStripes="0" showFirstColumn="1" showLastColumn="1" showRowStripes="1"/>
</table>
</file>

<file path=xl/tables/table178.xml><?xml version="1.0" encoding="utf-8"?>
<table xmlns="http://schemas.openxmlformats.org/spreadsheetml/2006/main" headerRowCount="0" ref="A341:L341" displayName="Table_177" name="Table_177" id="17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Aaradhak_Details-style 2" showColumnStripes="0" showFirstColumn="1" showLastColumn="1" showRowStripes="1"/>
</table>
</file>

<file path=xl/tables/table179.xml><?xml version="1.0" encoding="utf-8"?>
<table xmlns="http://schemas.openxmlformats.org/spreadsheetml/2006/main" ref="A1:E419" displayName="Table2" name="Table2" id="179">
  <tableColumns count="5">
    <tableColumn name="Name(As per adhar card)" id="1"/>
    <tableColumn name="Badge Number" id="2"/>
    <tableColumn name="Age" id="3"/>
    <tableColumn name="Blood Group" id="4"/>
    <tableColumn name="Emergency Contact number" id="5"/>
  </tableColumns>
  <tableStyleInfo name="ID Card Data-style" showColumnStripes="0" showFirstColumn="1" showLastColumn="1" showRowStripes="1"/>
</table>
</file>

<file path=xl/tables/table180.xml><?xml version="1.0" encoding="utf-8"?>
<table xmlns="http://schemas.openxmlformats.org/spreadsheetml/2006/main" ref="A1:F418" displayName="Table3" name="Table3" id="180">
  <tableColumns count="6">
    <tableColumn name="Name" id="1"/>
    <tableColumn name="Badge Number" id="2"/>
    <tableColumn name="Age" id="3"/>
    <tableColumn name="Blood Group" id="4"/>
    <tableColumn name="Emergency Contact Number" id="5"/>
    <tableColumn name="Drive Photo Link" id="6"/>
  </tableColumns>
  <tableStyleInfo name="ID_Card_Output-style" showColumnStripes="0" showFirstColumn="1" showLastColumn="1" showRowStripes="1"/>
</table>
</file>

<file path=xl/tables/table181.xml><?xml version="1.0" encoding="utf-8"?>
<table xmlns="http://schemas.openxmlformats.org/spreadsheetml/2006/main" ref="A1:F418" displayName="Table4" name="Table4" id="181">
  <autoFilter ref="$A$1:$F$418"/>
  <tableColumns count="6">
    <tableColumn name="Name" id="1"/>
    <tableColumn name="Badge Number" id="2"/>
    <tableColumn name="Age" id="3"/>
    <tableColumn name="Blood Group" id="4"/>
    <tableColumn name="Emergency Contact Number" id="5"/>
    <tableColumn name="Drive Photo Link" id="6"/>
  </tableColumns>
  <tableStyleInfo name="Final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50" Type="http://schemas.openxmlformats.org/officeDocument/2006/relationships/table" Target="../tables/table61.xml"/><Relationship Id="rId1" Type="http://schemas.openxmlformats.org/officeDocument/2006/relationships/drawing" Target="../drawings/drawing1.xml"/><Relationship Id="rId107" Type="http://schemas.openxmlformats.org/officeDocument/2006/relationships/table" Target="../tables/table18.xml"/><Relationship Id="rId106" Type="http://schemas.openxmlformats.org/officeDocument/2006/relationships/table" Target="../tables/table17.xml"/><Relationship Id="rId105" Type="http://schemas.openxmlformats.org/officeDocument/2006/relationships/table" Target="../tables/table16.xml"/><Relationship Id="rId149" Type="http://schemas.openxmlformats.org/officeDocument/2006/relationships/table" Target="../tables/table60.xml"/><Relationship Id="rId104" Type="http://schemas.openxmlformats.org/officeDocument/2006/relationships/table" Target="../tables/table15.xml"/><Relationship Id="rId148" Type="http://schemas.openxmlformats.org/officeDocument/2006/relationships/table" Target="../tables/table59.xml"/><Relationship Id="rId109" Type="http://schemas.openxmlformats.org/officeDocument/2006/relationships/table" Target="../tables/table20.xml"/><Relationship Id="rId108" Type="http://schemas.openxmlformats.org/officeDocument/2006/relationships/table" Target="../tables/table19.xml"/><Relationship Id="rId143" Type="http://schemas.openxmlformats.org/officeDocument/2006/relationships/table" Target="../tables/table54.xml"/><Relationship Id="rId142" Type="http://schemas.openxmlformats.org/officeDocument/2006/relationships/table" Target="../tables/table53.xml"/><Relationship Id="rId141" Type="http://schemas.openxmlformats.org/officeDocument/2006/relationships/table" Target="../tables/table52.xml"/><Relationship Id="rId140" Type="http://schemas.openxmlformats.org/officeDocument/2006/relationships/table" Target="../tables/table51.xml"/><Relationship Id="rId103" Type="http://schemas.openxmlformats.org/officeDocument/2006/relationships/table" Target="../tables/table14.xml"/><Relationship Id="rId147" Type="http://schemas.openxmlformats.org/officeDocument/2006/relationships/table" Target="../tables/table58.xml"/><Relationship Id="rId102" Type="http://schemas.openxmlformats.org/officeDocument/2006/relationships/table" Target="../tables/table13.xml"/><Relationship Id="rId146" Type="http://schemas.openxmlformats.org/officeDocument/2006/relationships/table" Target="../tables/table57.xml"/><Relationship Id="rId101" Type="http://schemas.openxmlformats.org/officeDocument/2006/relationships/table" Target="../tables/table12.xml"/><Relationship Id="rId145" Type="http://schemas.openxmlformats.org/officeDocument/2006/relationships/table" Target="../tables/table56.xml"/><Relationship Id="rId100" Type="http://schemas.openxmlformats.org/officeDocument/2006/relationships/table" Target="../tables/table11.xml"/><Relationship Id="rId144" Type="http://schemas.openxmlformats.org/officeDocument/2006/relationships/table" Target="../tables/table55.xml"/><Relationship Id="rId139" Type="http://schemas.openxmlformats.org/officeDocument/2006/relationships/table" Target="../tables/table50.xml"/><Relationship Id="rId138" Type="http://schemas.openxmlformats.org/officeDocument/2006/relationships/table" Target="../tables/table49.xml"/><Relationship Id="rId137" Type="http://schemas.openxmlformats.org/officeDocument/2006/relationships/table" Target="../tables/table48.xml"/><Relationship Id="rId132" Type="http://schemas.openxmlformats.org/officeDocument/2006/relationships/table" Target="../tables/table43.xml"/><Relationship Id="rId176" Type="http://schemas.openxmlformats.org/officeDocument/2006/relationships/table" Target="../tables/table87.xml"/><Relationship Id="rId131" Type="http://schemas.openxmlformats.org/officeDocument/2006/relationships/table" Target="../tables/table42.xml"/><Relationship Id="rId175" Type="http://schemas.openxmlformats.org/officeDocument/2006/relationships/table" Target="../tables/table86.xml"/><Relationship Id="rId130" Type="http://schemas.openxmlformats.org/officeDocument/2006/relationships/table" Target="../tables/table41.xml"/><Relationship Id="rId174" Type="http://schemas.openxmlformats.org/officeDocument/2006/relationships/table" Target="../tables/table85.xml"/><Relationship Id="rId173" Type="http://schemas.openxmlformats.org/officeDocument/2006/relationships/table" Target="../tables/table84.xml"/><Relationship Id="rId136" Type="http://schemas.openxmlformats.org/officeDocument/2006/relationships/table" Target="../tables/table47.xml"/><Relationship Id="rId135" Type="http://schemas.openxmlformats.org/officeDocument/2006/relationships/table" Target="../tables/table46.xml"/><Relationship Id="rId134" Type="http://schemas.openxmlformats.org/officeDocument/2006/relationships/table" Target="../tables/table45.xml"/><Relationship Id="rId133" Type="http://schemas.openxmlformats.org/officeDocument/2006/relationships/table" Target="../tables/table44.xml"/><Relationship Id="rId177" Type="http://schemas.openxmlformats.org/officeDocument/2006/relationships/table" Target="../tables/table88.xml"/><Relationship Id="rId172" Type="http://schemas.openxmlformats.org/officeDocument/2006/relationships/table" Target="../tables/table83.xml"/><Relationship Id="rId171" Type="http://schemas.openxmlformats.org/officeDocument/2006/relationships/table" Target="../tables/table82.xml"/><Relationship Id="rId170" Type="http://schemas.openxmlformats.org/officeDocument/2006/relationships/table" Target="../tables/table81.xml"/><Relationship Id="rId129" Type="http://schemas.openxmlformats.org/officeDocument/2006/relationships/table" Target="../tables/table40.xml"/><Relationship Id="rId128" Type="http://schemas.openxmlformats.org/officeDocument/2006/relationships/table" Target="../tables/table39.xml"/><Relationship Id="rId127" Type="http://schemas.openxmlformats.org/officeDocument/2006/relationships/table" Target="../tables/table38.xml"/><Relationship Id="rId126" Type="http://schemas.openxmlformats.org/officeDocument/2006/relationships/table" Target="../tables/table37.xml"/><Relationship Id="rId121" Type="http://schemas.openxmlformats.org/officeDocument/2006/relationships/table" Target="../tables/table32.xml"/><Relationship Id="rId165" Type="http://schemas.openxmlformats.org/officeDocument/2006/relationships/table" Target="../tables/table76.xml"/><Relationship Id="rId120" Type="http://schemas.openxmlformats.org/officeDocument/2006/relationships/table" Target="../tables/table31.xml"/><Relationship Id="rId164" Type="http://schemas.openxmlformats.org/officeDocument/2006/relationships/table" Target="../tables/table75.xml"/><Relationship Id="rId163" Type="http://schemas.openxmlformats.org/officeDocument/2006/relationships/table" Target="../tables/table74.xml"/><Relationship Id="rId162" Type="http://schemas.openxmlformats.org/officeDocument/2006/relationships/table" Target="../tables/table73.xml"/><Relationship Id="rId125" Type="http://schemas.openxmlformats.org/officeDocument/2006/relationships/table" Target="../tables/table36.xml"/><Relationship Id="rId169" Type="http://schemas.openxmlformats.org/officeDocument/2006/relationships/table" Target="../tables/table80.xml"/><Relationship Id="rId124" Type="http://schemas.openxmlformats.org/officeDocument/2006/relationships/table" Target="../tables/table35.xml"/><Relationship Id="rId168" Type="http://schemas.openxmlformats.org/officeDocument/2006/relationships/table" Target="../tables/table79.xml"/><Relationship Id="rId123" Type="http://schemas.openxmlformats.org/officeDocument/2006/relationships/table" Target="../tables/table34.xml"/><Relationship Id="rId167" Type="http://schemas.openxmlformats.org/officeDocument/2006/relationships/table" Target="../tables/table78.xml"/><Relationship Id="rId122" Type="http://schemas.openxmlformats.org/officeDocument/2006/relationships/table" Target="../tables/table33.xml"/><Relationship Id="rId166" Type="http://schemas.openxmlformats.org/officeDocument/2006/relationships/table" Target="../tables/table77.xml"/><Relationship Id="rId95" Type="http://schemas.openxmlformats.org/officeDocument/2006/relationships/table" Target="../tables/table6.xml"/><Relationship Id="rId94" Type="http://schemas.openxmlformats.org/officeDocument/2006/relationships/table" Target="../tables/table5.xml"/><Relationship Id="rId97" Type="http://schemas.openxmlformats.org/officeDocument/2006/relationships/table" Target="../tables/table8.xml"/><Relationship Id="rId96" Type="http://schemas.openxmlformats.org/officeDocument/2006/relationships/table" Target="../tables/table7.xml"/><Relationship Id="rId99" Type="http://schemas.openxmlformats.org/officeDocument/2006/relationships/table" Target="../tables/table10.xml"/><Relationship Id="rId161" Type="http://schemas.openxmlformats.org/officeDocument/2006/relationships/table" Target="../tables/table72.xml"/><Relationship Id="rId98" Type="http://schemas.openxmlformats.org/officeDocument/2006/relationships/table" Target="../tables/table9.xml"/><Relationship Id="rId160" Type="http://schemas.openxmlformats.org/officeDocument/2006/relationships/table" Target="../tables/table71.xml"/><Relationship Id="rId91" Type="http://schemas.openxmlformats.org/officeDocument/2006/relationships/table" Target="../tables/table2.xml"/><Relationship Id="rId90" Type="http://schemas.openxmlformats.org/officeDocument/2006/relationships/table" Target="../tables/table1.xml"/><Relationship Id="rId93" Type="http://schemas.openxmlformats.org/officeDocument/2006/relationships/table" Target="../tables/table4.xml"/><Relationship Id="rId92" Type="http://schemas.openxmlformats.org/officeDocument/2006/relationships/table" Target="../tables/table3.xml"/><Relationship Id="rId118" Type="http://schemas.openxmlformats.org/officeDocument/2006/relationships/table" Target="../tables/table29.xml"/><Relationship Id="rId117" Type="http://schemas.openxmlformats.org/officeDocument/2006/relationships/table" Target="../tables/table28.xml"/><Relationship Id="rId116" Type="http://schemas.openxmlformats.org/officeDocument/2006/relationships/table" Target="../tables/table27.xml"/><Relationship Id="rId115" Type="http://schemas.openxmlformats.org/officeDocument/2006/relationships/table" Target="../tables/table26.xml"/><Relationship Id="rId159" Type="http://schemas.openxmlformats.org/officeDocument/2006/relationships/table" Target="../tables/table70.xml"/><Relationship Id="rId119" Type="http://schemas.openxmlformats.org/officeDocument/2006/relationships/table" Target="../tables/table30.xml"/><Relationship Id="rId110" Type="http://schemas.openxmlformats.org/officeDocument/2006/relationships/table" Target="../tables/table21.xml"/><Relationship Id="rId154" Type="http://schemas.openxmlformats.org/officeDocument/2006/relationships/table" Target="../tables/table65.xml"/><Relationship Id="rId153" Type="http://schemas.openxmlformats.org/officeDocument/2006/relationships/table" Target="../tables/table64.xml"/><Relationship Id="rId152" Type="http://schemas.openxmlformats.org/officeDocument/2006/relationships/table" Target="../tables/table63.xml"/><Relationship Id="rId151" Type="http://schemas.openxmlformats.org/officeDocument/2006/relationships/table" Target="../tables/table62.xml"/><Relationship Id="rId114" Type="http://schemas.openxmlformats.org/officeDocument/2006/relationships/table" Target="../tables/table25.xml"/><Relationship Id="rId158" Type="http://schemas.openxmlformats.org/officeDocument/2006/relationships/table" Target="../tables/table69.xml"/><Relationship Id="rId113" Type="http://schemas.openxmlformats.org/officeDocument/2006/relationships/table" Target="../tables/table24.xml"/><Relationship Id="rId157" Type="http://schemas.openxmlformats.org/officeDocument/2006/relationships/table" Target="../tables/table68.xml"/><Relationship Id="rId112" Type="http://schemas.openxmlformats.org/officeDocument/2006/relationships/table" Target="../tables/table23.xml"/><Relationship Id="rId156" Type="http://schemas.openxmlformats.org/officeDocument/2006/relationships/table" Target="../tables/table67.xml"/><Relationship Id="rId111" Type="http://schemas.openxmlformats.org/officeDocument/2006/relationships/table" Target="../tables/table22.xml"/><Relationship Id="rId155" Type="http://schemas.openxmlformats.org/officeDocument/2006/relationships/table" Target="../tables/table66.xml"/></Relationships>
</file>

<file path=xl/worksheets/_rels/sheet2.xml.rels><?xml version="1.0" encoding="UTF-8" standalone="yes"?><Relationships xmlns="http://schemas.openxmlformats.org/package/2006/relationships"><Relationship Id="rId150" Type="http://schemas.openxmlformats.org/officeDocument/2006/relationships/table" Target="../tables/table149.xml"/><Relationship Id="rId1" Type="http://schemas.openxmlformats.org/officeDocument/2006/relationships/drawing" Target="../drawings/drawing2.xml"/><Relationship Id="rId107" Type="http://schemas.openxmlformats.org/officeDocument/2006/relationships/table" Target="../tables/table106.xml"/><Relationship Id="rId106" Type="http://schemas.openxmlformats.org/officeDocument/2006/relationships/table" Target="../tables/table105.xml"/><Relationship Id="rId105" Type="http://schemas.openxmlformats.org/officeDocument/2006/relationships/table" Target="../tables/table104.xml"/><Relationship Id="rId149" Type="http://schemas.openxmlformats.org/officeDocument/2006/relationships/table" Target="../tables/table148.xml"/><Relationship Id="rId104" Type="http://schemas.openxmlformats.org/officeDocument/2006/relationships/table" Target="../tables/table103.xml"/><Relationship Id="rId148" Type="http://schemas.openxmlformats.org/officeDocument/2006/relationships/table" Target="../tables/table147.xml"/><Relationship Id="rId109" Type="http://schemas.openxmlformats.org/officeDocument/2006/relationships/table" Target="../tables/table108.xml"/><Relationship Id="rId108" Type="http://schemas.openxmlformats.org/officeDocument/2006/relationships/table" Target="../tables/table107.xml"/><Relationship Id="rId143" Type="http://schemas.openxmlformats.org/officeDocument/2006/relationships/table" Target="../tables/table142.xml"/><Relationship Id="rId142" Type="http://schemas.openxmlformats.org/officeDocument/2006/relationships/table" Target="../tables/table141.xml"/><Relationship Id="rId141" Type="http://schemas.openxmlformats.org/officeDocument/2006/relationships/table" Target="../tables/table140.xml"/><Relationship Id="rId140" Type="http://schemas.openxmlformats.org/officeDocument/2006/relationships/table" Target="../tables/table139.xml"/><Relationship Id="rId103" Type="http://schemas.openxmlformats.org/officeDocument/2006/relationships/table" Target="../tables/table102.xml"/><Relationship Id="rId147" Type="http://schemas.openxmlformats.org/officeDocument/2006/relationships/table" Target="../tables/table146.xml"/><Relationship Id="rId102" Type="http://schemas.openxmlformats.org/officeDocument/2006/relationships/table" Target="../tables/table101.xml"/><Relationship Id="rId146" Type="http://schemas.openxmlformats.org/officeDocument/2006/relationships/table" Target="../tables/table145.xml"/><Relationship Id="rId101" Type="http://schemas.openxmlformats.org/officeDocument/2006/relationships/table" Target="../tables/table100.xml"/><Relationship Id="rId145" Type="http://schemas.openxmlformats.org/officeDocument/2006/relationships/table" Target="../tables/table144.xml"/><Relationship Id="rId100" Type="http://schemas.openxmlformats.org/officeDocument/2006/relationships/table" Target="../tables/table99.xml"/><Relationship Id="rId144" Type="http://schemas.openxmlformats.org/officeDocument/2006/relationships/table" Target="../tables/table143.xml"/><Relationship Id="rId139" Type="http://schemas.openxmlformats.org/officeDocument/2006/relationships/table" Target="../tables/table138.xml"/><Relationship Id="rId138" Type="http://schemas.openxmlformats.org/officeDocument/2006/relationships/table" Target="../tables/table137.xml"/><Relationship Id="rId137" Type="http://schemas.openxmlformats.org/officeDocument/2006/relationships/table" Target="../tables/table136.xml"/><Relationship Id="rId132" Type="http://schemas.openxmlformats.org/officeDocument/2006/relationships/table" Target="../tables/table131.xml"/><Relationship Id="rId176" Type="http://schemas.openxmlformats.org/officeDocument/2006/relationships/table" Target="../tables/table175.xml"/><Relationship Id="rId131" Type="http://schemas.openxmlformats.org/officeDocument/2006/relationships/table" Target="../tables/table130.xml"/><Relationship Id="rId175" Type="http://schemas.openxmlformats.org/officeDocument/2006/relationships/table" Target="../tables/table174.xml"/><Relationship Id="rId130" Type="http://schemas.openxmlformats.org/officeDocument/2006/relationships/table" Target="../tables/table129.xml"/><Relationship Id="rId174" Type="http://schemas.openxmlformats.org/officeDocument/2006/relationships/table" Target="../tables/table173.xml"/><Relationship Id="rId173" Type="http://schemas.openxmlformats.org/officeDocument/2006/relationships/table" Target="../tables/table172.xml"/><Relationship Id="rId136" Type="http://schemas.openxmlformats.org/officeDocument/2006/relationships/table" Target="../tables/table135.xml"/><Relationship Id="rId135" Type="http://schemas.openxmlformats.org/officeDocument/2006/relationships/table" Target="../tables/table134.xml"/><Relationship Id="rId134" Type="http://schemas.openxmlformats.org/officeDocument/2006/relationships/table" Target="../tables/table133.xml"/><Relationship Id="rId133" Type="http://schemas.openxmlformats.org/officeDocument/2006/relationships/table" Target="../tables/table132.xml"/><Relationship Id="rId177" Type="http://schemas.openxmlformats.org/officeDocument/2006/relationships/table" Target="../tables/table176.xml"/><Relationship Id="rId172" Type="http://schemas.openxmlformats.org/officeDocument/2006/relationships/table" Target="../tables/table171.xml"/><Relationship Id="rId171" Type="http://schemas.openxmlformats.org/officeDocument/2006/relationships/table" Target="../tables/table170.xml"/><Relationship Id="rId170" Type="http://schemas.openxmlformats.org/officeDocument/2006/relationships/table" Target="../tables/table169.xml"/><Relationship Id="rId129" Type="http://schemas.openxmlformats.org/officeDocument/2006/relationships/table" Target="../tables/table128.xml"/><Relationship Id="rId128" Type="http://schemas.openxmlformats.org/officeDocument/2006/relationships/table" Target="../tables/table127.xml"/><Relationship Id="rId127" Type="http://schemas.openxmlformats.org/officeDocument/2006/relationships/table" Target="../tables/table126.xml"/><Relationship Id="rId126" Type="http://schemas.openxmlformats.org/officeDocument/2006/relationships/table" Target="../tables/table125.xml"/><Relationship Id="rId121" Type="http://schemas.openxmlformats.org/officeDocument/2006/relationships/table" Target="../tables/table120.xml"/><Relationship Id="rId165" Type="http://schemas.openxmlformats.org/officeDocument/2006/relationships/table" Target="../tables/table164.xml"/><Relationship Id="rId120" Type="http://schemas.openxmlformats.org/officeDocument/2006/relationships/table" Target="../tables/table119.xml"/><Relationship Id="rId164" Type="http://schemas.openxmlformats.org/officeDocument/2006/relationships/table" Target="../tables/table163.xml"/><Relationship Id="rId163" Type="http://schemas.openxmlformats.org/officeDocument/2006/relationships/table" Target="../tables/table162.xml"/><Relationship Id="rId162" Type="http://schemas.openxmlformats.org/officeDocument/2006/relationships/table" Target="../tables/table161.xml"/><Relationship Id="rId125" Type="http://schemas.openxmlformats.org/officeDocument/2006/relationships/table" Target="../tables/table124.xml"/><Relationship Id="rId169" Type="http://schemas.openxmlformats.org/officeDocument/2006/relationships/table" Target="../tables/table168.xml"/><Relationship Id="rId124" Type="http://schemas.openxmlformats.org/officeDocument/2006/relationships/table" Target="../tables/table123.xml"/><Relationship Id="rId168" Type="http://schemas.openxmlformats.org/officeDocument/2006/relationships/table" Target="../tables/table167.xml"/><Relationship Id="rId123" Type="http://schemas.openxmlformats.org/officeDocument/2006/relationships/table" Target="../tables/table122.xml"/><Relationship Id="rId167" Type="http://schemas.openxmlformats.org/officeDocument/2006/relationships/table" Target="../tables/table166.xml"/><Relationship Id="rId122" Type="http://schemas.openxmlformats.org/officeDocument/2006/relationships/table" Target="../tables/table121.xml"/><Relationship Id="rId166" Type="http://schemas.openxmlformats.org/officeDocument/2006/relationships/table" Target="../tables/table165.xml"/><Relationship Id="rId95" Type="http://schemas.openxmlformats.org/officeDocument/2006/relationships/table" Target="../tables/table94.xml"/><Relationship Id="rId94" Type="http://schemas.openxmlformats.org/officeDocument/2006/relationships/table" Target="../tables/table93.xml"/><Relationship Id="rId97" Type="http://schemas.openxmlformats.org/officeDocument/2006/relationships/table" Target="../tables/table96.xml"/><Relationship Id="rId96" Type="http://schemas.openxmlformats.org/officeDocument/2006/relationships/table" Target="../tables/table95.xml"/><Relationship Id="rId99" Type="http://schemas.openxmlformats.org/officeDocument/2006/relationships/table" Target="../tables/table98.xml"/><Relationship Id="rId161" Type="http://schemas.openxmlformats.org/officeDocument/2006/relationships/table" Target="../tables/table160.xml"/><Relationship Id="rId98" Type="http://schemas.openxmlformats.org/officeDocument/2006/relationships/table" Target="../tables/table97.xml"/><Relationship Id="rId160" Type="http://schemas.openxmlformats.org/officeDocument/2006/relationships/table" Target="../tables/table159.xml"/><Relationship Id="rId91" Type="http://schemas.openxmlformats.org/officeDocument/2006/relationships/table" Target="../tables/table90.xml"/><Relationship Id="rId90" Type="http://schemas.openxmlformats.org/officeDocument/2006/relationships/table" Target="../tables/table89.xml"/><Relationship Id="rId93" Type="http://schemas.openxmlformats.org/officeDocument/2006/relationships/table" Target="../tables/table92.xml"/><Relationship Id="rId92" Type="http://schemas.openxmlformats.org/officeDocument/2006/relationships/table" Target="../tables/table91.xml"/><Relationship Id="rId118" Type="http://schemas.openxmlformats.org/officeDocument/2006/relationships/table" Target="../tables/table117.xml"/><Relationship Id="rId117" Type="http://schemas.openxmlformats.org/officeDocument/2006/relationships/table" Target="../tables/table116.xml"/><Relationship Id="rId116" Type="http://schemas.openxmlformats.org/officeDocument/2006/relationships/table" Target="../tables/table115.xml"/><Relationship Id="rId115" Type="http://schemas.openxmlformats.org/officeDocument/2006/relationships/table" Target="../tables/table114.xml"/><Relationship Id="rId159" Type="http://schemas.openxmlformats.org/officeDocument/2006/relationships/table" Target="../tables/table158.xml"/><Relationship Id="rId119" Type="http://schemas.openxmlformats.org/officeDocument/2006/relationships/table" Target="../tables/table118.xml"/><Relationship Id="rId110" Type="http://schemas.openxmlformats.org/officeDocument/2006/relationships/table" Target="../tables/table109.xml"/><Relationship Id="rId154" Type="http://schemas.openxmlformats.org/officeDocument/2006/relationships/table" Target="../tables/table153.xml"/><Relationship Id="rId153" Type="http://schemas.openxmlformats.org/officeDocument/2006/relationships/table" Target="../tables/table152.xml"/><Relationship Id="rId152" Type="http://schemas.openxmlformats.org/officeDocument/2006/relationships/table" Target="../tables/table151.xml"/><Relationship Id="rId151" Type="http://schemas.openxmlformats.org/officeDocument/2006/relationships/table" Target="../tables/table150.xml"/><Relationship Id="rId114" Type="http://schemas.openxmlformats.org/officeDocument/2006/relationships/table" Target="../tables/table113.xml"/><Relationship Id="rId158" Type="http://schemas.openxmlformats.org/officeDocument/2006/relationships/table" Target="../tables/table157.xml"/><Relationship Id="rId113" Type="http://schemas.openxmlformats.org/officeDocument/2006/relationships/table" Target="../tables/table112.xml"/><Relationship Id="rId157" Type="http://schemas.openxmlformats.org/officeDocument/2006/relationships/table" Target="../tables/table156.xml"/><Relationship Id="rId112" Type="http://schemas.openxmlformats.org/officeDocument/2006/relationships/table" Target="../tables/table111.xml"/><Relationship Id="rId156" Type="http://schemas.openxmlformats.org/officeDocument/2006/relationships/table" Target="../tables/table155.xml"/><Relationship Id="rId111" Type="http://schemas.openxmlformats.org/officeDocument/2006/relationships/table" Target="../tables/table110.xml"/><Relationship Id="rId155" Type="http://schemas.openxmlformats.org/officeDocument/2006/relationships/table" Target="../tables/table154.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Tol_266Slvk5pQKYAQgq1DQN5voYwq71" TargetMode="External"/><Relationship Id="rId190" Type="http://schemas.openxmlformats.org/officeDocument/2006/relationships/hyperlink" Target="https://drive.google.com/open?id=1mukeBSfKWDU3KxCCbUrPpX2SA5ngx0Lu" TargetMode="External"/><Relationship Id="rId42" Type="http://schemas.openxmlformats.org/officeDocument/2006/relationships/hyperlink" Target="https://drive.google.com/open?id=1Eb_1SOyXWLjLyY7kwDqMa42aLzJ0BpVq" TargetMode="External"/><Relationship Id="rId41" Type="http://schemas.openxmlformats.org/officeDocument/2006/relationships/hyperlink" Target="https://drive.google.com/open?id=1ZlV2rkyubIs24FgJ2LMa0EqS4iFsfWOw" TargetMode="External"/><Relationship Id="rId44" Type="http://schemas.openxmlformats.org/officeDocument/2006/relationships/hyperlink" Target="https://drive.google.com/open?id=1X6ZDOyiEmRJJcVto0apgHH0zVSr_gYe0" TargetMode="External"/><Relationship Id="rId194" Type="http://schemas.openxmlformats.org/officeDocument/2006/relationships/hyperlink" Target="https://drive.google.com/open?id=1oj-iDlJXjog5kHp_psdgfs0Ht-3DNlJs" TargetMode="External"/><Relationship Id="rId43" Type="http://schemas.openxmlformats.org/officeDocument/2006/relationships/hyperlink" Target="https://drive.google.com/open?id=1qWAoAxTtrKOuAgyPh8T1YVYXujFWnXen" TargetMode="External"/><Relationship Id="rId193" Type="http://schemas.openxmlformats.org/officeDocument/2006/relationships/hyperlink" Target="https://drive.google.com/open?id=1vEwEjAotC25WTEMDriLTC1zi-R_h0FqE" TargetMode="External"/><Relationship Id="rId46" Type="http://schemas.openxmlformats.org/officeDocument/2006/relationships/hyperlink" Target="https://drive.google.com/open?id=1LERyVdrsNRcea756dLvydNwVbFqPeLat" TargetMode="External"/><Relationship Id="rId192" Type="http://schemas.openxmlformats.org/officeDocument/2006/relationships/hyperlink" Target="https://drive.google.com/open?id=1_qhK1zCFc2IZVQmNRbIC3xB5A9VNaIt6" TargetMode="External"/><Relationship Id="rId45" Type="http://schemas.openxmlformats.org/officeDocument/2006/relationships/hyperlink" Target="https://drive.google.com/open?id=1nggRYpSajINYcyuGWWVl59GSdI1ksuW-" TargetMode="External"/><Relationship Id="rId191" Type="http://schemas.openxmlformats.org/officeDocument/2006/relationships/hyperlink" Target="https://drive.google.com/open?id=1ioJAeyMfNgN0gAIwet7k1pKHG5YdITPP" TargetMode="External"/><Relationship Id="rId48" Type="http://schemas.openxmlformats.org/officeDocument/2006/relationships/hyperlink" Target="https://drive.google.com/open?id=1fKI-UYpjxxnDnVF5I8RdkRSfobns_zTu" TargetMode="External"/><Relationship Id="rId187" Type="http://schemas.openxmlformats.org/officeDocument/2006/relationships/hyperlink" Target="https://drive.google.com/open?id=10YtDu2_D7yd_8hKedjUGZ1ANIvsnt32Q" TargetMode="External"/><Relationship Id="rId47" Type="http://schemas.openxmlformats.org/officeDocument/2006/relationships/hyperlink" Target="https://drive.google.com/open?id=1d_w1wLlT-XuMutTDk3JG-8CGqfsFmnBI" TargetMode="External"/><Relationship Id="rId186" Type="http://schemas.openxmlformats.org/officeDocument/2006/relationships/hyperlink" Target="https://drive.google.com/open?id=1RNUkQ4YE2vkVrsb0cbB0i6LG_lTbEaId" TargetMode="External"/><Relationship Id="rId185" Type="http://schemas.openxmlformats.org/officeDocument/2006/relationships/hyperlink" Target="https://drive.google.com/open?id=1EZFgRtoyg2Ylv-8HIo2HZID2VEAtyHog" TargetMode="External"/><Relationship Id="rId49" Type="http://schemas.openxmlformats.org/officeDocument/2006/relationships/hyperlink" Target="https://drive.google.com/open?id=17sDUpo9LFhvSFcwgt2oKHEYWERwYfxdm" TargetMode="External"/><Relationship Id="rId184" Type="http://schemas.openxmlformats.org/officeDocument/2006/relationships/hyperlink" Target="https://drive.google.com/open?id=1da6T3uluUg3uuTibZ4I1Pq7P8Vtw8FY0" TargetMode="External"/><Relationship Id="rId189" Type="http://schemas.openxmlformats.org/officeDocument/2006/relationships/hyperlink" Target="https://drive.google.com/open?id=1vwGPqk8llu1WH3OclRHYOFwQm93_ZVMh" TargetMode="External"/><Relationship Id="rId188" Type="http://schemas.openxmlformats.org/officeDocument/2006/relationships/hyperlink" Target="https://drive.google.com/open?id=1qMxCsI8j9IJtcuj8RBRa_0U8c-3q5-7p" TargetMode="External"/><Relationship Id="rId31" Type="http://schemas.openxmlformats.org/officeDocument/2006/relationships/hyperlink" Target="https://drive.google.com/open?id=1EI6cBj0MJs2Z2a84cigzSX7mh8TzeshT" TargetMode="External"/><Relationship Id="rId30" Type="http://schemas.openxmlformats.org/officeDocument/2006/relationships/hyperlink" Target="https://drive.google.com/open?id=1DBSnLZ8YKTUqW2axAqjEDLFxsoKyvloZ" TargetMode="External"/><Relationship Id="rId33" Type="http://schemas.openxmlformats.org/officeDocument/2006/relationships/hyperlink" Target="https://drive.google.com/open?id=1SZpPc0A-sd5QRiA4IQLZhYcoGTJHWmzU" TargetMode="External"/><Relationship Id="rId183" Type="http://schemas.openxmlformats.org/officeDocument/2006/relationships/hyperlink" Target="https://drive.google.com/open?id=13OlbmMltwQ3XdUOhcPiScjY95u5Igr6B" TargetMode="External"/><Relationship Id="rId32" Type="http://schemas.openxmlformats.org/officeDocument/2006/relationships/hyperlink" Target="https://drive.google.com/open?id=14wcqcgIGR0Ogh4UE59Vti2Yb5PU8SOPF" TargetMode="External"/><Relationship Id="rId182" Type="http://schemas.openxmlformats.org/officeDocument/2006/relationships/hyperlink" Target="https://drive.google.com/open?id=1rCL4IF45tNwpSOQzwBM7nJLRLEAsB4pi" TargetMode="External"/><Relationship Id="rId35" Type="http://schemas.openxmlformats.org/officeDocument/2006/relationships/hyperlink" Target="https://drive.google.com/open?id=1de-zzjrMLpbRjC3DgCls3MbFVoq8eB3U" TargetMode="External"/><Relationship Id="rId181" Type="http://schemas.openxmlformats.org/officeDocument/2006/relationships/hyperlink" Target="https://drive.google.com/open?id=1JGG82TNoAZI8nxzIW1nWZ2zW4g_evf0w" TargetMode="External"/><Relationship Id="rId34" Type="http://schemas.openxmlformats.org/officeDocument/2006/relationships/hyperlink" Target="https://drive.google.com/open?id=1mbUKXlvn8WyYxBGBy83PxmjJXvIOtb_Y" TargetMode="External"/><Relationship Id="rId180" Type="http://schemas.openxmlformats.org/officeDocument/2006/relationships/hyperlink" Target="https://drive.google.com/open?id=1OkV0sr2PaZrqhNmTAeOR7-Ni53pmkjyE" TargetMode="External"/><Relationship Id="rId37" Type="http://schemas.openxmlformats.org/officeDocument/2006/relationships/hyperlink" Target="https://drive.google.com/open?id=11ZaONFphwaBLnHk4tIarGRLXAkuG4Elg" TargetMode="External"/><Relationship Id="rId176" Type="http://schemas.openxmlformats.org/officeDocument/2006/relationships/hyperlink" Target="https://drive.google.com/open?id=1CLKZ0nY5JG1MRg4q1Hh1jijPcVIw4ZQm" TargetMode="External"/><Relationship Id="rId297" Type="http://schemas.openxmlformats.org/officeDocument/2006/relationships/hyperlink" Target="https://drive.google.com/open?id=1gL9EtKGrGZ26hOptX5YtaovkRkOHUbi8" TargetMode="External"/><Relationship Id="rId36" Type="http://schemas.openxmlformats.org/officeDocument/2006/relationships/hyperlink" Target="https://drive.google.com/open?id=1SXjn-AFGny_IPMt32vvw6rwfUNYXdhhg" TargetMode="External"/><Relationship Id="rId175" Type="http://schemas.openxmlformats.org/officeDocument/2006/relationships/hyperlink" Target="https://drive.google.com/open?id=1Pu7cQBdB1LB2lPj5wIx-5ASAinIpU2QN" TargetMode="External"/><Relationship Id="rId296" Type="http://schemas.openxmlformats.org/officeDocument/2006/relationships/hyperlink" Target="https://drive.google.com/open?id=11O2cG97nz6zOGZQG4YLhiq71qKSuHbRG" TargetMode="External"/><Relationship Id="rId39" Type="http://schemas.openxmlformats.org/officeDocument/2006/relationships/hyperlink" Target="https://drive.google.com/open?id=1aL6Yy6KD89Xfd5SLbmR6vYWzzw1xmRwi" TargetMode="External"/><Relationship Id="rId174" Type="http://schemas.openxmlformats.org/officeDocument/2006/relationships/hyperlink" Target="https://drive.google.com/open?id=17ONIpdvLiIi5Z1QbgP9CIObTi1PbtRFM" TargetMode="External"/><Relationship Id="rId295" Type="http://schemas.openxmlformats.org/officeDocument/2006/relationships/hyperlink" Target="https://drive.google.com/open?id=1u5t7Y-cs-kgogUyx0YgAw_ly0She84Ie" TargetMode="External"/><Relationship Id="rId38" Type="http://schemas.openxmlformats.org/officeDocument/2006/relationships/hyperlink" Target="https://drive.google.com/open?id=1tqAWs0VY2goICihktdR7t9h3_RdfIYmj" TargetMode="External"/><Relationship Id="rId173" Type="http://schemas.openxmlformats.org/officeDocument/2006/relationships/hyperlink" Target="https://drive.google.com/open?id=1GHoF2Y0kmUW7grwCKevELSViLzAzZyeK" TargetMode="External"/><Relationship Id="rId294" Type="http://schemas.openxmlformats.org/officeDocument/2006/relationships/hyperlink" Target="https://drive.google.com/open?id=1KWt7It9WJPRUjoxcC-wLaF3h2Yeu5xwk" TargetMode="External"/><Relationship Id="rId179" Type="http://schemas.openxmlformats.org/officeDocument/2006/relationships/hyperlink" Target="https://drive.google.com/open?id=1qg4dUfQzG0bPLxflkt-HJNOL8IVdDi_P" TargetMode="External"/><Relationship Id="rId178" Type="http://schemas.openxmlformats.org/officeDocument/2006/relationships/hyperlink" Target="https://drive.google.com/open?id=1jNytwAN86p1CpZG7DtlmoLsrgZKMCKBe" TargetMode="External"/><Relationship Id="rId299" Type="http://schemas.openxmlformats.org/officeDocument/2006/relationships/hyperlink" Target="https://drive.google.com/open?id=1XnyqCJCDYO6Hm6TJ9huhOo7iEDiL_ODt" TargetMode="External"/><Relationship Id="rId177" Type="http://schemas.openxmlformats.org/officeDocument/2006/relationships/hyperlink" Target="https://drive.google.com/open?id=1sCJ4RM18VyiVIRtyt1g5KcJTJwTNuaE-" TargetMode="External"/><Relationship Id="rId298" Type="http://schemas.openxmlformats.org/officeDocument/2006/relationships/hyperlink" Target="https://drive.google.com/open?id=1fDFgD7pcVJaY5s-IEqXXlB9dblHH5ErU" TargetMode="External"/><Relationship Id="rId20" Type="http://schemas.openxmlformats.org/officeDocument/2006/relationships/hyperlink" Target="https://drive.google.com/open?id=1ZPhSG_D5BL8eN1rbI3-IUd-dpGn8tdgO" TargetMode="External"/><Relationship Id="rId22" Type="http://schemas.openxmlformats.org/officeDocument/2006/relationships/hyperlink" Target="https://drive.google.com/open?id=1MW-FmSb1BED-BzTiAKYND3h78d9UzyCi" TargetMode="External"/><Relationship Id="rId21" Type="http://schemas.openxmlformats.org/officeDocument/2006/relationships/hyperlink" Target="https://drive.google.com/open?id=1-dKLRDOlrHDu6S5FwVi65ajMnEUFQxXk" TargetMode="External"/><Relationship Id="rId24" Type="http://schemas.openxmlformats.org/officeDocument/2006/relationships/hyperlink" Target="https://drive.google.com/open?id=1O_6vS-YzKv96hUp__FOBpXoXOlcrhH56" TargetMode="External"/><Relationship Id="rId23" Type="http://schemas.openxmlformats.org/officeDocument/2006/relationships/hyperlink" Target="https://drive.google.com/open?id=1RUTBG-dunzR_1ITec3zSOmHz3rrl50QJ" TargetMode="External"/><Relationship Id="rId26" Type="http://schemas.openxmlformats.org/officeDocument/2006/relationships/hyperlink" Target="https://drive.google.com/open?id=14YwRH3CbaEyOm0I6W_0vyT-FDwqzBGoA" TargetMode="External"/><Relationship Id="rId25" Type="http://schemas.openxmlformats.org/officeDocument/2006/relationships/hyperlink" Target="https://drive.google.com/open?id=1UoCU_mvxPdga2KKiJOjJ6nmOWArJqR10" TargetMode="External"/><Relationship Id="rId28" Type="http://schemas.openxmlformats.org/officeDocument/2006/relationships/hyperlink" Target="https://drive.google.com/open?id=1EXWG06dnuu-oX7ZJJHxoRYJ0V6ymXMth" TargetMode="External"/><Relationship Id="rId27" Type="http://schemas.openxmlformats.org/officeDocument/2006/relationships/hyperlink" Target="https://drive.google.com/open?id=1WzoZcztCOECOdvrMIj6CdHBUMzOvXd5H" TargetMode="External"/><Relationship Id="rId29" Type="http://schemas.openxmlformats.org/officeDocument/2006/relationships/hyperlink" Target="https://drive.google.com/open?id=1kH7_tWsM2K39Tw1t8ly2i_Yq1cPAEgDc" TargetMode="External"/><Relationship Id="rId11" Type="http://schemas.openxmlformats.org/officeDocument/2006/relationships/hyperlink" Target="https://drive.google.com/open?id=1oXPy6Zm6GhoIYSzNkxKURVQ7djkjD5og" TargetMode="External"/><Relationship Id="rId10" Type="http://schemas.openxmlformats.org/officeDocument/2006/relationships/hyperlink" Target="https://drive.google.com/open?id=1IVxjVwg4NlNzLptTJIjS-xDskZWlRg6t" TargetMode="External"/><Relationship Id="rId13" Type="http://schemas.openxmlformats.org/officeDocument/2006/relationships/hyperlink" Target="https://drive.google.com/open?id=1fsYeyvPM0MDktd5Fgn3GWHAhAUF-pmPW" TargetMode="External"/><Relationship Id="rId12" Type="http://schemas.openxmlformats.org/officeDocument/2006/relationships/hyperlink" Target="https://drive.google.com/open?id=1EAB3FQz0Korngl0ssBPI_hipMXlbCNgh" TargetMode="External"/><Relationship Id="rId15" Type="http://schemas.openxmlformats.org/officeDocument/2006/relationships/hyperlink" Target="https://drive.google.com/open?id=1qjGe0s8uGO2FjUCr_Ae2YluvlxGU-yoO" TargetMode="External"/><Relationship Id="rId198" Type="http://schemas.openxmlformats.org/officeDocument/2006/relationships/hyperlink" Target="https://drive.google.com/open?id=1p132c0CrDkJ8JTwASBtclKla1AzuZ0qC" TargetMode="External"/><Relationship Id="rId14" Type="http://schemas.openxmlformats.org/officeDocument/2006/relationships/hyperlink" Target="https://drive.google.com/open?id=11HDfHGWyVyRZ6cfWoSFilBJQ_vpyMVF8" TargetMode="External"/><Relationship Id="rId197" Type="http://schemas.openxmlformats.org/officeDocument/2006/relationships/hyperlink" Target="https://drive.google.com/open?id=1EAAWvLRAAS3UsX1CopLIodWjitnrQ9I4" TargetMode="External"/><Relationship Id="rId17" Type="http://schemas.openxmlformats.org/officeDocument/2006/relationships/hyperlink" Target="https://drive.google.com/open?id=1B7c4IO8U5tRyLDWb746lfEgxoK-jDl4V" TargetMode="External"/><Relationship Id="rId196" Type="http://schemas.openxmlformats.org/officeDocument/2006/relationships/hyperlink" Target="https://drive.google.com/open?id=1UJurgGD__k4iR_rGOUqzrWCqQ5mXNQ6S" TargetMode="External"/><Relationship Id="rId16" Type="http://schemas.openxmlformats.org/officeDocument/2006/relationships/hyperlink" Target="https://drive.google.com/open?id=1pGnRcx4f1hPxHK0dkzJrs7ghuXPZyB11" TargetMode="External"/><Relationship Id="rId195" Type="http://schemas.openxmlformats.org/officeDocument/2006/relationships/hyperlink" Target="https://drive.google.com/open?id=14KHd5DtLJA1FiEElOO700io2Iapq-wzL" TargetMode="External"/><Relationship Id="rId19" Type="http://schemas.openxmlformats.org/officeDocument/2006/relationships/hyperlink" Target="https://drive.google.com/open?id=1wIgedSUkyP308HO_ys_G2weqFUo2daZH" TargetMode="External"/><Relationship Id="rId18" Type="http://schemas.openxmlformats.org/officeDocument/2006/relationships/hyperlink" Target="https://drive.google.com/open?id=1Ke70RV3FarPfXPW4PmWACWj_CoIA8i4N" TargetMode="External"/><Relationship Id="rId199" Type="http://schemas.openxmlformats.org/officeDocument/2006/relationships/hyperlink" Target="https://drive.google.com/open?id=18lk26I_a7_hCmDl33bmojpGNHLR9O1HE" TargetMode="External"/><Relationship Id="rId84" Type="http://schemas.openxmlformats.org/officeDocument/2006/relationships/hyperlink" Target="https://drive.google.com/open?id=1SSrDciBeNaQ-1sptKk2vHYiLJwWMmyK9" TargetMode="External"/><Relationship Id="rId83" Type="http://schemas.openxmlformats.org/officeDocument/2006/relationships/hyperlink" Target="https://drive.google.com/open?id=1H_EPr-AYeOiKqBpCDr2ULC0Dke83IrnV" TargetMode="External"/><Relationship Id="rId86" Type="http://schemas.openxmlformats.org/officeDocument/2006/relationships/hyperlink" Target="https://drive.google.com/open?id=1WJRZnz0WLA-V7QFAT8lSXWS1AsLbUGDO" TargetMode="External"/><Relationship Id="rId85" Type="http://schemas.openxmlformats.org/officeDocument/2006/relationships/hyperlink" Target="https://drive.google.com/open?id=17dQeDe0zW_jZj8_5UtCenMBes0i_Ndkd" TargetMode="External"/><Relationship Id="rId88" Type="http://schemas.openxmlformats.org/officeDocument/2006/relationships/hyperlink" Target="https://drive.google.com/open?id=1EXpPZGN9B73ip4ijSLArR4ml87Dzl491" TargetMode="External"/><Relationship Id="rId150" Type="http://schemas.openxmlformats.org/officeDocument/2006/relationships/hyperlink" Target="https://drive.google.com/open?id=1wEP-eRJkajV4ydwQr2eWEO78WyFnIOMd" TargetMode="External"/><Relationship Id="rId271" Type="http://schemas.openxmlformats.org/officeDocument/2006/relationships/hyperlink" Target="https://drive.google.com/open?id=1HnuJTDcSX5JB-tYpWgHSkT4YexDSWkq5" TargetMode="External"/><Relationship Id="rId87" Type="http://schemas.openxmlformats.org/officeDocument/2006/relationships/hyperlink" Target="https://drive.google.com/open?id=1BvFR9_-vYXTXz38ix5cDUSL0pNhEjPom" TargetMode="External"/><Relationship Id="rId270" Type="http://schemas.openxmlformats.org/officeDocument/2006/relationships/hyperlink" Target="https://drive.google.com/open?id=1th9Osv1hfWNCZpwlX9r78XCXl3C_1yxX" TargetMode="External"/><Relationship Id="rId89" Type="http://schemas.openxmlformats.org/officeDocument/2006/relationships/hyperlink" Target="https://drive.google.com/open?id=14vEE1c88KwdL8RGiPotoL7z2bWQLDgpa" TargetMode="External"/><Relationship Id="rId80" Type="http://schemas.openxmlformats.org/officeDocument/2006/relationships/hyperlink" Target="https://drive.google.com/open?id=1zzx88G6Y88tO_Lh1lYrJcD01P7nOtYjB" TargetMode="External"/><Relationship Id="rId82" Type="http://schemas.openxmlformats.org/officeDocument/2006/relationships/hyperlink" Target="https://drive.google.com/open?id=1KFF-AZHUAcwvEjnkiYzvovi7EP10Tmh7" TargetMode="External"/><Relationship Id="rId81" Type="http://schemas.openxmlformats.org/officeDocument/2006/relationships/hyperlink" Target="https://drive.google.com/open?id=1hA_ZAlVQCpljpLRBuLZbvvdrCyFKq9YX" TargetMode="External"/><Relationship Id="rId1" Type="http://schemas.openxmlformats.org/officeDocument/2006/relationships/hyperlink" Target="https://drive.google.com/open?id=1Gzr-eY1XG6Yh53-0x80OZ0hCCHuTviea" TargetMode="External"/><Relationship Id="rId2" Type="http://schemas.openxmlformats.org/officeDocument/2006/relationships/hyperlink" Target="https://drive.google.com/open?id=109wlIt98ft0VMeSRBk7uG8EjVjNr4gJv" TargetMode="External"/><Relationship Id="rId3" Type="http://schemas.openxmlformats.org/officeDocument/2006/relationships/hyperlink" Target="https://drive.google.com/open?id=1leNh8vUSl2fpXLM86_zlju7kpjzTXg5j" TargetMode="External"/><Relationship Id="rId149" Type="http://schemas.openxmlformats.org/officeDocument/2006/relationships/hyperlink" Target="https://drive.google.com/open?id=1fOWGwSf5GHBmFMBS7B5VKD2YieHAG0Mb" TargetMode="External"/><Relationship Id="rId4" Type="http://schemas.openxmlformats.org/officeDocument/2006/relationships/hyperlink" Target="https://drive.google.com/open?id=1Pk-gWVTSSBzWIgAzVdacMhc8fBVmB7V4" TargetMode="External"/><Relationship Id="rId148" Type="http://schemas.openxmlformats.org/officeDocument/2006/relationships/hyperlink" Target="https://drive.google.com/open?id=1NepBH9VHDvGR2ncxFnyi0rQdPO2LeG-g" TargetMode="External"/><Relationship Id="rId269" Type="http://schemas.openxmlformats.org/officeDocument/2006/relationships/hyperlink" Target="https://drive.google.com/open?id=1nhr9aiRGZT_HuviGrJv2PiY3nbVgQTLf" TargetMode="External"/><Relationship Id="rId9" Type="http://schemas.openxmlformats.org/officeDocument/2006/relationships/hyperlink" Target="https://drive.google.com/open?id=1qr6viFOCwyAc02DBZ-C-fqLj0AzakiDq" TargetMode="External"/><Relationship Id="rId143" Type="http://schemas.openxmlformats.org/officeDocument/2006/relationships/hyperlink" Target="https://drive.google.com/open?id=1r-u1HSeKusoF9zLuKxKuuKBd5paE-x25" TargetMode="External"/><Relationship Id="rId264" Type="http://schemas.openxmlformats.org/officeDocument/2006/relationships/hyperlink" Target="https://drive.google.com/open?id=1gvdXlfK02D9T_O2FAgIVE16WZk4D11E7" TargetMode="External"/><Relationship Id="rId142" Type="http://schemas.openxmlformats.org/officeDocument/2006/relationships/hyperlink" Target="https://drive.google.com/open?id=1f-bCn3knR6AnUadmD_Id6a8TWu2q6G2x" TargetMode="External"/><Relationship Id="rId263" Type="http://schemas.openxmlformats.org/officeDocument/2006/relationships/hyperlink" Target="https://drive.google.com/open?id=15j5ntIgd9VFYo5goH7XqX4LS_3yhJ8Wz" TargetMode="External"/><Relationship Id="rId141" Type="http://schemas.openxmlformats.org/officeDocument/2006/relationships/hyperlink" Target="https://drive.google.com/open?id=1Oa4pEwMp4Apn-tx8e71_GzuVSQUWl1Y_" TargetMode="External"/><Relationship Id="rId262" Type="http://schemas.openxmlformats.org/officeDocument/2006/relationships/hyperlink" Target="https://drive.google.com/open?id=1kqlkuvXSY4uCKKRJG9BHuGNTKoBsC99u" TargetMode="External"/><Relationship Id="rId140" Type="http://schemas.openxmlformats.org/officeDocument/2006/relationships/hyperlink" Target="https://drive.google.com/open?id=1PNCNl5umuMeonL7sFwRJ6cd9BPzscVeg" TargetMode="External"/><Relationship Id="rId261" Type="http://schemas.openxmlformats.org/officeDocument/2006/relationships/hyperlink" Target="https://drive.google.com/open?id=1B0vG1zRZLZ_L1sRIM5FzZ544lPR6swMv" TargetMode="External"/><Relationship Id="rId5" Type="http://schemas.openxmlformats.org/officeDocument/2006/relationships/hyperlink" Target="https://drive.google.com/open?id=1xEgnxvO9TrHNEbL4s0w-tubtN8yBsdmP" TargetMode="External"/><Relationship Id="rId147" Type="http://schemas.openxmlformats.org/officeDocument/2006/relationships/hyperlink" Target="https://drive.google.com/open?id=1W6UK6Atgdcp2fVZhsEywaZY4FEnSbDBc" TargetMode="External"/><Relationship Id="rId268" Type="http://schemas.openxmlformats.org/officeDocument/2006/relationships/hyperlink" Target="https://drive.google.com/open?id=1oF-9vw0n4QwhSof242P-jxCTBnLX3Wkh" TargetMode="External"/><Relationship Id="rId6" Type="http://schemas.openxmlformats.org/officeDocument/2006/relationships/hyperlink" Target="https://drive.google.com/open?id=1ZoOhSBD3jdBKwbTbNeaFuNmZNrLi4cJy" TargetMode="External"/><Relationship Id="rId146" Type="http://schemas.openxmlformats.org/officeDocument/2006/relationships/hyperlink" Target="https://drive.google.com/open?id=1ISgkL4f9YNZc7Fdm5-wHQArh38IxBUGY" TargetMode="External"/><Relationship Id="rId267" Type="http://schemas.openxmlformats.org/officeDocument/2006/relationships/hyperlink" Target="https://drive.google.com/open?id=1n5bV-PzjVfchzXSVc-18Lj3_LBryIwb1" TargetMode="External"/><Relationship Id="rId7" Type="http://schemas.openxmlformats.org/officeDocument/2006/relationships/hyperlink" Target="https://drive.google.com/open?id=1yG_q-4vKPmnndSeO_MOv-hjSY8KdkWAx" TargetMode="External"/><Relationship Id="rId145" Type="http://schemas.openxmlformats.org/officeDocument/2006/relationships/hyperlink" Target="https://drive.google.com/open?id=1x6sYb0dBLRMhetElIaqiP_h-mTVZ111t" TargetMode="External"/><Relationship Id="rId266" Type="http://schemas.openxmlformats.org/officeDocument/2006/relationships/hyperlink" Target="https://drive.google.com/open?id=1OWhh5EOsdd_djhnsUOZrvc_HfuxQOQPV" TargetMode="External"/><Relationship Id="rId8" Type="http://schemas.openxmlformats.org/officeDocument/2006/relationships/hyperlink" Target="https://drive.google.com/open?id=1IsNNNfO3tG--Fg0fxMigbPaSt4Ess-l-" TargetMode="External"/><Relationship Id="rId144" Type="http://schemas.openxmlformats.org/officeDocument/2006/relationships/hyperlink" Target="https://drive.google.com/open?id=1T7Zrevba9rOvYWJSDFy6TEucSFuxdPE8" TargetMode="External"/><Relationship Id="rId265" Type="http://schemas.openxmlformats.org/officeDocument/2006/relationships/hyperlink" Target="https://drive.google.com/open?id=1y7ldak6ruEmjKuHF4HBG73xofDVI0jV7" TargetMode="External"/><Relationship Id="rId73" Type="http://schemas.openxmlformats.org/officeDocument/2006/relationships/hyperlink" Target="https://drive.google.com/open?id=156WpmK_PiEUgOU_ERl0RTpxu2C33zyRj" TargetMode="External"/><Relationship Id="rId72" Type="http://schemas.openxmlformats.org/officeDocument/2006/relationships/hyperlink" Target="https://drive.google.com/open?id=1sb9dOgDz42VQhhFVwWNkuP_nhhvJ5Xi5" TargetMode="External"/><Relationship Id="rId75" Type="http://schemas.openxmlformats.org/officeDocument/2006/relationships/hyperlink" Target="https://drive.google.com/open?id=1Ldox18dnApJ03Pd4MDrYBjz3JYU1gWQ3" TargetMode="External"/><Relationship Id="rId74" Type="http://schemas.openxmlformats.org/officeDocument/2006/relationships/hyperlink" Target="https://drive.google.com/open?id=1gm12aFXkJh_eYFlUpKab04hwt6G1opcJ" TargetMode="External"/><Relationship Id="rId77" Type="http://schemas.openxmlformats.org/officeDocument/2006/relationships/hyperlink" Target="https://drive.google.com/open?id=1J0MuRe-MCw3zgySp4uabWGaqNVhg3J4r" TargetMode="External"/><Relationship Id="rId260" Type="http://schemas.openxmlformats.org/officeDocument/2006/relationships/hyperlink" Target="https://drive.google.com/open?id=1cXH6R82NxvjBog8gAPdKwPQslguODA_y" TargetMode="External"/><Relationship Id="rId76" Type="http://schemas.openxmlformats.org/officeDocument/2006/relationships/hyperlink" Target="https://drive.google.com/open?id=1UFoIYvsv14t3pw-gGBoUdSUnVoaSnC_M" TargetMode="External"/><Relationship Id="rId79" Type="http://schemas.openxmlformats.org/officeDocument/2006/relationships/hyperlink" Target="https://drive.google.com/open?id=1hYY7LRX_apW7k1wB3_q-O6ZXdoLaRgr5" TargetMode="External"/><Relationship Id="rId78" Type="http://schemas.openxmlformats.org/officeDocument/2006/relationships/hyperlink" Target="https://drive.google.com/open?id=1JPRE3-FwIpdDPlLy7v3uR2lniOvFCkrK" TargetMode="External"/><Relationship Id="rId71" Type="http://schemas.openxmlformats.org/officeDocument/2006/relationships/hyperlink" Target="https://drive.google.com/open?id=13X_ffu4ZiCRMBz-dOse5srPJpNDgPKzT" TargetMode="External"/><Relationship Id="rId70" Type="http://schemas.openxmlformats.org/officeDocument/2006/relationships/hyperlink" Target="https://drive.google.com/open?id=1qMbvrZUvlr0ntGNomOTllPsIA-jBeOBK" TargetMode="External"/><Relationship Id="rId139" Type="http://schemas.openxmlformats.org/officeDocument/2006/relationships/hyperlink" Target="https://drive.google.com/open?id=1uWPbiMee_N7aw27TElR4d42WAmAybirc" TargetMode="External"/><Relationship Id="rId138" Type="http://schemas.openxmlformats.org/officeDocument/2006/relationships/hyperlink" Target="https://drive.google.com/open?id=1nSfPgQ2814Ui3lEw1qPhn2sYVeHy7OMC" TargetMode="External"/><Relationship Id="rId259" Type="http://schemas.openxmlformats.org/officeDocument/2006/relationships/hyperlink" Target="https://drive.google.com/open?id=1vpNs52NGmqGVp5s9V6mJvRx_g538qiUU" TargetMode="External"/><Relationship Id="rId137" Type="http://schemas.openxmlformats.org/officeDocument/2006/relationships/hyperlink" Target="https://drive.google.com/open?id=1eVn4zrOPj-C4AhEcVuTyw2G0e2ZICpFu" TargetMode="External"/><Relationship Id="rId258" Type="http://schemas.openxmlformats.org/officeDocument/2006/relationships/hyperlink" Target="https://drive.google.com/open?id=1_nhLgTpmFPbMQ-y6FRly1dbB3W40JQv-" TargetMode="External"/><Relationship Id="rId132" Type="http://schemas.openxmlformats.org/officeDocument/2006/relationships/hyperlink" Target="https://drive.google.com/open?id=1r751VBuBpjpyE3vO_IbcKum5q-uHv-gw" TargetMode="External"/><Relationship Id="rId253" Type="http://schemas.openxmlformats.org/officeDocument/2006/relationships/hyperlink" Target="https://drive.google.com/open?id=1VPUMcPDgRaWgzYK6vVRd44g2frJbizzA" TargetMode="External"/><Relationship Id="rId131" Type="http://schemas.openxmlformats.org/officeDocument/2006/relationships/hyperlink" Target="https://drive.google.com/open?id=1IqtMrOhQSsB3pjlGoizfq0NvGh3bEIZk" TargetMode="External"/><Relationship Id="rId252" Type="http://schemas.openxmlformats.org/officeDocument/2006/relationships/hyperlink" Target="https://drive.google.com/open?id=1u3cUGkr13HK5htYIhy9I9E3PRo0Zd2Hd" TargetMode="External"/><Relationship Id="rId130" Type="http://schemas.openxmlformats.org/officeDocument/2006/relationships/hyperlink" Target="https://drive.google.com/open?id=1nVtTbuUojIGcYmpIxtpB38PSD8QCynHz" TargetMode="External"/><Relationship Id="rId251" Type="http://schemas.openxmlformats.org/officeDocument/2006/relationships/hyperlink" Target="https://drive.google.com/open?id=1atTJJsBKucpvQDqrYzIAt1_rhrFvo4uU" TargetMode="External"/><Relationship Id="rId250" Type="http://schemas.openxmlformats.org/officeDocument/2006/relationships/hyperlink" Target="https://drive.google.com/open?id=1GNICRNBvoOyF2dC_2G-aSg9ISikON033" TargetMode="External"/><Relationship Id="rId136" Type="http://schemas.openxmlformats.org/officeDocument/2006/relationships/hyperlink" Target="https://drive.google.com/open?id=1m_A1Wq30vh8WxNxuQ01A6gPcSSblf7Gh" TargetMode="External"/><Relationship Id="rId257" Type="http://schemas.openxmlformats.org/officeDocument/2006/relationships/hyperlink" Target="https://drive.google.com/open?id=1q-mEWtL2nehkc0Ap7kPJejeEAwxUwBRy" TargetMode="External"/><Relationship Id="rId135" Type="http://schemas.openxmlformats.org/officeDocument/2006/relationships/hyperlink" Target="https://drive.google.com/open?id=1okYHxL_tpHQ9reEGJ-vOmr9OBbp2fKpf" TargetMode="External"/><Relationship Id="rId256" Type="http://schemas.openxmlformats.org/officeDocument/2006/relationships/hyperlink" Target="https://drive.google.com/open?id=1K4kudGpfbwb0q9HFCmRRLNyQGYghWfCP" TargetMode="External"/><Relationship Id="rId134" Type="http://schemas.openxmlformats.org/officeDocument/2006/relationships/hyperlink" Target="https://drive.google.com/open?id=1tIjDIUBt2Pv2Kvfj26RbBM25BSMMeuWf" TargetMode="External"/><Relationship Id="rId255" Type="http://schemas.openxmlformats.org/officeDocument/2006/relationships/hyperlink" Target="https://drive.google.com/open?id=1fn2FdTvil0EOkuYI4g6hqICR7RmlgxHR" TargetMode="External"/><Relationship Id="rId133" Type="http://schemas.openxmlformats.org/officeDocument/2006/relationships/hyperlink" Target="https://drive.google.com/open?id=1XdGo-TIdtz-E7s-e4eiRngtI6XtL-ASz" TargetMode="External"/><Relationship Id="rId254" Type="http://schemas.openxmlformats.org/officeDocument/2006/relationships/hyperlink" Target="https://drive.google.com/open?id=1GjRmmt9pT3PxcR2osxkHltN0CHJmF0pG" TargetMode="External"/><Relationship Id="rId62" Type="http://schemas.openxmlformats.org/officeDocument/2006/relationships/hyperlink" Target="https://drive.google.com/open?id=1HVcxERKpN-OkUEa62m5fOFu6Bu9Sf3jp" TargetMode="External"/><Relationship Id="rId61" Type="http://schemas.openxmlformats.org/officeDocument/2006/relationships/hyperlink" Target="https://drive.google.com/open?id=16NvjHQlawSg-12TFUiVSVC2uNOBmPZDU" TargetMode="External"/><Relationship Id="rId64" Type="http://schemas.openxmlformats.org/officeDocument/2006/relationships/hyperlink" Target="https://drive.google.com/open?id=198bu5uowWbDs8m-jSM47WKc6LBBk5ZVv" TargetMode="External"/><Relationship Id="rId63" Type="http://schemas.openxmlformats.org/officeDocument/2006/relationships/hyperlink" Target="https://drive.google.com/open?id=1GjgAn9sXcHrIZttVL2Iq0UWkGOuzIKY3" TargetMode="External"/><Relationship Id="rId66" Type="http://schemas.openxmlformats.org/officeDocument/2006/relationships/hyperlink" Target="https://drive.google.com/open?id=1eSxblgCBR0fkmqLM8YrxY3k3JspfML1k" TargetMode="External"/><Relationship Id="rId172" Type="http://schemas.openxmlformats.org/officeDocument/2006/relationships/hyperlink" Target="https://drive.google.com/open?id=1Xxuj_P-AurW9eZhGZK6xnC4x-U4Il562" TargetMode="External"/><Relationship Id="rId293" Type="http://schemas.openxmlformats.org/officeDocument/2006/relationships/hyperlink" Target="https://drive.google.com/open?id=1BT1eAmUnbliy-Un28vac3bngGpsMFrI3" TargetMode="External"/><Relationship Id="rId65" Type="http://schemas.openxmlformats.org/officeDocument/2006/relationships/hyperlink" Target="https://drive.google.com/open?id=1EQ6V75FxzeQY9LdQidReVY0fN3r61k0w" TargetMode="External"/><Relationship Id="rId171" Type="http://schemas.openxmlformats.org/officeDocument/2006/relationships/hyperlink" Target="https://drive.google.com/open?id=1LkY67rENy-3fd9KV2pi03wjx3bPoWW_3" TargetMode="External"/><Relationship Id="rId292" Type="http://schemas.openxmlformats.org/officeDocument/2006/relationships/hyperlink" Target="https://drive.google.com/open?id=10V69JbhxvoIVyA3uwkEhNXIFHv_jTHE6" TargetMode="External"/><Relationship Id="rId68" Type="http://schemas.openxmlformats.org/officeDocument/2006/relationships/hyperlink" Target="https://drive.google.com/open?id=1IUFaGp_j0sMvyKwrHPAr49Jk6gFhnf-1" TargetMode="External"/><Relationship Id="rId170" Type="http://schemas.openxmlformats.org/officeDocument/2006/relationships/hyperlink" Target="https://drive.google.com/open?id=1Ll1aQne425LxIYsKagRUIL0C4qsj2tss" TargetMode="External"/><Relationship Id="rId291" Type="http://schemas.openxmlformats.org/officeDocument/2006/relationships/hyperlink" Target="https://drive.google.com/open?id=1AFoMV1x3TtupxHi7E9ajixSsG6QSS6oX" TargetMode="External"/><Relationship Id="rId67" Type="http://schemas.openxmlformats.org/officeDocument/2006/relationships/hyperlink" Target="https://drive.google.com/open?id=1fPOe9fUDFQo29jllX3hm1_b62KloxG2H" TargetMode="External"/><Relationship Id="rId290" Type="http://schemas.openxmlformats.org/officeDocument/2006/relationships/hyperlink" Target="https://drive.google.com/open?id=1Zyu2JbrfBAtBrE9A0Gh48EZOT8UfMgb-" TargetMode="External"/><Relationship Id="rId60" Type="http://schemas.openxmlformats.org/officeDocument/2006/relationships/hyperlink" Target="https://drive.google.com/open?id=1AgC2OefC5kuQZbMPFPl3WYNfvFpF2MYn" TargetMode="External"/><Relationship Id="rId165" Type="http://schemas.openxmlformats.org/officeDocument/2006/relationships/hyperlink" Target="https://drive.google.com/open?id=1jFuhLX9yTbUv-YPkTka1-JwBcblHtM3u" TargetMode="External"/><Relationship Id="rId286" Type="http://schemas.openxmlformats.org/officeDocument/2006/relationships/hyperlink" Target="https://drive.google.com/open?id=1QAk5uuF9WgfnGWV4yDl9cwsKnXWXx0gF" TargetMode="External"/><Relationship Id="rId69" Type="http://schemas.openxmlformats.org/officeDocument/2006/relationships/hyperlink" Target="https://drive.google.com/open?id=1XQFGPC5U-8zleCnPKHk3vtx-ZAxgLmd0" TargetMode="External"/><Relationship Id="rId164" Type="http://schemas.openxmlformats.org/officeDocument/2006/relationships/hyperlink" Target="https://drive.google.com/open?id=1_0093nf3Sf6JTmmVe5u1-3eIqDBrf-wf" TargetMode="External"/><Relationship Id="rId285" Type="http://schemas.openxmlformats.org/officeDocument/2006/relationships/hyperlink" Target="https://drive.google.com/open?id=1CB1FRTT_oAyfKADca7icGYWISdCxHbDM" TargetMode="External"/><Relationship Id="rId163" Type="http://schemas.openxmlformats.org/officeDocument/2006/relationships/hyperlink" Target="https://drive.google.com/open?id=1Vp-XjiT2CmcHbLMj5KRFleajxKpBl2Nt" TargetMode="External"/><Relationship Id="rId284" Type="http://schemas.openxmlformats.org/officeDocument/2006/relationships/hyperlink" Target="https://drive.google.com/open?id=1u3hSW6eYN6G_S0m4vipsSz0ffbstsykT" TargetMode="External"/><Relationship Id="rId162" Type="http://schemas.openxmlformats.org/officeDocument/2006/relationships/hyperlink" Target="https://drive.google.com/open?id=1ZgxaCYX-CkH2UDSNQ3nl3w9VGvtm7_j-" TargetMode="External"/><Relationship Id="rId283" Type="http://schemas.openxmlformats.org/officeDocument/2006/relationships/hyperlink" Target="https://drive.google.com/open?id=16Ax_mnR3QiswHcItWG0cFqeOe1oOOfjX" TargetMode="External"/><Relationship Id="rId169" Type="http://schemas.openxmlformats.org/officeDocument/2006/relationships/hyperlink" Target="https://drive.google.com/open?id=1vptdzLmAKkXJSo1I2W55W-xdt0DLANVv" TargetMode="External"/><Relationship Id="rId168" Type="http://schemas.openxmlformats.org/officeDocument/2006/relationships/hyperlink" Target="https://drive.google.com/open?id=1FnhIwqe26zUTRqKvXLYz9887lQkYjDWt" TargetMode="External"/><Relationship Id="rId289" Type="http://schemas.openxmlformats.org/officeDocument/2006/relationships/hyperlink" Target="https://drive.google.com/open?id=1ybYmx3mUB-RTzDZ_RYTX0Br0eBb47hHq" TargetMode="External"/><Relationship Id="rId167" Type="http://schemas.openxmlformats.org/officeDocument/2006/relationships/hyperlink" Target="https://drive.google.com/open?id=1KasWtijzcdnGLijCsLkQMitUYlViT5mE" TargetMode="External"/><Relationship Id="rId288" Type="http://schemas.openxmlformats.org/officeDocument/2006/relationships/hyperlink" Target="https://drive.google.com/open?id=1TJWH59duQfJBHqx2J6cdRp5p94S1HvQ5" TargetMode="External"/><Relationship Id="rId166" Type="http://schemas.openxmlformats.org/officeDocument/2006/relationships/hyperlink" Target="https://drive.google.com/open?id=1q3iMC3K92Z4Mb_VqIdZpUYqef3fz74AQ" TargetMode="External"/><Relationship Id="rId287" Type="http://schemas.openxmlformats.org/officeDocument/2006/relationships/hyperlink" Target="https://drive.google.com/open?id=1TdcPVZums7E3Im-K5r4Tcn4wkZH2tB3i" TargetMode="External"/><Relationship Id="rId51" Type="http://schemas.openxmlformats.org/officeDocument/2006/relationships/hyperlink" Target="https://drive.google.com/open?id=1AJxaIMcW9P3eCMgKHZQAQPrjv59uRqR-" TargetMode="External"/><Relationship Id="rId50" Type="http://schemas.openxmlformats.org/officeDocument/2006/relationships/hyperlink" Target="https://drive.google.com/open?id=1MrFVfTzvdlAAqIUxKLwoOBTJpjEcyE2w" TargetMode="External"/><Relationship Id="rId53" Type="http://schemas.openxmlformats.org/officeDocument/2006/relationships/hyperlink" Target="https://drive.google.com/open?id=1mjJka5yq-XaMCY00Vy0vW2RlzqWRIPsG" TargetMode="External"/><Relationship Id="rId52" Type="http://schemas.openxmlformats.org/officeDocument/2006/relationships/hyperlink" Target="https://drive.google.com/open?id=1Zyc13tujjpsb0tT-EwZ6GTRd-PTx7lYg" TargetMode="External"/><Relationship Id="rId55" Type="http://schemas.openxmlformats.org/officeDocument/2006/relationships/hyperlink" Target="https://drive.google.com/open?id=1PpPoRZgdJwgbnKz2VIW4Wmx8oHaNEH_I" TargetMode="External"/><Relationship Id="rId161" Type="http://schemas.openxmlformats.org/officeDocument/2006/relationships/hyperlink" Target="https://drive.google.com/open?id=18h7MImxgRj-b4S_ED1wz57F6n82Gie-4" TargetMode="External"/><Relationship Id="rId282" Type="http://schemas.openxmlformats.org/officeDocument/2006/relationships/hyperlink" Target="https://drive.google.com/open?id=1Unvq84gkvbXTUD70YE3eNg7sBYHPg_9A" TargetMode="External"/><Relationship Id="rId54" Type="http://schemas.openxmlformats.org/officeDocument/2006/relationships/hyperlink" Target="https://drive.google.com/open?id=1Ehr7GRBluuATtG0RsTXuoGutUXZwAb8r" TargetMode="External"/><Relationship Id="rId160" Type="http://schemas.openxmlformats.org/officeDocument/2006/relationships/hyperlink" Target="https://drive.google.com/open?id=1tvaGhY2316WHJir-GWZKb_MyJHBsR4vS" TargetMode="External"/><Relationship Id="rId281" Type="http://schemas.openxmlformats.org/officeDocument/2006/relationships/hyperlink" Target="https://drive.google.com/open?id=1uoS2Vc7j0tw8cTJ1R9i5ZvAw-JLP9Mcr" TargetMode="External"/><Relationship Id="rId57" Type="http://schemas.openxmlformats.org/officeDocument/2006/relationships/hyperlink" Target="https://drive.google.com/open?id=12EmycTRLNpz5VvrHyIW8-UKRGbwYTG84" TargetMode="External"/><Relationship Id="rId280" Type="http://schemas.openxmlformats.org/officeDocument/2006/relationships/hyperlink" Target="https://drive.google.com/open?id=1hmriic46QE0DblZ-UQ04gwFSzR_bmcJY" TargetMode="External"/><Relationship Id="rId56" Type="http://schemas.openxmlformats.org/officeDocument/2006/relationships/hyperlink" Target="https://drive.google.com/open?id=14xvAZYY5X0GwOdyaTnF6mcKM6e3rEL0a" TargetMode="External"/><Relationship Id="rId159" Type="http://schemas.openxmlformats.org/officeDocument/2006/relationships/hyperlink" Target="https://drive.google.com/open?id=1dZ4ZFl9SmzTjFLAUzQ9v4wsNq2mDTniU" TargetMode="External"/><Relationship Id="rId59" Type="http://schemas.openxmlformats.org/officeDocument/2006/relationships/hyperlink" Target="https://drive.google.com/open?id=1CWEGWY6W3f41mRx2ejc3UTQzVJHtOYRU" TargetMode="External"/><Relationship Id="rId154" Type="http://schemas.openxmlformats.org/officeDocument/2006/relationships/hyperlink" Target="https://drive.google.com/open?id=1enadrCReO8DC6NWnnMbiogAPVM440Z0u" TargetMode="External"/><Relationship Id="rId275" Type="http://schemas.openxmlformats.org/officeDocument/2006/relationships/hyperlink" Target="https://drive.google.com/open?id=1qQmYNM50Bmfh0dqh2Ut8n4UnNg8gRHEm" TargetMode="External"/><Relationship Id="rId58" Type="http://schemas.openxmlformats.org/officeDocument/2006/relationships/hyperlink" Target="https://drive.google.com/open?id=16XEO8zJs68smpj4fxwQZ63ntTb5-AmUe" TargetMode="External"/><Relationship Id="rId153" Type="http://schemas.openxmlformats.org/officeDocument/2006/relationships/hyperlink" Target="https://drive.google.com/open?id=1JlHqYrJWfojwKqDFcIdWi4Oyic8xXeXt" TargetMode="External"/><Relationship Id="rId274" Type="http://schemas.openxmlformats.org/officeDocument/2006/relationships/hyperlink" Target="https://drive.google.com/open?id=1Asc7123-Am1O5nLUIbbvuj-NIbOsH9dq" TargetMode="External"/><Relationship Id="rId152" Type="http://schemas.openxmlformats.org/officeDocument/2006/relationships/hyperlink" Target="https://drive.google.com/open?id=1OENUu85xKOJKXSYI4FJWfBCXZ29Pim7X" TargetMode="External"/><Relationship Id="rId273" Type="http://schemas.openxmlformats.org/officeDocument/2006/relationships/hyperlink" Target="https://drive.google.com/open?id=1fJHtL9TdoMJmvE6LD9jC8d7hcuVqO87v" TargetMode="External"/><Relationship Id="rId151" Type="http://schemas.openxmlformats.org/officeDocument/2006/relationships/hyperlink" Target="https://drive.google.com/open?id=1PCeaIB_paNY7fFEfkVDTTlFviEzWXwE7" TargetMode="External"/><Relationship Id="rId272" Type="http://schemas.openxmlformats.org/officeDocument/2006/relationships/hyperlink" Target="https://drive.google.com/open?id=1PMCgclbx2aQFeNg78RPTNIoZbsB5p2Xz" TargetMode="External"/><Relationship Id="rId158" Type="http://schemas.openxmlformats.org/officeDocument/2006/relationships/hyperlink" Target="https://drive.google.com/open?id=11h11wM6vDdGrSOKKvRyIOIJYRbUYRjHG" TargetMode="External"/><Relationship Id="rId279" Type="http://schemas.openxmlformats.org/officeDocument/2006/relationships/hyperlink" Target="https://drive.google.com/open?id=1jtaG9tPRMOUcGuw_p9NhALiORQwiX13V" TargetMode="External"/><Relationship Id="rId157" Type="http://schemas.openxmlformats.org/officeDocument/2006/relationships/hyperlink" Target="https://drive.google.com/open?id=1qW4kS7yS5yKrxoljCM_8GCHJZSuFEvaU" TargetMode="External"/><Relationship Id="rId278" Type="http://schemas.openxmlformats.org/officeDocument/2006/relationships/hyperlink" Target="https://drive.google.com/open?id=1xaL02wx7zGSpkseC19OxopehHd-4YN0a" TargetMode="External"/><Relationship Id="rId156" Type="http://schemas.openxmlformats.org/officeDocument/2006/relationships/hyperlink" Target="https://drive.google.com/open?id=1f7v2qMpmBQJz2LjP608Uyw-7nBNhperk" TargetMode="External"/><Relationship Id="rId277" Type="http://schemas.openxmlformats.org/officeDocument/2006/relationships/hyperlink" Target="https://drive.google.com/open?id=1QC_g8UZ0MKEv7sJ2cwPOnhUn1bXIiMBa" TargetMode="External"/><Relationship Id="rId155" Type="http://schemas.openxmlformats.org/officeDocument/2006/relationships/hyperlink" Target="https://drive.google.com/open?id=1TKfh46Wjd0w5Hs6JrFozsfmSn8CkAxC0" TargetMode="External"/><Relationship Id="rId276" Type="http://schemas.openxmlformats.org/officeDocument/2006/relationships/hyperlink" Target="https://drive.google.com/open?id=1w4RHOTGA3qUiX24uybg1-oO_bP8-QN-S" TargetMode="External"/><Relationship Id="rId107" Type="http://schemas.openxmlformats.org/officeDocument/2006/relationships/hyperlink" Target="https://drive.google.com/open?id=1UXv6qZtkP3mTkUDsSKIsg7Kp6pxTkhOP" TargetMode="External"/><Relationship Id="rId228" Type="http://schemas.openxmlformats.org/officeDocument/2006/relationships/hyperlink" Target="https://drive.google.com/open?id=1D4n2jPXeAl8hhEjLtRNg8FVBI_L3liSn" TargetMode="External"/><Relationship Id="rId106" Type="http://schemas.openxmlformats.org/officeDocument/2006/relationships/hyperlink" Target="https://drive.google.com/open?id=1NjncOUirH62gpK8dyiITxvAHGI7giDIP" TargetMode="External"/><Relationship Id="rId227" Type="http://schemas.openxmlformats.org/officeDocument/2006/relationships/hyperlink" Target="https://drive.google.com/open?id=1hsqgh4vjWvJEkPrHymNKpXSTax2X0nme" TargetMode="External"/><Relationship Id="rId105" Type="http://schemas.openxmlformats.org/officeDocument/2006/relationships/hyperlink" Target="https://drive.google.com/open?id=15QDBiSocB949pr2bqmzk5YaK3pMYyOel" TargetMode="External"/><Relationship Id="rId226" Type="http://schemas.openxmlformats.org/officeDocument/2006/relationships/hyperlink" Target="https://drive.google.com/open?id=1bBgeAfArxExago0Z_PfqG9eufNYvFx7m" TargetMode="External"/><Relationship Id="rId104" Type="http://schemas.openxmlformats.org/officeDocument/2006/relationships/hyperlink" Target="https://drive.google.com/open?id=1dAOnPwsHg3jEc15dWbCqOrrZn1mW-Leu" TargetMode="External"/><Relationship Id="rId225" Type="http://schemas.openxmlformats.org/officeDocument/2006/relationships/hyperlink" Target="https://drive.google.com/open?id=1HBls6MqrI7EhvRLgXvE8KESYxKCWNlyn" TargetMode="External"/><Relationship Id="rId109" Type="http://schemas.openxmlformats.org/officeDocument/2006/relationships/hyperlink" Target="https://drive.google.com/open?id=1LdNRZaL6zIZTYB_bNGMr3gxIJLnHtD8i" TargetMode="External"/><Relationship Id="rId108" Type="http://schemas.openxmlformats.org/officeDocument/2006/relationships/hyperlink" Target="https://drive.google.com/open?id=1IaKyue8kEK_o_e3eRHZhvV7_VQXESzBW" TargetMode="External"/><Relationship Id="rId229" Type="http://schemas.openxmlformats.org/officeDocument/2006/relationships/hyperlink" Target="https://drive.google.com/open?id=1IbhzsAgRzvWA-E1i9V6MhjfqJ9-lW-C8" TargetMode="External"/><Relationship Id="rId220" Type="http://schemas.openxmlformats.org/officeDocument/2006/relationships/hyperlink" Target="https://drive.google.com/open?id=1GmjKr__nHbbeDaoqjHwg7HD2Q7GT0LPb" TargetMode="External"/><Relationship Id="rId103" Type="http://schemas.openxmlformats.org/officeDocument/2006/relationships/hyperlink" Target="https://drive.google.com/open?id=1WCLBSpCPoOESA9p7PeGOYockf0AgYVaA" TargetMode="External"/><Relationship Id="rId224" Type="http://schemas.openxmlformats.org/officeDocument/2006/relationships/hyperlink" Target="https://drive.google.com/open?id=10rx2VRP-TYTySSOgPvm6QlCbgS2xvZsW" TargetMode="External"/><Relationship Id="rId102" Type="http://schemas.openxmlformats.org/officeDocument/2006/relationships/hyperlink" Target="https://drive.google.com/open?id=1pAWLfvxYLOhP9-0J-QBaphhvIyrVuWpy" TargetMode="External"/><Relationship Id="rId223" Type="http://schemas.openxmlformats.org/officeDocument/2006/relationships/hyperlink" Target="https://drive.google.com/open?id=1Myqvd2X2Vo7z1wdxUgfUvsA673b3IKBM" TargetMode="External"/><Relationship Id="rId101" Type="http://schemas.openxmlformats.org/officeDocument/2006/relationships/hyperlink" Target="https://drive.google.com/open?id=1T2TFLNLb36Rx4BbMl6g0BwPz38xIZuFO" TargetMode="External"/><Relationship Id="rId222" Type="http://schemas.openxmlformats.org/officeDocument/2006/relationships/hyperlink" Target="https://drive.google.com/open?id=1U5rckicA19RRHhTOJuEezy_UsSbliDVg" TargetMode="External"/><Relationship Id="rId100" Type="http://schemas.openxmlformats.org/officeDocument/2006/relationships/hyperlink" Target="https://drive.google.com/open?id=1dgsOFWBTeQQUl9mJvdAi591RehkntY73" TargetMode="External"/><Relationship Id="rId221" Type="http://schemas.openxmlformats.org/officeDocument/2006/relationships/hyperlink" Target="https://drive.google.com/open?id=1RA69cftdkDj9dQzu-HfHRoMeJHoaOT4X" TargetMode="External"/><Relationship Id="rId217" Type="http://schemas.openxmlformats.org/officeDocument/2006/relationships/hyperlink" Target="https://drive.google.com/open?id=1nTym023YsSIey-8Esbq-JCX2Pc4uU9QL" TargetMode="External"/><Relationship Id="rId216" Type="http://schemas.openxmlformats.org/officeDocument/2006/relationships/hyperlink" Target="https://drive.google.com/open?id=1i8hI4T6UQsnW4Sm-K1a-49CrnZ3UpIpj" TargetMode="External"/><Relationship Id="rId215" Type="http://schemas.openxmlformats.org/officeDocument/2006/relationships/hyperlink" Target="https://drive.google.com/open?id=17asM14iLPatgk7fVAPphENGj-xjdqgXS" TargetMode="External"/><Relationship Id="rId214" Type="http://schemas.openxmlformats.org/officeDocument/2006/relationships/hyperlink" Target="https://drive.google.com/open?id=1snmXTe3Tqb3hHnBN2Dq_oN_3odaf-gnx" TargetMode="External"/><Relationship Id="rId219" Type="http://schemas.openxmlformats.org/officeDocument/2006/relationships/hyperlink" Target="https://drive.google.com/open?id=138_grmmQPuAhmiREknNUT3AIBVXeeMBb" TargetMode="External"/><Relationship Id="rId218" Type="http://schemas.openxmlformats.org/officeDocument/2006/relationships/hyperlink" Target="https://drive.google.com/open?id=1-JSwg_Bn_rpmqPvbakmHehtcC1sp8R79" TargetMode="External"/><Relationship Id="rId213" Type="http://schemas.openxmlformats.org/officeDocument/2006/relationships/hyperlink" Target="https://drive.google.com/open?id=1UjM4ohVs_FtyeTvB3vfeSt46yFjN5iUt" TargetMode="External"/><Relationship Id="rId212" Type="http://schemas.openxmlformats.org/officeDocument/2006/relationships/hyperlink" Target="https://drive.google.com/open?id=1oZLMH2Ri7fh0d6eUKftx-iGLYNF3sX5i" TargetMode="External"/><Relationship Id="rId211" Type="http://schemas.openxmlformats.org/officeDocument/2006/relationships/hyperlink" Target="https://drive.google.com/open?id=1oT750OsRe6h-JtnBQk6G7dIwpsuuGXCY" TargetMode="External"/><Relationship Id="rId210" Type="http://schemas.openxmlformats.org/officeDocument/2006/relationships/hyperlink" Target="https://drive.google.com/open?id=1wtcHlAsQfYkg-ztH1j2_FrCKsrPBHKWE" TargetMode="External"/><Relationship Id="rId129" Type="http://schemas.openxmlformats.org/officeDocument/2006/relationships/hyperlink" Target="https://drive.google.com/open?id=1s2neHLweA0JHU0A0IrRBhxpffy2SlJbB" TargetMode="External"/><Relationship Id="rId128" Type="http://schemas.openxmlformats.org/officeDocument/2006/relationships/hyperlink" Target="https://drive.google.com/open?id=1O6p8bVcH_k53vuV4XvH58cKcGG4L5ZLW" TargetMode="External"/><Relationship Id="rId249" Type="http://schemas.openxmlformats.org/officeDocument/2006/relationships/hyperlink" Target="https://drive.google.com/open?id=1sWkCilQViyaDrA3y8rtWyOrjUAGgL-lK" TargetMode="External"/><Relationship Id="rId127" Type="http://schemas.openxmlformats.org/officeDocument/2006/relationships/hyperlink" Target="https://drive.google.com/open?id=10lF-5p9Gb468lafYiwyMxH1Nnr7_euY8" TargetMode="External"/><Relationship Id="rId248" Type="http://schemas.openxmlformats.org/officeDocument/2006/relationships/hyperlink" Target="https://drive.google.com/open?id=1b0WYowIWpac1q48LycMsBTlMoIK0txJk" TargetMode="External"/><Relationship Id="rId126" Type="http://schemas.openxmlformats.org/officeDocument/2006/relationships/hyperlink" Target="https://drive.google.com/open?id=1rDaWLi425LxEd-QoaRNT4v-UF5Gqikon" TargetMode="External"/><Relationship Id="rId247" Type="http://schemas.openxmlformats.org/officeDocument/2006/relationships/hyperlink" Target="https://drive.google.com/open?id=1vTER4Dpr6ZfOwvXsfc7b7BXT3cCQTSZw" TargetMode="External"/><Relationship Id="rId121" Type="http://schemas.openxmlformats.org/officeDocument/2006/relationships/hyperlink" Target="https://drive.google.com/open?id=1vLv_mc_cVZIc7dNhX5ZTGo2TvzdeWpCK" TargetMode="External"/><Relationship Id="rId242" Type="http://schemas.openxmlformats.org/officeDocument/2006/relationships/hyperlink" Target="https://drive.google.com/open?id=1cs-Zbr1fc4Lc0bjbVNVCTDxnde_god3g" TargetMode="External"/><Relationship Id="rId120" Type="http://schemas.openxmlformats.org/officeDocument/2006/relationships/hyperlink" Target="https://drive.google.com/open?id=1bxEtoSQxeCVZ8MxxJ9ftxx4yozr5URjU" TargetMode="External"/><Relationship Id="rId241" Type="http://schemas.openxmlformats.org/officeDocument/2006/relationships/hyperlink" Target="https://drive.google.com/open?id=1RIeTFPmMTWKE5frObn_KcwhvcTLP1VJ8" TargetMode="External"/><Relationship Id="rId240" Type="http://schemas.openxmlformats.org/officeDocument/2006/relationships/hyperlink" Target="https://drive.google.com/open?id=1Bq9yKp3-sB8IsFWimJgor_8PsdgtzbeQ" TargetMode="External"/><Relationship Id="rId125" Type="http://schemas.openxmlformats.org/officeDocument/2006/relationships/hyperlink" Target="https://drive.google.com/open?id=1eiNW1X5Dc50ISO9fW6r3jFYAsaET2LuO" TargetMode="External"/><Relationship Id="rId246" Type="http://schemas.openxmlformats.org/officeDocument/2006/relationships/hyperlink" Target="https://drive.google.com/open?id=1dr0alW5H49CXj6iJ5NUqEhcG0F0poSuW" TargetMode="External"/><Relationship Id="rId124" Type="http://schemas.openxmlformats.org/officeDocument/2006/relationships/hyperlink" Target="https://drive.google.com/open?id=1_TxzuBU14C0hCiNGTzILLBLwuGY-T7Ar" TargetMode="External"/><Relationship Id="rId245" Type="http://schemas.openxmlformats.org/officeDocument/2006/relationships/hyperlink" Target="https://drive.google.com/open?id=1XIGEF-DqzKOyREJFU1AI-zmDdCT0mhg0" TargetMode="External"/><Relationship Id="rId123" Type="http://schemas.openxmlformats.org/officeDocument/2006/relationships/hyperlink" Target="https://drive.google.com/open?id=1v12PMXM0uVxJRKOrPyHM0awGilriTcp7" TargetMode="External"/><Relationship Id="rId244" Type="http://schemas.openxmlformats.org/officeDocument/2006/relationships/hyperlink" Target="https://drive.google.com/open?id=1ZxQgUCivlo9GlIV66G86acSiN0Wdy134" TargetMode="External"/><Relationship Id="rId122" Type="http://schemas.openxmlformats.org/officeDocument/2006/relationships/hyperlink" Target="https://drive.google.com/open?id=1j2pGJEB0nf_-OXsgIAFtGmg3g5AfYqbW" TargetMode="External"/><Relationship Id="rId243" Type="http://schemas.openxmlformats.org/officeDocument/2006/relationships/hyperlink" Target="https://drive.google.com/open?id=1xlkw00dUKDDtKNdOcQa_92w2kN0DwvPg" TargetMode="External"/><Relationship Id="rId95" Type="http://schemas.openxmlformats.org/officeDocument/2006/relationships/hyperlink" Target="https://drive.google.com/open?id=11n6iNU8F0S_3rLhkluUDbfT5l0TAagU_" TargetMode="External"/><Relationship Id="rId94" Type="http://schemas.openxmlformats.org/officeDocument/2006/relationships/hyperlink" Target="https://drive.google.com/open?id=1BlRyisiCy19FzoFqwOJv5qxbSDis5ukj" TargetMode="External"/><Relationship Id="rId97" Type="http://schemas.openxmlformats.org/officeDocument/2006/relationships/hyperlink" Target="https://drive.google.com/open?id=1wfohbB2bsHHWqnUqetGtHcHY6gdICO1v" TargetMode="External"/><Relationship Id="rId96" Type="http://schemas.openxmlformats.org/officeDocument/2006/relationships/hyperlink" Target="https://drive.google.com/open?id=1OQSQJZ0dfqvHd8rCKkjQstkcQcACoDZ6" TargetMode="External"/><Relationship Id="rId99" Type="http://schemas.openxmlformats.org/officeDocument/2006/relationships/hyperlink" Target="https://drive.google.com/open?id=1ZpX6ovoumBVF1eI-MBz3LL6_OkH5smI5" TargetMode="External"/><Relationship Id="rId98" Type="http://schemas.openxmlformats.org/officeDocument/2006/relationships/hyperlink" Target="https://drive.google.com/open?id=1jcAM0aUex9c9ngBQmXZFrjkZlSLMwp0i" TargetMode="External"/><Relationship Id="rId91" Type="http://schemas.openxmlformats.org/officeDocument/2006/relationships/hyperlink" Target="https://drive.google.com/open?id=1RtX31LI9jwdBgxYxKWnbgHd8husuw597" TargetMode="External"/><Relationship Id="rId90" Type="http://schemas.openxmlformats.org/officeDocument/2006/relationships/hyperlink" Target="https://drive.google.com/open?id=1JVHM2hNo4I0dqOBLAPewwPzJPISJTt7B" TargetMode="External"/><Relationship Id="rId93" Type="http://schemas.openxmlformats.org/officeDocument/2006/relationships/hyperlink" Target="https://drive.google.com/open?id=1O9rD9ukTLUq6rl2ClDUDwhe-Sp-NYFnW" TargetMode="External"/><Relationship Id="rId92" Type="http://schemas.openxmlformats.org/officeDocument/2006/relationships/hyperlink" Target="https://drive.google.com/open?id=1h9icjeT8N_i4svggErpEbyWHcmSXO6oZ" TargetMode="External"/><Relationship Id="rId118" Type="http://schemas.openxmlformats.org/officeDocument/2006/relationships/hyperlink" Target="https://drive.google.com/open?id=13hMccVK-Vbzu2MGHcoL3bVuI8teX1aOp" TargetMode="External"/><Relationship Id="rId239" Type="http://schemas.openxmlformats.org/officeDocument/2006/relationships/hyperlink" Target="https://drive.google.com/open?id=1rB831Ma3p8NuJvg_L-3vzc99oj5oNi4z" TargetMode="External"/><Relationship Id="rId117" Type="http://schemas.openxmlformats.org/officeDocument/2006/relationships/hyperlink" Target="https://drive.google.com/open?id=1ruF7X6uLsjSLlc2fjjw3tOxANE4545Oz" TargetMode="External"/><Relationship Id="rId238" Type="http://schemas.openxmlformats.org/officeDocument/2006/relationships/hyperlink" Target="https://drive.google.com/open?id=1tDMwP9njEgn97Ubw4waJkz_007w7CT8A" TargetMode="External"/><Relationship Id="rId116" Type="http://schemas.openxmlformats.org/officeDocument/2006/relationships/hyperlink" Target="https://drive.google.com/open?id=1kf1zxIVL7wV3USoPDGwANbD_v_mlB4qw" TargetMode="External"/><Relationship Id="rId237" Type="http://schemas.openxmlformats.org/officeDocument/2006/relationships/hyperlink" Target="https://drive.google.com/open?id=1HCpgRtQSMj4AUEuv7jvRMQbRRajWdQZ4" TargetMode="External"/><Relationship Id="rId115" Type="http://schemas.openxmlformats.org/officeDocument/2006/relationships/hyperlink" Target="https://drive.google.com/open?id=1gci4u90s3416rw7qHcmDG7shErbqQ7TP" TargetMode="External"/><Relationship Id="rId236" Type="http://schemas.openxmlformats.org/officeDocument/2006/relationships/hyperlink" Target="https://drive.google.com/open?id=1xD8mMVztJWoSBak411mo8XrYz7bRrW6u" TargetMode="External"/><Relationship Id="rId119" Type="http://schemas.openxmlformats.org/officeDocument/2006/relationships/hyperlink" Target="https://drive.google.com/open?id=1pcRXvEGaYWiZ050RTmqtE-K8Tsy4BDSX" TargetMode="External"/><Relationship Id="rId110" Type="http://schemas.openxmlformats.org/officeDocument/2006/relationships/hyperlink" Target="https://drive.google.com/open?id=17wQlQ5lpqAHyg_kXGU-VeLa0389lWd_W" TargetMode="External"/><Relationship Id="rId231" Type="http://schemas.openxmlformats.org/officeDocument/2006/relationships/hyperlink" Target="https://drive.google.com/open?id=1NInYPdrkc2he29atjjQvx2iC8L4minL_" TargetMode="External"/><Relationship Id="rId230" Type="http://schemas.openxmlformats.org/officeDocument/2006/relationships/hyperlink" Target="https://drive.google.com/open?id=1fRVptpmIxe-SOWimz4gKnjz-4xd6xqpN" TargetMode="External"/><Relationship Id="rId114" Type="http://schemas.openxmlformats.org/officeDocument/2006/relationships/hyperlink" Target="https://drive.google.com/open?id=1vXpQS11yCSMg_2zBpUb691GG8_4GEGgc" TargetMode="External"/><Relationship Id="rId235" Type="http://schemas.openxmlformats.org/officeDocument/2006/relationships/hyperlink" Target="https://drive.google.com/open?id=1eUMhqmnQLQjCdyCsiiMKtFlp2jSBx_vV" TargetMode="External"/><Relationship Id="rId113" Type="http://schemas.openxmlformats.org/officeDocument/2006/relationships/hyperlink" Target="https://drive.google.com/open?id=1fK0dfArXu1UqIEtbYEXRJ6XqrpcZa0bh" TargetMode="External"/><Relationship Id="rId234" Type="http://schemas.openxmlformats.org/officeDocument/2006/relationships/hyperlink" Target="https://drive.google.com/open?id=1Pn0ANV3jkunx_wy4YhZCR_5L5__lEB0v" TargetMode="External"/><Relationship Id="rId112" Type="http://schemas.openxmlformats.org/officeDocument/2006/relationships/hyperlink" Target="https://drive.google.com/open?id=1Ma24b4t8SNr_U2_UgWqXUs3mZYl-BJyJ" TargetMode="External"/><Relationship Id="rId233" Type="http://schemas.openxmlformats.org/officeDocument/2006/relationships/hyperlink" Target="https://drive.google.com/open?id=1lh_updHJBeVFj18gpy7iF2ZgHw2tGBVi" TargetMode="External"/><Relationship Id="rId111" Type="http://schemas.openxmlformats.org/officeDocument/2006/relationships/hyperlink" Target="https://drive.google.com/open?id=1YZFHvWvNp_bA4DSiDgomh7g-pR19TCwi" TargetMode="External"/><Relationship Id="rId232" Type="http://schemas.openxmlformats.org/officeDocument/2006/relationships/hyperlink" Target="https://drive.google.com/open?id=1letRcO4pCWFEza0-_0xvbkIsVRT8zirL" TargetMode="External"/><Relationship Id="rId305" Type="http://schemas.openxmlformats.org/officeDocument/2006/relationships/hyperlink" Target="https://drive.google.com/open?id=1qSF5Trwubzr94nHvRdqw2mejtVF_6vR-" TargetMode="External"/><Relationship Id="rId304" Type="http://schemas.openxmlformats.org/officeDocument/2006/relationships/hyperlink" Target="https://drive.google.com/open?id=1GVYttCGK2j9cdrc5SzFEqk7fRaPIfmhO" TargetMode="External"/><Relationship Id="rId303" Type="http://schemas.openxmlformats.org/officeDocument/2006/relationships/hyperlink" Target="https://drive.google.com/open?id=11Gm934vtE39jonx85RcHLBy5ziC0Nlq2" TargetMode="External"/><Relationship Id="rId302" Type="http://schemas.openxmlformats.org/officeDocument/2006/relationships/hyperlink" Target="https://drive.google.com/open?id=10D-ky4rMuSFT24Xq9X4gT4e-N3m_c8az" TargetMode="External"/><Relationship Id="rId309" Type="http://schemas.openxmlformats.org/officeDocument/2006/relationships/hyperlink" Target="https://drive.google.com/open?id=1BWGk_EsoTCV38P1fw9-1ye4GVQqCZO2v" TargetMode="External"/><Relationship Id="rId308" Type="http://schemas.openxmlformats.org/officeDocument/2006/relationships/hyperlink" Target="https://drive.google.com/open?id=1VzJ9TDpe32cfRgpw0Bgg-qb6IHN9DuMF" TargetMode="External"/><Relationship Id="rId307" Type="http://schemas.openxmlformats.org/officeDocument/2006/relationships/hyperlink" Target="https://drive.google.com/open?id=1I3Blt9HElgqYc0BSJveEbS9pqcpMcAbT" TargetMode="External"/><Relationship Id="rId306" Type="http://schemas.openxmlformats.org/officeDocument/2006/relationships/hyperlink" Target="https://drive.google.com/open?id=1IQa3ECcq-lbZvPjZTq9h86TOAQNbjNyW" TargetMode="External"/><Relationship Id="rId301" Type="http://schemas.openxmlformats.org/officeDocument/2006/relationships/hyperlink" Target="https://drive.google.com/open?id=1osQjPZkQOyDp6BtewdaA6wx9uhnhcr69" TargetMode="External"/><Relationship Id="rId300" Type="http://schemas.openxmlformats.org/officeDocument/2006/relationships/hyperlink" Target="https://drive.google.com/open?id=1ycroAPGCtJ9puQkWw9iIlqUlEg42yhj7" TargetMode="External"/><Relationship Id="rId206" Type="http://schemas.openxmlformats.org/officeDocument/2006/relationships/hyperlink" Target="https://drive.google.com/open?id=1A2tL2h8VO3RyJfahGziYecsweFuIv5p9" TargetMode="External"/><Relationship Id="rId327" Type="http://schemas.openxmlformats.org/officeDocument/2006/relationships/table" Target="../tables/table178.xml"/><Relationship Id="rId205" Type="http://schemas.openxmlformats.org/officeDocument/2006/relationships/hyperlink" Target="https://drive.google.com/open?id=1TkUqBEnsSMooP8yU7NknO-yGmU3gvcwb" TargetMode="External"/><Relationship Id="rId326" Type="http://schemas.openxmlformats.org/officeDocument/2006/relationships/table" Target="../tables/table177.xml"/><Relationship Id="rId204" Type="http://schemas.openxmlformats.org/officeDocument/2006/relationships/hyperlink" Target="https://drive.google.com/open?id=1dC9kC9zjLWtESW48SER4PYQh7w3LblKu" TargetMode="External"/><Relationship Id="rId203" Type="http://schemas.openxmlformats.org/officeDocument/2006/relationships/hyperlink" Target="https://drive.google.com/open?id=1f0bNFRxtHtG7CRpXUNI4mRjGvx68F7b3" TargetMode="External"/><Relationship Id="rId209" Type="http://schemas.openxmlformats.org/officeDocument/2006/relationships/hyperlink" Target="https://drive.google.com/open?id=1YZvHvBGNVbFRmY0o5yNMIYLDdHHxJFUh" TargetMode="External"/><Relationship Id="rId208" Type="http://schemas.openxmlformats.org/officeDocument/2006/relationships/hyperlink" Target="https://drive.google.com/open?id=1YXmcRh8Uhl5689EGg8YiC8qnd_SMpGxW" TargetMode="External"/><Relationship Id="rId207" Type="http://schemas.openxmlformats.org/officeDocument/2006/relationships/hyperlink" Target="https://drive.google.com/open?id=1PYrQkvBZ1bbPLzOvnI7oCQl5FRqVnMty" TargetMode="External"/><Relationship Id="rId202" Type="http://schemas.openxmlformats.org/officeDocument/2006/relationships/hyperlink" Target="https://drive.google.com/open?id=1leAlfkrYCwCVvQWfLciNXIzH0h3pQwJZ" TargetMode="External"/><Relationship Id="rId323" Type="http://schemas.openxmlformats.org/officeDocument/2006/relationships/drawing" Target="../drawings/drawing3.xml"/><Relationship Id="rId201" Type="http://schemas.openxmlformats.org/officeDocument/2006/relationships/hyperlink" Target="https://drive.google.com/open?id=1KGF5-2nRyvxcgTWstUTPZQixYb9i6NMo" TargetMode="External"/><Relationship Id="rId322" Type="http://schemas.openxmlformats.org/officeDocument/2006/relationships/hyperlink" Target="https://drive.google.com/open?id=1fXO0GH_QPX1CoYMm9UkEQa0oTbkBnEun" TargetMode="External"/><Relationship Id="rId200" Type="http://schemas.openxmlformats.org/officeDocument/2006/relationships/hyperlink" Target="https://drive.google.com/open?id=1P8VEwP_3XIN06UsRFYkcmTQzRK17KVZl" TargetMode="External"/><Relationship Id="rId321" Type="http://schemas.openxmlformats.org/officeDocument/2006/relationships/hyperlink" Target="https://drive.google.com/open?id=1Q2Bw9ATHhWI-YnWZG4CPkzxXyDJEvmD9" TargetMode="External"/><Relationship Id="rId320" Type="http://schemas.openxmlformats.org/officeDocument/2006/relationships/hyperlink" Target="https://drive.google.com/open?id=1WDaZ3bK-waxZUJWNPp7IbYuV3Ww7yvt3" TargetMode="External"/><Relationship Id="rId316" Type="http://schemas.openxmlformats.org/officeDocument/2006/relationships/hyperlink" Target="https://drive.google.com/open?id=1WU62vm1cWMpkOpztfXMvMy9RVIXZzIe1" TargetMode="External"/><Relationship Id="rId315" Type="http://schemas.openxmlformats.org/officeDocument/2006/relationships/hyperlink" Target="https://drive.google.com/open?id=1il7YTPqXa1QSSrdXEvqRqR_as7uW_rLX" TargetMode="External"/><Relationship Id="rId314" Type="http://schemas.openxmlformats.org/officeDocument/2006/relationships/hyperlink" Target="https://drive.google.com/open?id=1XFWVeSQaTTX72SnVjYSn1tLySDGiXDL5" TargetMode="External"/><Relationship Id="rId313" Type="http://schemas.openxmlformats.org/officeDocument/2006/relationships/hyperlink" Target="https://drive.google.com/open?id=1x9PQhX_6DF9cefHdkt0YD_5HTSjo91nd" TargetMode="External"/><Relationship Id="rId319" Type="http://schemas.openxmlformats.org/officeDocument/2006/relationships/hyperlink" Target="https://drive.google.com/open?id=14E-pA9-jeENBbHAeR7b0Tez0DPpykHm2" TargetMode="External"/><Relationship Id="rId318" Type="http://schemas.openxmlformats.org/officeDocument/2006/relationships/hyperlink" Target="https://drive.google.com/open?id=1wsMv54txo7y7jIHsRdlVrqjq2hKlaT2T" TargetMode="External"/><Relationship Id="rId317" Type="http://schemas.openxmlformats.org/officeDocument/2006/relationships/hyperlink" Target="https://drive.google.com/open?id=1MYM5-0i3DgJk61CATCxE3giRrtVxYw5G" TargetMode="External"/><Relationship Id="rId312" Type="http://schemas.openxmlformats.org/officeDocument/2006/relationships/hyperlink" Target="https://drive.google.com/open?id=1Vg1AA2QDOJGnGB0qMQLcjqVvBjDCC0_5" TargetMode="External"/><Relationship Id="rId311" Type="http://schemas.openxmlformats.org/officeDocument/2006/relationships/hyperlink" Target="https://drive.google.com/open?id=1vUUkskyOHLvQD2WdbfTslGaJPvssGa4f" TargetMode="External"/><Relationship Id="rId310" Type="http://schemas.openxmlformats.org/officeDocument/2006/relationships/hyperlink" Target="https://drive.google.com/open?id=1dOtmgJuoH1kqRcul5IPOjOT2OTxLpfYq"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7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80.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open?id=1leNh8vUSl2fpXLM86_zlju7kpjzTXg5j" TargetMode="External"/><Relationship Id="rId2" Type="http://schemas.openxmlformats.org/officeDocument/2006/relationships/hyperlink" Target="https://drive.google.com/open?id=1Pk-gWVTSSBzWIgAzVdacMhc8fBVmB7V4" TargetMode="External"/><Relationship Id="rId3" Type="http://schemas.openxmlformats.org/officeDocument/2006/relationships/hyperlink" Target="https://drive.google.com/open?id=1GNICRNBvoOyF2dC_2G-aSg9ISikON033" TargetMode="External"/><Relationship Id="rId4" Type="http://schemas.openxmlformats.org/officeDocument/2006/relationships/hyperlink" Target="https://drive.google.com/open?id=1ZoOhSBD3jdBKwbTbNeaFuNmZNrLi4cJy" TargetMode="External"/><Relationship Id="rId5" Type="http://schemas.openxmlformats.org/officeDocument/2006/relationships/hyperlink" Target="https://drive.google.com/open?id=1IsNNNfO3tG--Fg0fxMigbPaSt4Ess-l-" TargetMode="External"/><Relationship Id="rId6" Type="http://schemas.openxmlformats.org/officeDocument/2006/relationships/drawing" Target="../drawings/drawing6.xml"/><Relationship Id="rId8" Type="http://schemas.openxmlformats.org/officeDocument/2006/relationships/table" Target="../tables/table18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0"/>
    <col customWidth="1" min="5" max="5" width="24.88"/>
  </cols>
  <sheetData>
    <row r="1">
      <c r="A1" s="1" t="s">
        <v>0</v>
      </c>
      <c r="B1" s="1" t="s">
        <v>1</v>
      </c>
      <c r="C1" s="1" t="s">
        <v>2</v>
      </c>
      <c r="D1" s="1" t="s">
        <v>3</v>
      </c>
      <c r="E1" s="1" t="s">
        <v>4</v>
      </c>
      <c r="F1" s="2"/>
      <c r="G1" s="2"/>
      <c r="H1" s="2"/>
      <c r="I1" s="2"/>
      <c r="J1" s="2"/>
      <c r="K1" s="2"/>
      <c r="L1" s="2"/>
      <c r="M1" s="2"/>
      <c r="N1" s="2"/>
      <c r="O1" s="2"/>
      <c r="P1" s="2"/>
      <c r="Q1" s="2"/>
      <c r="R1" s="2"/>
    </row>
    <row r="2">
      <c r="A2" s="3" t="s">
        <v>5</v>
      </c>
      <c r="B2" s="4">
        <v>1.0</v>
      </c>
      <c r="C2" s="3" t="s">
        <v>6</v>
      </c>
      <c r="D2" s="4">
        <v>15.0</v>
      </c>
      <c r="E2" s="4">
        <v>7.720064326E9</v>
      </c>
      <c r="F2" s="3"/>
      <c r="G2" s="3"/>
      <c r="H2" s="3"/>
      <c r="I2" s="3"/>
      <c r="J2" s="3"/>
      <c r="K2" s="3"/>
      <c r="L2" s="2"/>
      <c r="M2" s="2"/>
      <c r="N2" s="2"/>
      <c r="O2" s="2"/>
      <c r="P2" s="2"/>
      <c r="Q2" s="2"/>
      <c r="R2" s="2"/>
    </row>
    <row r="3">
      <c r="A3" s="3" t="s">
        <v>7</v>
      </c>
      <c r="B3" s="4">
        <v>2.0</v>
      </c>
      <c r="C3" s="3" t="s">
        <v>8</v>
      </c>
      <c r="D3" s="4">
        <v>26.0</v>
      </c>
      <c r="E3" s="4">
        <v>9.399238454E9</v>
      </c>
      <c r="F3" s="3"/>
      <c r="G3" s="3"/>
      <c r="H3" s="3"/>
      <c r="I3" s="3"/>
      <c r="J3" s="3"/>
      <c r="K3" s="3"/>
      <c r="L3" s="2"/>
      <c r="M3" s="2"/>
      <c r="N3" s="2"/>
      <c r="O3" s="2"/>
      <c r="P3" s="2"/>
      <c r="Q3" s="2"/>
      <c r="R3" s="2"/>
    </row>
    <row r="4">
      <c r="A4" s="3" t="s">
        <v>9</v>
      </c>
      <c r="B4" s="4">
        <v>3.0</v>
      </c>
      <c r="C4" s="3" t="s">
        <v>10</v>
      </c>
      <c r="D4" s="3"/>
      <c r="E4" s="5">
        <v>7.405658429E9</v>
      </c>
      <c r="F4" s="3"/>
      <c r="G4" s="3"/>
      <c r="H4" s="3"/>
      <c r="I4" s="3"/>
      <c r="J4" s="3"/>
      <c r="K4" s="3"/>
      <c r="L4" s="2"/>
      <c r="M4" s="2"/>
      <c r="N4" s="2"/>
      <c r="O4" s="2"/>
      <c r="P4" s="2"/>
      <c r="Q4" s="2"/>
      <c r="R4" s="2"/>
    </row>
    <row r="5">
      <c r="A5" s="3" t="s">
        <v>11</v>
      </c>
      <c r="B5" s="4">
        <v>4.0</v>
      </c>
      <c r="C5" s="3" t="s">
        <v>12</v>
      </c>
      <c r="D5" s="3"/>
      <c r="E5" s="5">
        <v>9.90408206E9</v>
      </c>
      <c r="F5" s="3"/>
      <c r="G5" s="3"/>
      <c r="H5" s="3"/>
      <c r="I5" s="3"/>
      <c r="J5" s="3"/>
      <c r="K5" s="3"/>
      <c r="L5" s="2"/>
      <c r="M5" s="2"/>
      <c r="N5" s="2"/>
      <c r="O5" s="2"/>
      <c r="P5" s="2"/>
      <c r="Q5" s="2"/>
      <c r="R5" s="2"/>
    </row>
    <row r="6">
      <c r="A6" s="3" t="s">
        <v>13</v>
      </c>
      <c r="B6" s="4">
        <v>5.0</v>
      </c>
      <c r="C6" s="3" t="s">
        <v>14</v>
      </c>
      <c r="D6" s="4">
        <v>16.0</v>
      </c>
      <c r="E6" s="4">
        <v>9.827637699E9</v>
      </c>
      <c r="F6" s="3"/>
      <c r="G6" s="3"/>
      <c r="H6" s="3"/>
      <c r="I6" s="3"/>
      <c r="J6" s="3"/>
      <c r="K6" s="3"/>
      <c r="L6" s="2"/>
      <c r="M6" s="2"/>
      <c r="N6" s="2"/>
      <c r="O6" s="2"/>
      <c r="P6" s="2"/>
      <c r="Q6" s="2"/>
      <c r="R6" s="2"/>
    </row>
    <row r="7">
      <c r="A7" s="3" t="s">
        <v>5</v>
      </c>
      <c r="B7" s="4">
        <v>6.0</v>
      </c>
      <c r="C7" s="3" t="s">
        <v>15</v>
      </c>
      <c r="D7" s="4">
        <v>15.0</v>
      </c>
      <c r="E7" s="4">
        <v>7.000496236E9</v>
      </c>
      <c r="F7" s="3"/>
      <c r="G7" s="3"/>
      <c r="H7" s="3"/>
      <c r="I7" s="3"/>
      <c r="J7" s="3"/>
      <c r="K7" s="3"/>
      <c r="L7" s="2"/>
      <c r="M7" s="2"/>
      <c r="N7" s="2"/>
      <c r="O7" s="2"/>
      <c r="P7" s="2"/>
      <c r="Q7" s="2"/>
      <c r="R7" s="2"/>
    </row>
    <row r="8">
      <c r="A8" s="3" t="s">
        <v>7</v>
      </c>
      <c r="B8" s="4">
        <v>7.0</v>
      </c>
      <c r="C8" s="6" t="s">
        <v>16</v>
      </c>
      <c r="D8" s="7">
        <v>19.0</v>
      </c>
      <c r="E8" s="7">
        <v>8.815243359E9</v>
      </c>
      <c r="F8" s="3"/>
      <c r="G8" s="3"/>
      <c r="H8" s="3"/>
      <c r="I8" s="3"/>
      <c r="J8" s="3"/>
      <c r="K8" s="3"/>
      <c r="L8" s="2"/>
      <c r="M8" s="2"/>
      <c r="N8" s="2"/>
      <c r="O8" s="2"/>
      <c r="P8" s="2"/>
      <c r="Q8" s="2"/>
      <c r="R8" s="2"/>
    </row>
    <row r="9">
      <c r="A9" s="3" t="s">
        <v>9</v>
      </c>
      <c r="B9" s="4">
        <v>8.0</v>
      </c>
      <c r="C9" s="3" t="s">
        <v>17</v>
      </c>
      <c r="D9" s="4">
        <v>25.0</v>
      </c>
      <c r="E9" s="4">
        <v>7.506246643E9</v>
      </c>
      <c r="F9" s="3"/>
      <c r="G9" s="3"/>
      <c r="H9" s="3"/>
      <c r="I9" s="3"/>
      <c r="J9" s="3"/>
      <c r="K9" s="3"/>
      <c r="L9" s="2"/>
      <c r="M9" s="2"/>
      <c r="N9" s="2"/>
      <c r="O9" s="2"/>
      <c r="P9" s="2"/>
      <c r="Q9" s="2"/>
      <c r="R9" s="2"/>
    </row>
    <row r="10">
      <c r="A10" s="3" t="s">
        <v>11</v>
      </c>
      <c r="B10" s="4">
        <v>9.0</v>
      </c>
      <c r="C10" s="3" t="s">
        <v>18</v>
      </c>
      <c r="D10" s="4">
        <v>34.0</v>
      </c>
      <c r="E10" s="4">
        <v>7.089024861E9</v>
      </c>
      <c r="F10" s="3"/>
      <c r="G10" s="3"/>
      <c r="H10" s="3"/>
      <c r="I10" s="3"/>
      <c r="J10" s="3"/>
      <c r="K10" s="3"/>
      <c r="L10" s="2"/>
      <c r="M10" s="2"/>
      <c r="N10" s="2"/>
      <c r="O10" s="2"/>
      <c r="P10" s="2"/>
      <c r="Q10" s="2"/>
      <c r="R10" s="2"/>
    </row>
    <row r="11">
      <c r="A11" s="3" t="s">
        <v>13</v>
      </c>
      <c r="B11" s="4">
        <v>10.0</v>
      </c>
      <c r="C11" s="3" t="s">
        <v>19</v>
      </c>
      <c r="D11" s="4">
        <v>22.0</v>
      </c>
      <c r="E11" s="4">
        <v>8.667641257E9</v>
      </c>
      <c r="F11" s="3"/>
      <c r="G11" s="3"/>
      <c r="H11" s="3"/>
      <c r="I11" s="3"/>
      <c r="J11" s="3"/>
      <c r="K11" s="3"/>
      <c r="L11" s="2"/>
      <c r="M11" s="2"/>
      <c r="N11" s="2"/>
      <c r="O11" s="2"/>
      <c r="P11" s="2"/>
      <c r="Q11" s="2"/>
      <c r="R11" s="2"/>
    </row>
    <row r="12">
      <c r="A12" s="3" t="s">
        <v>5</v>
      </c>
      <c r="B12" s="4">
        <v>11.0</v>
      </c>
      <c r="C12" s="3" t="s">
        <v>20</v>
      </c>
      <c r="D12" s="3"/>
      <c r="E12" s="4">
        <v>8.104916757E9</v>
      </c>
      <c r="F12" s="3"/>
      <c r="G12" s="3"/>
      <c r="H12" s="3"/>
      <c r="I12" s="3"/>
      <c r="J12" s="3"/>
      <c r="K12" s="3"/>
      <c r="L12" s="2"/>
      <c r="M12" s="2"/>
      <c r="N12" s="2"/>
      <c r="O12" s="2"/>
      <c r="P12" s="2"/>
      <c r="Q12" s="2"/>
      <c r="R12" s="2"/>
    </row>
    <row r="13">
      <c r="A13" s="3" t="s">
        <v>7</v>
      </c>
      <c r="B13" s="4">
        <v>12.0</v>
      </c>
      <c r="C13" s="3" t="s">
        <v>21</v>
      </c>
      <c r="D13" s="3"/>
      <c r="E13" s="4">
        <v>9.413351847E9</v>
      </c>
      <c r="F13" s="3"/>
      <c r="G13" s="3"/>
      <c r="H13" s="3"/>
      <c r="I13" s="3"/>
      <c r="J13" s="3"/>
      <c r="K13" s="3"/>
      <c r="L13" s="2"/>
      <c r="M13" s="2"/>
      <c r="N13" s="2"/>
      <c r="O13" s="2"/>
      <c r="P13" s="2"/>
      <c r="Q13" s="2"/>
      <c r="R13" s="2"/>
    </row>
    <row r="14">
      <c r="A14" s="3" t="s">
        <v>9</v>
      </c>
      <c r="B14" s="4">
        <v>13.0</v>
      </c>
      <c r="C14" s="3" t="s">
        <v>22</v>
      </c>
      <c r="D14" s="4">
        <v>22.0</v>
      </c>
      <c r="E14" s="4">
        <v>9.039946841E9</v>
      </c>
      <c r="F14" s="3"/>
      <c r="G14" s="3"/>
      <c r="H14" s="3"/>
      <c r="I14" s="3"/>
      <c r="J14" s="3"/>
      <c r="K14" s="3"/>
      <c r="L14" s="2"/>
      <c r="M14" s="2"/>
      <c r="N14" s="2"/>
      <c r="O14" s="2"/>
      <c r="P14" s="2"/>
      <c r="Q14" s="2"/>
      <c r="R14" s="2"/>
    </row>
    <row r="15">
      <c r="A15" s="3" t="s">
        <v>11</v>
      </c>
      <c r="B15" s="4">
        <v>14.0</v>
      </c>
      <c r="C15" s="3" t="s">
        <v>23</v>
      </c>
      <c r="D15" s="4">
        <v>26.0</v>
      </c>
      <c r="E15" s="4">
        <v>8.10991827E9</v>
      </c>
      <c r="F15" s="3"/>
      <c r="G15" s="3"/>
      <c r="H15" s="3"/>
      <c r="I15" s="3"/>
      <c r="J15" s="3"/>
      <c r="K15" s="3"/>
      <c r="L15" s="2"/>
      <c r="M15" s="2"/>
      <c r="N15" s="2"/>
      <c r="O15" s="2"/>
      <c r="P15" s="2"/>
      <c r="Q15" s="2"/>
      <c r="R15" s="2"/>
    </row>
    <row r="16">
      <c r="A16" s="3" t="s">
        <v>13</v>
      </c>
      <c r="B16" s="4">
        <v>15.0</v>
      </c>
      <c r="C16" s="6" t="s">
        <v>24</v>
      </c>
      <c r="D16" s="7">
        <v>16.0</v>
      </c>
      <c r="E16" s="7">
        <v>9.584175407E9</v>
      </c>
      <c r="F16" s="3"/>
      <c r="G16" s="3"/>
      <c r="H16" s="3"/>
      <c r="I16" s="3"/>
      <c r="J16" s="3"/>
      <c r="K16" s="3"/>
      <c r="L16" s="2"/>
      <c r="M16" s="2"/>
      <c r="N16" s="2"/>
      <c r="O16" s="2"/>
      <c r="P16" s="2"/>
      <c r="Q16" s="2"/>
      <c r="R16" s="2"/>
    </row>
    <row r="17">
      <c r="A17" s="3" t="s">
        <v>5</v>
      </c>
      <c r="B17" s="4">
        <v>16.0</v>
      </c>
      <c r="C17" s="3" t="s">
        <v>25</v>
      </c>
      <c r="D17" s="4">
        <v>17.0</v>
      </c>
      <c r="E17" s="4">
        <v>8.25300371E9</v>
      </c>
      <c r="F17" s="3"/>
      <c r="G17" s="3"/>
      <c r="H17" s="3"/>
      <c r="I17" s="3"/>
      <c r="J17" s="3"/>
      <c r="K17" s="3"/>
      <c r="L17" s="2"/>
      <c r="M17" s="2"/>
      <c r="N17" s="2"/>
      <c r="O17" s="2"/>
      <c r="P17" s="2"/>
      <c r="Q17" s="2"/>
      <c r="R17" s="2"/>
    </row>
    <row r="18">
      <c r="A18" s="3" t="s">
        <v>9</v>
      </c>
      <c r="B18" s="4">
        <v>17.0</v>
      </c>
      <c r="C18" s="6" t="s">
        <v>26</v>
      </c>
      <c r="D18" s="7">
        <v>25.0</v>
      </c>
      <c r="E18" s="7">
        <v>9.399332675E9</v>
      </c>
      <c r="F18" s="3"/>
      <c r="G18" s="3"/>
      <c r="H18" s="3"/>
      <c r="I18" s="3"/>
      <c r="J18" s="3"/>
      <c r="K18" s="3"/>
      <c r="L18" s="2"/>
      <c r="M18" s="2"/>
      <c r="N18" s="2"/>
      <c r="O18" s="2"/>
      <c r="P18" s="2"/>
      <c r="Q18" s="2"/>
      <c r="R18" s="2"/>
    </row>
    <row r="19">
      <c r="A19" s="3" t="s">
        <v>11</v>
      </c>
      <c r="B19" s="4">
        <v>18.0</v>
      </c>
      <c r="C19" s="3" t="s">
        <v>27</v>
      </c>
      <c r="D19" s="4">
        <v>32.0</v>
      </c>
      <c r="E19" s="4">
        <v>9.422982899E9</v>
      </c>
      <c r="F19" s="3"/>
      <c r="G19" s="3"/>
      <c r="H19" s="3"/>
      <c r="I19" s="3"/>
      <c r="J19" s="3"/>
      <c r="K19" s="3"/>
      <c r="L19" s="2"/>
      <c r="M19" s="2"/>
      <c r="N19" s="2"/>
      <c r="O19" s="2"/>
      <c r="P19" s="2"/>
      <c r="Q19" s="2"/>
      <c r="R19" s="2"/>
    </row>
    <row r="20">
      <c r="A20" s="3" t="s">
        <v>13</v>
      </c>
      <c r="B20" s="4">
        <v>19.0</v>
      </c>
      <c r="C20" s="3" t="s">
        <v>28</v>
      </c>
      <c r="D20" s="4">
        <v>19.0</v>
      </c>
      <c r="E20" s="4">
        <v>9.737943472E9</v>
      </c>
      <c r="F20" s="3"/>
      <c r="G20" s="3"/>
      <c r="H20" s="3"/>
      <c r="I20" s="3"/>
      <c r="J20" s="3"/>
      <c r="K20" s="3"/>
      <c r="L20" s="2"/>
      <c r="M20" s="2"/>
      <c r="N20" s="2"/>
      <c r="O20" s="2"/>
      <c r="P20" s="2"/>
      <c r="Q20" s="2"/>
      <c r="R20" s="2"/>
    </row>
    <row r="21">
      <c r="A21" s="3" t="s">
        <v>5</v>
      </c>
      <c r="B21" s="4">
        <v>20.0</v>
      </c>
      <c r="C21" s="3" t="s">
        <v>29</v>
      </c>
      <c r="D21" s="4">
        <v>40.0</v>
      </c>
      <c r="E21" s="4">
        <v>9.390006566E9</v>
      </c>
      <c r="F21" s="3"/>
      <c r="G21" s="3"/>
      <c r="H21" s="3"/>
      <c r="I21" s="3"/>
      <c r="J21" s="3"/>
      <c r="K21" s="3"/>
      <c r="L21" s="2"/>
      <c r="M21" s="2"/>
      <c r="N21" s="2"/>
      <c r="O21" s="2"/>
      <c r="P21" s="2"/>
      <c r="Q21" s="2"/>
      <c r="R21" s="2"/>
    </row>
    <row r="22">
      <c r="A22" s="3" t="s">
        <v>7</v>
      </c>
      <c r="B22" s="4">
        <v>21.0</v>
      </c>
      <c r="C22" s="3" t="s">
        <v>30</v>
      </c>
      <c r="D22" s="4">
        <v>24.0</v>
      </c>
      <c r="E22" s="4">
        <v>9.131310377E9</v>
      </c>
      <c r="F22" s="3"/>
      <c r="G22" s="3"/>
      <c r="H22" s="3"/>
      <c r="I22" s="3"/>
      <c r="J22" s="3"/>
      <c r="K22" s="3"/>
      <c r="L22" s="2"/>
      <c r="M22" s="2"/>
      <c r="N22" s="2"/>
      <c r="O22" s="2"/>
      <c r="P22" s="2"/>
      <c r="Q22" s="2"/>
      <c r="R22" s="2"/>
    </row>
    <row r="23">
      <c r="A23" s="3" t="s">
        <v>9</v>
      </c>
      <c r="B23" s="4">
        <v>22.0</v>
      </c>
      <c r="C23" s="8" t="s">
        <v>31</v>
      </c>
      <c r="D23" s="3"/>
      <c r="E23" s="5">
        <v>7.000085196E9</v>
      </c>
      <c r="F23" s="3"/>
      <c r="G23" s="3"/>
      <c r="H23" s="3"/>
      <c r="I23" s="3"/>
      <c r="J23" s="3"/>
      <c r="K23" s="3"/>
      <c r="L23" s="2"/>
      <c r="M23" s="2"/>
      <c r="N23" s="2"/>
      <c r="O23" s="2"/>
      <c r="P23" s="2"/>
      <c r="Q23" s="2"/>
      <c r="R23" s="2"/>
    </row>
    <row r="24">
      <c r="A24" s="3" t="s">
        <v>13</v>
      </c>
      <c r="B24" s="4">
        <v>23.0</v>
      </c>
      <c r="C24" s="3" t="s">
        <v>32</v>
      </c>
      <c r="D24" s="4">
        <v>31.0</v>
      </c>
      <c r="E24" s="4">
        <v>8.965933229E9</v>
      </c>
      <c r="F24" s="3"/>
      <c r="G24" s="3"/>
      <c r="H24" s="3"/>
      <c r="I24" s="3"/>
      <c r="J24" s="3"/>
      <c r="K24" s="3"/>
      <c r="L24" s="2"/>
      <c r="M24" s="2"/>
      <c r="N24" s="2"/>
      <c r="O24" s="2"/>
      <c r="P24" s="2"/>
      <c r="Q24" s="2"/>
      <c r="R24" s="2"/>
    </row>
    <row r="25">
      <c r="A25" s="3" t="s">
        <v>5</v>
      </c>
      <c r="B25" s="4">
        <v>24.0</v>
      </c>
      <c r="C25" s="3" t="s">
        <v>33</v>
      </c>
      <c r="D25" s="4">
        <v>26.0</v>
      </c>
      <c r="E25" s="9">
        <v>9.518509703E9</v>
      </c>
      <c r="F25" s="3"/>
      <c r="G25" s="3"/>
      <c r="H25" s="3"/>
      <c r="I25" s="3"/>
      <c r="J25" s="3"/>
      <c r="K25" s="3"/>
      <c r="L25" s="2"/>
      <c r="M25" s="2"/>
      <c r="N25" s="2"/>
      <c r="O25" s="2"/>
      <c r="P25" s="2"/>
      <c r="Q25" s="2"/>
      <c r="R25" s="2"/>
    </row>
    <row r="26">
      <c r="A26" s="3" t="s">
        <v>7</v>
      </c>
      <c r="B26" s="4">
        <v>25.0</v>
      </c>
      <c r="C26" s="3" t="s">
        <v>34</v>
      </c>
      <c r="D26" s="4">
        <v>23.0</v>
      </c>
      <c r="E26" s="4">
        <v>9.17935231E9</v>
      </c>
      <c r="F26" s="3"/>
      <c r="G26" s="3"/>
      <c r="H26" s="3"/>
      <c r="I26" s="3"/>
      <c r="J26" s="3"/>
      <c r="K26" s="3"/>
      <c r="L26" s="2"/>
      <c r="M26" s="2"/>
      <c r="N26" s="2"/>
      <c r="O26" s="2"/>
      <c r="P26" s="2"/>
      <c r="Q26" s="2"/>
      <c r="R26" s="2"/>
    </row>
    <row r="27">
      <c r="A27" s="3" t="s">
        <v>9</v>
      </c>
      <c r="B27" s="4">
        <v>26.0</v>
      </c>
      <c r="C27" s="3" t="s">
        <v>35</v>
      </c>
      <c r="D27" s="4">
        <v>35.0</v>
      </c>
      <c r="E27" s="4">
        <v>8.103428286E9</v>
      </c>
      <c r="F27" s="3"/>
      <c r="G27" s="3"/>
      <c r="H27" s="3"/>
      <c r="I27" s="3"/>
      <c r="J27" s="3"/>
      <c r="K27" s="3"/>
      <c r="L27" s="2"/>
      <c r="M27" s="2"/>
      <c r="N27" s="2"/>
      <c r="O27" s="2"/>
      <c r="P27" s="2"/>
      <c r="Q27" s="2"/>
      <c r="R27" s="2"/>
    </row>
    <row r="28">
      <c r="A28" s="3" t="s">
        <v>11</v>
      </c>
      <c r="B28" s="4">
        <v>27.0</v>
      </c>
      <c r="C28" s="3" t="s">
        <v>36</v>
      </c>
      <c r="D28" s="4">
        <v>18.0</v>
      </c>
      <c r="E28" s="4">
        <v>8.889055007E9</v>
      </c>
      <c r="F28" s="3"/>
      <c r="G28" s="3"/>
      <c r="H28" s="3"/>
      <c r="I28" s="3"/>
      <c r="J28" s="3"/>
      <c r="K28" s="3"/>
      <c r="L28" s="2"/>
      <c r="M28" s="2"/>
      <c r="N28" s="2"/>
      <c r="O28" s="2"/>
      <c r="P28" s="2"/>
      <c r="Q28" s="2"/>
      <c r="R28" s="2"/>
    </row>
    <row r="29">
      <c r="A29" s="3" t="s">
        <v>13</v>
      </c>
      <c r="B29" s="4">
        <v>28.0</v>
      </c>
      <c r="C29" s="3" t="s">
        <v>37</v>
      </c>
      <c r="D29" s="4">
        <v>19.0</v>
      </c>
      <c r="E29" s="4">
        <v>9.424044167E9</v>
      </c>
      <c r="F29" s="3"/>
      <c r="G29" s="3"/>
      <c r="H29" s="3"/>
      <c r="I29" s="3"/>
      <c r="J29" s="3"/>
      <c r="K29" s="3"/>
      <c r="L29" s="2"/>
      <c r="M29" s="2"/>
      <c r="N29" s="2"/>
      <c r="O29" s="2"/>
      <c r="P29" s="2"/>
      <c r="Q29" s="2"/>
      <c r="R29" s="2"/>
    </row>
    <row r="30">
      <c r="A30" s="3" t="s">
        <v>7</v>
      </c>
      <c r="B30" s="4">
        <v>29.0</v>
      </c>
      <c r="C30" s="3" t="s">
        <v>38</v>
      </c>
      <c r="D30" s="4">
        <v>27.0</v>
      </c>
      <c r="E30" s="4">
        <v>6.265328662E9</v>
      </c>
      <c r="F30" s="3"/>
      <c r="G30" s="3"/>
      <c r="H30" s="3"/>
      <c r="I30" s="3"/>
      <c r="J30" s="3"/>
      <c r="K30" s="3"/>
      <c r="L30" s="2"/>
      <c r="M30" s="2"/>
      <c r="N30" s="2"/>
      <c r="O30" s="2"/>
      <c r="P30" s="2"/>
      <c r="Q30" s="2"/>
      <c r="R30" s="2"/>
    </row>
    <row r="31">
      <c r="A31" s="3" t="s">
        <v>9</v>
      </c>
      <c r="B31" s="4">
        <v>30.0</v>
      </c>
      <c r="C31" s="6" t="s">
        <v>39</v>
      </c>
      <c r="D31" s="7">
        <v>24.0</v>
      </c>
      <c r="E31" s="7">
        <v>7.089050778E9</v>
      </c>
      <c r="F31" s="3"/>
      <c r="G31" s="3"/>
      <c r="H31" s="3"/>
      <c r="I31" s="3"/>
      <c r="J31" s="3"/>
      <c r="K31" s="3"/>
      <c r="L31" s="2"/>
      <c r="M31" s="2"/>
      <c r="N31" s="2"/>
      <c r="O31" s="2"/>
      <c r="P31" s="2"/>
      <c r="Q31" s="2"/>
      <c r="R31" s="2"/>
    </row>
    <row r="32">
      <c r="A32" s="3" t="s">
        <v>11</v>
      </c>
      <c r="B32" s="4">
        <v>31.0</v>
      </c>
      <c r="C32" s="3" t="s">
        <v>40</v>
      </c>
      <c r="D32" s="4">
        <v>28.0</v>
      </c>
      <c r="E32" s="4">
        <v>8.142214648E9</v>
      </c>
      <c r="F32" s="3"/>
      <c r="G32" s="3"/>
      <c r="H32" s="3"/>
      <c r="I32" s="3"/>
      <c r="J32" s="3"/>
      <c r="K32" s="3"/>
      <c r="L32" s="2"/>
      <c r="M32" s="2"/>
      <c r="N32" s="2"/>
      <c r="O32" s="2"/>
      <c r="P32" s="2"/>
      <c r="Q32" s="2"/>
      <c r="R32" s="2"/>
    </row>
    <row r="33">
      <c r="A33" s="3" t="s">
        <v>13</v>
      </c>
      <c r="B33" s="4">
        <v>32.0</v>
      </c>
      <c r="C33" s="3" t="s">
        <v>41</v>
      </c>
      <c r="D33" s="4">
        <v>13.0</v>
      </c>
      <c r="E33" s="4">
        <v>9.552278383E9</v>
      </c>
      <c r="F33" s="3"/>
      <c r="G33" s="3"/>
      <c r="H33" s="3"/>
      <c r="I33" s="3"/>
      <c r="J33" s="3"/>
      <c r="K33" s="3"/>
      <c r="L33" s="2"/>
      <c r="M33" s="2"/>
      <c r="N33" s="2"/>
      <c r="O33" s="2"/>
      <c r="P33" s="2"/>
      <c r="Q33" s="2"/>
      <c r="R33" s="2"/>
    </row>
    <row r="34">
      <c r="A34" s="3" t="s">
        <v>5</v>
      </c>
      <c r="B34" s="4">
        <v>33.0</v>
      </c>
      <c r="C34" s="3" t="s">
        <v>42</v>
      </c>
      <c r="D34" s="4">
        <v>40.0</v>
      </c>
      <c r="E34" s="4">
        <v>9.833495207E9</v>
      </c>
      <c r="F34" s="3"/>
      <c r="G34" s="3"/>
      <c r="H34" s="3"/>
      <c r="I34" s="3"/>
      <c r="J34" s="3"/>
      <c r="K34" s="3"/>
      <c r="L34" s="2"/>
      <c r="M34" s="2"/>
      <c r="N34" s="2"/>
      <c r="O34" s="2"/>
      <c r="P34" s="2"/>
      <c r="Q34" s="2"/>
      <c r="R34" s="2"/>
    </row>
    <row r="35">
      <c r="A35" s="3" t="s">
        <v>7</v>
      </c>
      <c r="B35" s="4">
        <v>34.0</v>
      </c>
      <c r="C35" s="3" t="s">
        <v>43</v>
      </c>
      <c r="D35" s="4">
        <v>33.0</v>
      </c>
      <c r="E35" s="4">
        <v>7.667643221E9</v>
      </c>
      <c r="F35" s="3"/>
      <c r="G35" s="3"/>
      <c r="H35" s="3"/>
      <c r="I35" s="3"/>
      <c r="J35" s="3"/>
      <c r="K35" s="3"/>
      <c r="L35" s="2"/>
      <c r="M35" s="2"/>
      <c r="N35" s="2"/>
      <c r="O35" s="2"/>
      <c r="P35" s="2"/>
      <c r="Q35" s="2"/>
      <c r="R35" s="2"/>
    </row>
    <row r="36">
      <c r="A36" s="3" t="s">
        <v>9</v>
      </c>
      <c r="B36" s="4">
        <v>35.0</v>
      </c>
      <c r="C36" s="3" t="s">
        <v>44</v>
      </c>
      <c r="D36" s="4">
        <v>20.0</v>
      </c>
      <c r="E36" s="4">
        <v>9.080505288E9</v>
      </c>
      <c r="F36" s="3"/>
      <c r="G36" s="3"/>
      <c r="H36" s="3"/>
      <c r="I36" s="3"/>
      <c r="J36" s="3"/>
      <c r="K36" s="3"/>
      <c r="L36" s="2"/>
      <c r="M36" s="2"/>
      <c r="N36" s="2"/>
      <c r="O36" s="2"/>
      <c r="P36" s="2"/>
      <c r="Q36" s="2"/>
      <c r="R36" s="2"/>
    </row>
    <row r="37">
      <c r="A37" s="3" t="s">
        <v>11</v>
      </c>
      <c r="B37" s="4">
        <v>36.0</v>
      </c>
      <c r="C37" s="3" t="s">
        <v>45</v>
      </c>
      <c r="D37" s="4">
        <v>15.0</v>
      </c>
      <c r="E37" s="4">
        <v>9.57586666E9</v>
      </c>
      <c r="F37" s="3"/>
      <c r="G37" s="3"/>
      <c r="H37" s="3"/>
      <c r="I37" s="3"/>
      <c r="J37" s="3"/>
      <c r="K37" s="3"/>
      <c r="L37" s="2"/>
      <c r="M37" s="2"/>
      <c r="N37" s="2"/>
      <c r="O37" s="2"/>
      <c r="P37" s="2"/>
      <c r="Q37" s="2"/>
      <c r="R37" s="2"/>
    </row>
    <row r="38">
      <c r="A38" s="3" t="s">
        <v>13</v>
      </c>
      <c r="B38" s="4">
        <v>37.0</v>
      </c>
      <c r="C38" s="3" t="s">
        <v>46</v>
      </c>
      <c r="D38" s="4">
        <v>18.0</v>
      </c>
      <c r="E38" s="4">
        <v>7.620396824E9</v>
      </c>
      <c r="F38" s="3"/>
      <c r="G38" s="3"/>
      <c r="H38" s="3"/>
      <c r="I38" s="3"/>
      <c r="J38" s="3"/>
      <c r="K38" s="3"/>
      <c r="L38" s="2"/>
      <c r="M38" s="2"/>
      <c r="N38" s="2"/>
      <c r="O38" s="2"/>
      <c r="P38" s="2"/>
      <c r="Q38" s="2"/>
      <c r="R38" s="2"/>
    </row>
    <row r="39">
      <c r="A39" s="3" t="s">
        <v>5</v>
      </c>
      <c r="B39" s="4">
        <v>38.0</v>
      </c>
      <c r="C39" s="3" t="s">
        <v>47</v>
      </c>
      <c r="D39" s="4">
        <v>30.0</v>
      </c>
      <c r="E39" s="4">
        <v>8.446812204E9</v>
      </c>
      <c r="F39" s="3"/>
      <c r="G39" s="3"/>
      <c r="H39" s="3"/>
      <c r="I39" s="3"/>
      <c r="J39" s="3"/>
      <c r="K39" s="3"/>
      <c r="L39" s="2"/>
      <c r="M39" s="2"/>
      <c r="N39" s="2"/>
      <c r="O39" s="2"/>
      <c r="P39" s="2"/>
      <c r="Q39" s="2"/>
      <c r="R39" s="2"/>
    </row>
    <row r="40">
      <c r="A40" s="3" t="s">
        <v>7</v>
      </c>
      <c r="B40" s="4">
        <v>39.0</v>
      </c>
      <c r="C40" s="3" t="s">
        <v>48</v>
      </c>
      <c r="D40" s="4">
        <v>19.0</v>
      </c>
      <c r="E40" s="4">
        <v>9.404825525E9</v>
      </c>
      <c r="F40" s="3"/>
      <c r="G40" s="3"/>
      <c r="H40" s="3"/>
      <c r="I40" s="3"/>
      <c r="J40" s="3"/>
      <c r="K40" s="3"/>
      <c r="L40" s="2"/>
      <c r="M40" s="2"/>
      <c r="N40" s="2"/>
      <c r="O40" s="2"/>
      <c r="P40" s="2"/>
      <c r="Q40" s="2"/>
      <c r="R40" s="2"/>
    </row>
    <row r="41">
      <c r="A41" s="3" t="s">
        <v>11</v>
      </c>
      <c r="B41" s="4">
        <v>40.0</v>
      </c>
      <c r="C41" s="3" t="s">
        <v>49</v>
      </c>
      <c r="D41" s="4">
        <v>19.0</v>
      </c>
      <c r="E41" s="4">
        <v>6.261157928E9</v>
      </c>
      <c r="F41" s="3"/>
      <c r="G41" s="3"/>
      <c r="H41" s="3"/>
      <c r="I41" s="3"/>
      <c r="J41" s="3"/>
      <c r="K41" s="3"/>
      <c r="L41" s="2"/>
      <c r="M41" s="2"/>
      <c r="N41" s="2"/>
      <c r="O41" s="2"/>
      <c r="P41" s="2"/>
      <c r="Q41" s="2"/>
      <c r="R41" s="2"/>
    </row>
    <row r="42">
      <c r="A42" s="3" t="s">
        <v>13</v>
      </c>
      <c r="B42" s="4">
        <v>41.0</v>
      </c>
      <c r="C42" s="3" t="s">
        <v>50</v>
      </c>
      <c r="D42" s="4">
        <v>35.0</v>
      </c>
      <c r="E42" s="4">
        <v>8.898719999E9</v>
      </c>
      <c r="F42" s="3"/>
      <c r="G42" s="3"/>
      <c r="H42" s="3"/>
      <c r="I42" s="3"/>
      <c r="J42" s="3"/>
      <c r="K42" s="3"/>
      <c r="L42" s="2"/>
      <c r="M42" s="2"/>
      <c r="N42" s="2"/>
      <c r="O42" s="2"/>
      <c r="P42" s="2"/>
      <c r="Q42" s="2"/>
      <c r="R42" s="2"/>
    </row>
    <row r="43">
      <c r="A43" s="3" t="s">
        <v>9</v>
      </c>
      <c r="B43" s="4">
        <v>42.0</v>
      </c>
      <c r="C43" s="3" t="s">
        <v>51</v>
      </c>
      <c r="D43" s="3"/>
      <c r="E43" s="5">
        <v>9.05432274E9</v>
      </c>
      <c r="F43" s="3"/>
      <c r="G43" s="3"/>
      <c r="H43" s="3"/>
      <c r="I43" s="3"/>
      <c r="J43" s="3"/>
      <c r="K43" s="3"/>
      <c r="L43" s="2"/>
      <c r="M43" s="2"/>
      <c r="N43" s="2"/>
      <c r="O43" s="2"/>
      <c r="P43" s="2"/>
      <c r="Q43" s="2"/>
      <c r="R43" s="2"/>
    </row>
    <row r="44">
      <c r="A44" s="3" t="s">
        <v>11</v>
      </c>
      <c r="B44" s="4">
        <v>43.0</v>
      </c>
      <c r="C44" s="3" t="s">
        <v>52</v>
      </c>
      <c r="D44" s="3"/>
      <c r="E44" s="4">
        <v>9.323766181E9</v>
      </c>
      <c r="F44" s="3"/>
      <c r="G44" s="3"/>
      <c r="H44" s="3"/>
      <c r="I44" s="3"/>
      <c r="J44" s="3"/>
      <c r="K44" s="3"/>
      <c r="L44" s="2"/>
      <c r="M44" s="2"/>
      <c r="N44" s="2"/>
      <c r="O44" s="2"/>
      <c r="P44" s="2"/>
      <c r="Q44" s="2"/>
      <c r="R44" s="2"/>
    </row>
    <row r="45">
      <c r="A45" s="3" t="s">
        <v>13</v>
      </c>
      <c r="B45" s="4">
        <v>44.0</v>
      </c>
      <c r="C45" s="3" t="s">
        <v>53</v>
      </c>
      <c r="D45" s="4">
        <v>20.0</v>
      </c>
      <c r="E45" s="4">
        <v>8.980189111E9</v>
      </c>
      <c r="F45" s="3"/>
      <c r="G45" s="3"/>
      <c r="H45" s="3"/>
      <c r="I45" s="3"/>
      <c r="J45" s="3"/>
      <c r="K45" s="3"/>
      <c r="L45" s="2"/>
      <c r="M45" s="2"/>
      <c r="N45" s="2"/>
      <c r="O45" s="2"/>
      <c r="P45" s="2"/>
      <c r="Q45" s="2"/>
      <c r="R45" s="2"/>
    </row>
    <row r="46">
      <c r="A46" s="3" t="s">
        <v>7</v>
      </c>
      <c r="B46" s="4">
        <v>45.0</v>
      </c>
      <c r="C46" s="3" t="s">
        <v>54</v>
      </c>
      <c r="D46" s="4">
        <v>38.0</v>
      </c>
      <c r="E46" s="4">
        <v>9.48200674E9</v>
      </c>
      <c r="F46" s="3"/>
      <c r="G46" s="3"/>
      <c r="H46" s="3"/>
      <c r="I46" s="3"/>
      <c r="J46" s="3"/>
      <c r="K46" s="3"/>
      <c r="L46" s="2"/>
      <c r="M46" s="2"/>
      <c r="N46" s="2"/>
      <c r="O46" s="2"/>
      <c r="P46" s="2"/>
      <c r="Q46" s="2"/>
      <c r="R46" s="2"/>
    </row>
    <row r="47">
      <c r="A47" s="3" t="s">
        <v>9</v>
      </c>
      <c r="B47" s="4">
        <v>46.0</v>
      </c>
      <c r="C47" s="3" t="s">
        <v>55</v>
      </c>
      <c r="D47" s="3"/>
      <c r="E47" s="4">
        <v>9.322586355E9</v>
      </c>
      <c r="F47" s="3"/>
      <c r="G47" s="3"/>
      <c r="H47" s="3"/>
      <c r="I47" s="3"/>
      <c r="J47" s="3"/>
      <c r="K47" s="3"/>
      <c r="L47" s="2"/>
      <c r="M47" s="2"/>
      <c r="N47" s="2"/>
      <c r="O47" s="2"/>
      <c r="P47" s="2"/>
      <c r="Q47" s="2"/>
      <c r="R47" s="2"/>
    </row>
    <row r="48">
      <c r="A48" s="3" t="s">
        <v>11</v>
      </c>
      <c r="B48" s="4">
        <v>47.0</v>
      </c>
      <c r="C48" s="3" t="s">
        <v>56</v>
      </c>
      <c r="D48" s="4">
        <v>18.0</v>
      </c>
      <c r="E48" s="4">
        <v>9.108406146E9</v>
      </c>
      <c r="F48" s="3"/>
      <c r="G48" s="3"/>
      <c r="H48" s="3"/>
      <c r="I48" s="3"/>
      <c r="J48" s="3"/>
      <c r="K48" s="3"/>
      <c r="L48" s="2"/>
      <c r="M48" s="2"/>
      <c r="N48" s="2"/>
      <c r="O48" s="2"/>
      <c r="P48" s="2"/>
      <c r="Q48" s="2"/>
      <c r="R48" s="2"/>
    </row>
    <row r="49">
      <c r="A49" s="3" t="s">
        <v>13</v>
      </c>
      <c r="B49" s="4">
        <v>48.0</v>
      </c>
      <c r="C49" s="3" t="s">
        <v>57</v>
      </c>
      <c r="D49" s="3"/>
      <c r="E49" s="4">
        <v>9.136547856E9</v>
      </c>
      <c r="F49" s="3"/>
      <c r="G49" s="3"/>
      <c r="H49" s="3"/>
      <c r="I49" s="3"/>
      <c r="J49" s="3"/>
      <c r="K49" s="3"/>
      <c r="L49" s="2"/>
      <c r="M49" s="2"/>
      <c r="N49" s="2"/>
      <c r="O49" s="2"/>
      <c r="P49" s="2"/>
      <c r="Q49" s="2"/>
      <c r="R49" s="2"/>
    </row>
    <row r="50">
      <c r="A50" s="3" t="s">
        <v>5</v>
      </c>
      <c r="B50" s="4">
        <v>49.0</v>
      </c>
      <c r="C50" s="3" t="s">
        <v>58</v>
      </c>
      <c r="D50" s="3"/>
      <c r="E50" s="4">
        <v>9.820462839E9</v>
      </c>
      <c r="F50" s="3"/>
      <c r="G50" s="3"/>
      <c r="H50" s="3"/>
      <c r="I50" s="3"/>
      <c r="J50" s="3"/>
      <c r="K50" s="3"/>
      <c r="L50" s="2"/>
      <c r="M50" s="2"/>
      <c r="N50" s="2"/>
      <c r="O50" s="2"/>
      <c r="P50" s="2"/>
      <c r="Q50" s="2"/>
      <c r="R50" s="2"/>
    </row>
    <row r="51">
      <c r="A51" s="3" t="s">
        <v>7</v>
      </c>
      <c r="B51" s="4">
        <v>50.0</v>
      </c>
      <c r="C51" s="3" t="s">
        <v>59</v>
      </c>
      <c r="D51" s="4">
        <v>18.0</v>
      </c>
      <c r="E51" s="4">
        <v>7.021278539E9</v>
      </c>
      <c r="F51" s="3"/>
      <c r="G51" s="3"/>
      <c r="H51" s="3"/>
      <c r="I51" s="3"/>
      <c r="J51" s="3"/>
      <c r="K51" s="3"/>
      <c r="L51" s="2"/>
      <c r="M51" s="2"/>
      <c r="N51" s="2"/>
      <c r="O51" s="2"/>
      <c r="P51" s="2"/>
      <c r="Q51" s="2"/>
      <c r="R51" s="2"/>
    </row>
    <row r="52">
      <c r="A52" s="3" t="s">
        <v>9</v>
      </c>
      <c r="B52" s="4">
        <v>51.0</v>
      </c>
      <c r="C52" s="3" t="s">
        <v>59</v>
      </c>
      <c r="D52" s="4">
        <v>28.0</v>
      </c>
      <c r="E52" s="4">
        <v>8.488990507E9</v>
      </c>
      <c r="F52" s="3"/>
      <c r="G52" s="3"/>
      <c r="H52" s="3"/>
      <c r="I52" s="3"/>
      <c r="J52" s="3"/>
      <c r="K52" s="3"/>
      <c r="L52" s="2"/>
      <c r="M52" s="2"/>
      <c r="N52" s="2"/>
      <c r="O52" s="2"/>
      <c r="P52" s="2"/>
      <c r="Q52" s="2"/>
      <c r="R52" s="2"/>
    </row>
    <row r="53">
      <c r="A53" s="3" t="s">
        <v>11</v>
      </c>
      <c r="B53" s="4">
        <v>52.0</v>
      </c>
      <c r="C53" s="3" t="s">
        <v>60</v>
      </c>
      <c r="D53" s="4">
        <v>18.0</v>
      </c>
      <c r="E53" s="9">
        <v>9.870067267E9</v>
      </c>
      <c r="F53" s="3"/>
      <c r="G53" s="3"/>
      <c r="H53" s="3"/>
      <c r="I53" s="3"/>
      <c r="J53" s="3"/>
      <c r="K53" s="3"/>
      <c r="L53" s="2"/>
      <c r="M53" s="2"/>
      <c r="N53" s="2"/>
      <c r="O53" s="2"/>
      <c r="P53" s="2"/>
      <c r="Q53" s="2"/>
      <c r="R53" s="2"/>
    </row>
    <row r="54">
      <c r="A54" s="3" t="s">
        <v>13</v>
      </c>
      <c r="B54" s="4">
        <v>53.0</v>
      </c>
      <c r="C54" s="3" t="s">
        <v>61</v>
      </c>
      <c r="D54" s="4">
        <v>11.0</v>
      </c>
      <c r="E54" s="4">
        <v>9.820507278E9</v>
      </c>
      <c r="F54" s="3"/>
      <c r="G54" s="3"/>
      <c r="H54" s="3"/>
      <c r="I54" s="3"/>
      <c r="J54" s="3"/>
      <c r="K54" s="3"/>
      <c r="L54" s="2"/>
      <c r="M54" s="2"/>
      <c r="N54" s="2"/>
      <c r="O54" s="2"/>
      <c r="P54" s="2"/>
      <c r="Q54" s="2"/>
      <c r="R54" s="2"/>
    </row>
    <row r="55">
      <c r="A55" s="3" t="s">
        <v>5</v>
      </c>
      <c r="B55" s="4">
        <v>54.0</v>
      </c>
      <c r="C55" s="3" t="s">
        <v>62</v>
      </c>
      <c r="D55" s="4">
        <v>34.0</v>
      </c>
      <c r="E55" s="4">
        <v>8.555828384E9</v>
      </c>
      <c r="F55" s="3"/>
      <c r="G55" s="3"/>
      <c r="H55" s="3"/>
      <c r="I55" s="3"/>
      <c r="J55" s="3"/>
      <c r="K55" s="3"/>
      <c r="L55" s="2"/>
      <c r="M55" s="2"/>
      <c r="N55" s="2"/>
      <c r="O55" s="2"/>
      <c r="P55" s="2"/>
      <c r="Q55" s="2"/>
      <c r="R55" s="2"/>
    </row>
    <row r="56">
      <c r="A56" s="3" t="s">
        <v>7</v>
      </c>
      <c r="B56" s="4">
        <v>55.0</v>
      </c>
      <c r="C56" s="3" t="s">
        <v>63</v>
      </c>
      <c r="D56" s="4">
        <v>30.0</v>
      </c>
      <c r="E56" s="4">
        <v>9.428530316E9</v>
      </c>
      <c r="F56" s="3"/>
      <c r="G56" s="3"/>
      <c r="H56" s="3"/>
      <c r="I56" s="3"/>
      <c r="J56" s="3"/>
      <c r="K56" s="3"/>
      <c r="L56" s="2"/>
      <c r="M56" s="2"/>
      <c r="N56" s="2"/>
      <c r="O56" s="2"/>
      <c r="P56" s="2"/>
      <c r="Q56" s="2"/>
      <c r="R56" s="2"/>
    </row>
    <row r="57">
      <c r="A57" s="3" t="s">
        <v>9</v>
      </c>
      <c r="B57" s="4">
        <v>56.0</v>
      </c>
      <c r="C57" s="3" t="s">
        <v>64</v>
      </c>
      <c r="D57" s="4">
        <v>21.0</v>
      </c>
      <c r="E57" s="4">
        <v>7.483319681E9</v>
      </c>
      <c r="F57" s="3"/>
      <c r="G57" s="3"/>
      <c r="H57" s="3"/>
      <c r="I57" s="3"/>
      <c r="J57" s="3"/>
      <c r="K57" s="3"/>
      <c r="L57" s="2"/>
      <c r="M57" s="2"/>
      <c r="N57" s="2"/>
      <c r="O57" s="2"/>
      <c r="P57" s="2"/>
      <c r="Q57" s="2"/>
      <c r="R57" s="2"/>
    </row>
    <row r="58">
      <c r="A58" s="3" t="s">
        <v>11</v>
      </c>
      <c r="B58" s="4">
        <v>57.0</v>
      </c>
      <c r="C58" s="6" t="s">
        <v>65</v>
      </c>
      <c r="D58" s="7">
        <v>27.0</v>
      </c>
      <c r="E58" s="7">
        <v>9.37076439E9</v>
      </c>
      <c r="F58" s="3"/>
      <c r="G58" s="3"/>
      <c r="H58" s="3"/>
      <c r="I58" s="3"/>
      <c r="J58" s="3"/>
      <c r="K58" s="3"/>
      <c r="L58" s="2"/>
      <c r="M58" s="2"/>
      <c r="N58" s="2"/>
      <c r="O58" s="2"/>
      <c r="P58" s="2"/>
      <c r="Q58" s="2"/>
      <c r="R58" s="2"/>
    </row>
    <row r="59">
      <c r="A59" s="3" t="s">
        <v>13</v>
      </c>
      <c r="B59" s="4">
        <v>58.0</v>
      </c>
      <c r="C59" s="3" t="s">
        <v>66</v>
      </c>
      <c r="D59" s="3"/>
      <c r="E59" s="5">
        <v>9.824379449E9</v>
      </c>
      <c r="F59" s="3"/>
      <c r="G59" s="3"/>
      <c r="H59" s="3"/>
      <c r="I59" s="3"/>
      <c r="J59" s="3"/>
      <c r="K59" s="3"/>
      <c r="L59" s="2"/>
      <c r="M59" s="2"/>
      <c r="N59" s="2"/>
      <c r="O59" s="2"/>
      <c r="P59" s="2"/>
      <c r="Q59" s="2"/>
      <c r="R59" s="2"/>
    </row>
    <row r="60">
      <c r="A60" s="3" t="s">
        <v>5</v>
      </c>
      <c r="B60" s="4">
        <v>59.0</v>
      </c>
      <c r="C60" s="3" t="s">
        <v>67</v>
      </c>
      <c r="D60" s="4">
        <v>20.0</v>
      </c>
      <c r="E60" s="4">
        <v>7.975368984E9</v>
      </c>
      <c r="F60" s="3"/>
      <c r="G60" s="3"/>
      <c r="H60" s="3"/>
      <c r="I60" s="3"/>
      <c r="J60" s="3"/>
      <c r="K60" s="3"/>
      <c r="L60" s="2"/>
      <c r="M60" s="2"/>
      <c r="N60" s="2"/>
      <c r="O60" s="2"/>
      <c r="P60" s="2"/>
      <c r="Q60" s="2"/>
      <c r="R60" s="2"/>
    </row>
    <row r="61">
      <c r="A61" s="3" t="s">
        <v>7</v>
      </c>
      <c r="B61" s="4">
        <v>60.0</v>
      </c>
      <c r="C61" s="6" t="s">
        <v>68</v>
      </c>
      <c r="D61" s="7">
        <v>21.0</v>
      </c>
      <c r="E61" s="7">
        <v>6.262547164E9</v>
      </c>
      <c r="F61" s="3"/>
      <c r="G61" s="3"/>
      <c r="H61" s="3"/>
      <c r="I61" s="3"/>
      <c r="J61" s="3"/>
      <c r="K61" s="3"/>
      <c r="L61" s="2"/>
      <c r="M61" s="2"/>
      <c r="N61" s="2"/>
      <c r="O61" s="2"/>
      <c r="P61" s="2"/>
      <c r="Q61" s="2"/>
      <c r="R61" s="2"/>
    </row>
    <row r="62">
      <c r="A62" s="3" t="s">
        <v>9</v>
      </c>
      <c r="B62" s="4">
        <v>61.0</v>
      </c>
      <c r="C62" s="3" t="s">
        <v>69</v>
      </c>
      <c r="D62" s="4">
        <v>24.0</v>
      </c>
      <c r="E62" s="4">
        <v>7.498959194E9</v>
      </c>
      <c r="F62" s="3"/>
      <c r="G62" s="3"/>
      <c r="H62" s="3"/>
      <c r="I62" s="3"/>
      <c r="J62" s="3"/>
      <c r="K62" s="3"/>
      <c r="L62" s="2"/>
      <c r="M62" s="2"/>
      <c r="N62" s="2"/>
      <c r="O62" s="2"/>
      <c r="P62" s="2"/>
      <c r="Q62" s="2"/>
      <c r="R62" s="2"/>
    </row>
    <row r="63">
      <c r="A63" s="3" t="s">
        <v>11</v>
      </c>
      <c r="B63" s="4">
        <v>62.0</v>
      </c>
      <c r="C63" s="3" t="s">
        <v>70</v>
      </c>
      <c r="D63" s="4">
        <v>20.0</v>
      </c>
      <c r="E63" s="4">
        <v>8.591664343E9</v>
      </c>
      <c r="F63" s="3"/>
      <c r="G63" s="3"/>
      <c r="H63" s="3"/>
      <c r="I63" s="3"/>
      <c r="J63" s="3"/>
      <c r="K63" s="3"/>
      <c r="L63" s="2"/>
      <c r="M63" s="2"/>
      <c r="N63" s="2"/>
      <c r="O63" s="2"/>
      <c r="P63" s="2"/>
      <c r="Q63" s="2"/>
      <c r="R63" s="2"/>
    </row>
    <row r="64">
      <c r="A64" s="3" t="s">
        <v>13</v>
      </c>
      <c r="B64" s="4">
        <v>63.0</v>
      </c>
      <c r="C64" s="6" t="s">
        <v>71</v>
      </c>
      <c r="D64" s="7">
        <v>19.0</v>
      </c>
      <c r="E64" s="7">
        <v>7.045411742E9</v>
      </c>
      <c r="F64" s="3"/>
      <c r="G64" s="3"/>
      <c r="H64" s="3"/>
      <c r="I64" s="3"/>
      <c r="J64" s="3"/>
      <c r="K64" s="3"/>
      <c r="L64" s="2"/>
      <c r="M64" s="2"/>
      <c r="N64" s="2"/>
      <c r="O64" s="2"/>
      <c r="P64" s="2"/>
      <c r="Q64" s="2"/>
      <c r="R64" s="2"/>
    </row>
    <row r="65">
      <c r="A65" s="3" t="s">
        <v>5</v>
      </c>
      <c r="B65" s="4">
        <v>64.0</v>
      </c>
      <c r="C65" s="3" t="s">
        <v>72</v>
      </c>
      <c r="D65" s="4">
        <v>21.0</v>
      </c>
      <c r="E65" s="4">
        <v>8.431311533E9</v>
      </c>
      <c r="F65" s="3"/>
      <c r="G65" s="3"/>
      <c r="H65" s="3"/>
      <c r="I65" s="3"/>
      <c r="J65" s="3"/>
      <c r="K65" s="3"/>
      <c r="L65" s="2"/>
      <c r="M65" s="2"/>
      <c r="N65" s="2"/>
      <c r="O65" s="2"/>
      <c r="P65" s="2"/>
      <c r="Q65" s="2"/>
      <c r="R65" s="2"/>
    </row>
    <row r="66">
      <c r="A66" s="3" t="s">
        <v>7</v>
      </c>
      <c r="B66" s="4">
        <v>65.0</v>
      </c>
      <c r="C66" s="6" t="s">
        <v>73</v>
      </c>
      <c r="D66" s="3"/>
      <c r="E66" s="7">
        <v>9.399918201E9</v>
      </c>
      <c r="F66" s="3"/>
      <c r="G66" s="3"/>
      <c r="H66" s="3"/>
      <c r="I66" s="3"/>
      <c r="J66" s="3"/>
      <c r="K66" s="3"/>
      <c r="L66" s="2"/>
      <c r="M66" s="2"/>
      <c r="N66" s="2"/>
      <c r="O66" s="2"/>
      <c r="P66" s="2"/>
      <c r="Q66" s="2"/>
      <c r="R66" s="2"/>
    </row>
    <row r="67">
      <c r="A67" s="3" t="s">
        <v>9</v>
      </c>
      <c r="B67" s="4">
        <v>66.0</v>
      </c>
      <c r="C67" s="3" t="s">
        <v>74</v>
      </c>
      <c r="D67" s="4">
        <v>21.0</v>
      </c>
      <c r="E67" s="4">
        <v>7.434966909E9</v>
      </c>
      <c r="F67" s="3"/>
      <c r="G67" s="3"/>
      <c r="H67" s="3"/>
      <c r="I67" s="3"/>
      <c r="J67" s="3"/>
      <c r="K67" s="3"/>
      <c r="L67" s="2"/>
      <c r="M67" s="2"/>
      <c r="N67" s="2"/>
      <c r="O67" s="2"/>
      <c r="P67" s="2"/>
      <c r="Q67" s="2"/>
      <c r="R67" s="2"/>
    </row>
    <row r="68">
      <c r="A68" s="3" t="s">
        <v>11</v>
      </c>
      <c r="B68" s="4">
        <v>67.0</v>
      </c>
      <c r="C68" s="3" t="s">
        <v>75</v>
      </c>
      <c r="D68" s="4">
        <v>21.0</v>
      </c>
      <c r="E68" s="4">
        <v>9.499545916E9</v>
      </c>
      <c r="F68" s="3"/>
      <c r="G68" s="3"/>
      <c r="H68" s="3"/>
      <c r="I68" s="3"/>
      <c r="J68" s="3"/>
      <c r="K68" s="3"/>
      <c r="L68" s="2"/>
      <c r="M68" s="2"/>
      <c r="N68" s="2"/>
      <c r="O68" s="2"/>
      <c r="P68" s="2"/>
      <c r="Q68" s="2"/>
      <c r="R68" s="2"/>
    </row>
    <row r="69">
      <c r="A69" s="3" t="s">
        <v>13</v>
      </c>
      <c r="B69" s="4">
        <v>68.0</v>
      </c>
      <c r="C69" s="10" t="s">
        <v>76</v>
      </c>
      <c r="D69" s="11">
        <v>21.0</v>
      </c>
      <c r="E69" s="12">
        <v>9.664554097E9</v>
      </c>
      <c r="F69" s="3"/>
      <c r="G69" s="3"/>
      <c r="H69" s="3"/>
      <c r="I69" s="3"/>
      <c r="J69" s="3"/>
      <c r="K69" s="3"/>
      <c r="L69" s="2"/>
      <c r="M69" s="2"/>
      <c r="N69" s="2"/>
      <c r="O69" s="2"/>
      <c r="P69" s="2"/>
      <c r="Q69" s="2"/>
      <c r="R69" s="2"/>
    </row>
    <row r="70">
      <c r="A70" s="3" t="s">
        <v>5</v>
      </c>
      <c r="B70" s="4">
        <v>69.0</v>
      </c>
      <c r="C70" s="3" t="s">
        <v>77</v>
      </c>
      <c r="D70" s="4">
        <v>19.0</v>
      </c>
      <c r="E70" s="4">
        <v>7.361003004E9</v>
      </c>
      <c r="F70" s="3"/>
      <c r="G70" s="3"/>
      <c r="H70" s="3"/>
      <c r="I70" s="3"/>
      <c r="J70" s="3"/>
      <c r="K70" s="3"/>
      <c r="L70" s="2"/>
      <c r="M70" s="2"/>
      <c r="N70" s="2"/>
      <c r="O70" s="2"/>
      <c r="P70" s="2"/>
      <c r="Q70" s="2"/>
      <c r="R70" s="2"/>
    </row>
    <row r="71">
      <c r="A71" s="3" t="s">
        <v>7</v>
      </c>
      <c r="B71" s="4">
        <v>70.0</v>
      </c>
      <c r="C71" s="3" t="s">
        <v>78</v>
      </c>
      <c r="D71" s="4">
        <v>25.0</v>
      </c>
      <c r="E71" s="4">
        <v>9.558516087E9</v>
      </c>
      <c r="F71" s="3"/>
      <c r="G71" s="3"/>
      <c r="H71" s="3"/>
      <c r="I71" s="3"/>
      <c r="J71" s="3"/>
      <c r="K71" s="3"/>
      <c r="L71" s="2"/>
      <c r="M71" s="2"/>
      <c r="N71" s="2"/>
      <c r="O71" s="2"/>
      <c r="P71" s="2"/>
      <c r="Q71" s="2"/>
      <c r="R71" s="2"/>
    </row>
    <row r="72">
      <c r="A72" s="3" t="s">
        <v>9</v>
      </c>
      <c r="B72" s="4">
        <v>71.0</v>
      </c>
      <c r="C72" s="3" t="s">
        <v>79</v>
      </c>
      <c r="D72" s="4">
        <v>16.0</v>
      </c>
      <c r="E72" s="4">
        <v>7.999136791E9</v>
      </c>
      <c r="F72" s="3"/>
      <c r="G72" s="3"/>
      <c r="H72" s="3"/>
      <c r="I72" s="3"/>
      <c r="J72" s="3"/>
      <c r="K72" s="3"/>
      <c r="L72" s="2"/>
      <c r="M72" s="2"/>
      <c r="N72" s="2"/>
      <c r="O72" s="2"/>
      <c r="P72" s="2"/>
      <c r="Q72" s="2"/>
      <c r="R72" s="2"/>
    </row>
    <row r="73">
      <c r="A73" s="3" t="s">
        <v>11</v>
      </c>
      <c r="B73" s="4">
        <v>72.0</v>
      </c>
      <c r="C73" s="3" t="s">
        <v>80</v>
      </c>
      <c r="D73" s="4">
        <v>18.0</v>
      </c>
      <c r="E73" s="4">
        <v>7.984572089E9</v>
      </c>
      <c r="F73" s="3"/>
      <c r="G73" s="3"/>
      <c r="H73" s="3"/>
      <c r="I73" s="3"/>
      <c r="J73" s="3"/>
      <c r="K73" s="3"/>
      <c r="L73" s="2"/>
      <c r="M73" s="2"/>
      <c r="N73" s="2"/>
      <c r="O73" s="2"/>
      <c r="P73" s="2"/>
      <c r="Q73" s="2"/>
      <c r="R73" s="2"/>
    </row>
    <row r="74">
      <c r="A74" s="3" t="s">
        <v>13</v>
      </c>
      <c r="B74" s="4">
        <v>73.0</v>
      </c>
      <c r="C74" s="3" t="s">
        <v>81</v>
      </c>
      <c r="D74" s="4">
        <v>18.0</v>
      </c>
      <c r="E74" s="4">
        <v>7.041125854E9</v>
      </c>
      <c r="F74" s="3"/>
      <c r="G74" s="3"/>
      <c r="H74" s="3"/>
      <c r="I74" s="3"/>
      <c r="J74" s="3"/>
      <c r="K74" s="3"/>
      <c r="L74" s="2"/>
      <c r="M74" s="2"/>
      <c r="N74" s="2"/>
      <c r="O74" s="2"/>
      <c r="P74" s="2"/>
      <c r="Q74" s="2"/>
      <c r="R74" s="2"/>
    </row>
    <row r="75">
      <c r="A75" s="3" t="s">
        <v>5</v>
      </c>
      <c r="B75" s="4">
        <v>74.0</v>
      </c>
      <c r="C75" s="3" t="s">
        <v>82</v>
      </c>
      <c r="D75" s="4">
        <v>23.0</v>
      </c>
      <c r="E75" s="4">
        <v>9.284535546E9</v>
      </c>
      <c r="F75" s="3"/>
      <c r="G75" s="3"/>
      <c r="H75" s="3"/>
      <c r="I75" s="3"/>
      <c r="J75" s="3"/>
      <c r="K75" s="3"/>
      <c r="L75" s="2"/>
      <c r="M75" s="2"/>
      <c r="N75" s="2"/>
      <c r="O75" s="2"/>
      <c r="P75" s="2"/>
      <c r="Q75" s="2"/>
      <c r="R75" s="2"/>
    </row>
    <row r="76">
      <c r="A76" s="3" t="s">
        <v>7</v>
      </c>
      <c r="B76" s="4">
        <v>75.0</v>
      </c>
      <c r="C76" s="3" t="s">
        <v>83</v>
      </c>
      <c r="D76" s="4">
        <v>20.0</v>
      </c>
      <c r="E76" s="4">
        <v>7.04908267E9</v>
      </c>
      <c r="F76" s="3"/>
      <c r="G76" s="3"/>
      <c r="H76" s="3"/>
      <c r="I76" s="3"/>
      <c r="J76" s="3"/>
      <c r="K76" s="3"/>
      <c r="L76" s="2"/>
      <c r="M76" s="2"/>
      <c r="N76" s="2"/>
      <c r="O76" s="2"/>
      <c r="P76" s="2"/>
      <c r="Q76" s="2"/>
      <c r="R76" s="2"/>
    </row>
    <row r="77">
      <c r="A77" s="3" t="s">
        <v>9</v>
      </c>
      <c r="B77" s="4">
        <v>76.0</v>
      </c>
      <c r="C77" s="3" t="s">
        <v>84</v>
      </c>
      <c r="D77" s="4">
        <v>25.0</v>
      </c>
      <c r="E77" s="4">
        <v>9.819344428E9</v>
      </c>
      <c r="F77" s="3"/>
      <c r="G77" s="3"/>
      <c r="H77" s="3"/>
      <c r="I77" s="3"/>
      <c r="J77" s="3"/>
      <c r="K77" s="3"/>
      <c r="L77" s="2"/>
      <c r="M77" s="2"/>
      <c r="N77" s="2"/>
      <c r="O77" s="2"/>
      <c r="P77" s="2"/>
      <c r="Q77" s="2"/>
      <c r="R77" s="2"/>
    </row>
    <row r="78">
      <c r="A78" s="3" t="s">
        <v>11</v>
      </c>
      <c r="B78" s="4">
        <v>77.0</v>
      </c>
      <c r="C78" s="6" t="s">
        <v>85</v>
      </c>
      <c r="D78" s="7">
        <v>22.0</v>
      </c>
      <c r="E78" s="7">
        <v>9.619571855E9</v>
      </c>
      <c r="F78" s="3"/>
      <c r="G78" s="3"/>
      <c r="H78" s="3"/>
      <c r="I78" s="3"/>
      <c r="J78" s="3"/>
      <c r="K78" s="3"/>
      <c r="L78" s="2"/>
      <c r="M78" s="2"/>
      <c r="N78" s="2"/>
      <c r="O78" s="2"/>
      <c r="P78" s="2"/>
      <c r="Q78" s="2"/>
      <c r="R78" s="2"/>
    </row>
    <row r="79">
      <c r="A79" s="3" t="s">
        <v>13</v>
      </c>
      <c r="B79" s="4">
        <v>78.0</v>
      </c>
      <c r="C79" s="3" t="s">
        <v>86</v>
      </c>
      <c r="D79" s="4">
        <v>28.0</v>
      </c>
      <c r="E79" s="4">
        <v>7.01673067E9</v>
      </c>
      <c r="F79" s="3"/>
      <c r="G79" s="3"/>
      <c r="H79" s="3"/>
      <c r="I79" s="3"/>
      <c r="J79" s="3"/>
      <c r="K79" s="3"/>
      <c r="L79" s="2"/>
      <c r="M79" s="2"/>
      <c r="N79" s="2"/>
      <c r="O79" s="2"/>
      <c r="P79" s="2"/>
      <c r="Q79" s="2"/>
      <c r="R79" s="2"/>
    </row>
    <row r="80">
      <c r="A80" s="3" t="s">
        <v>7</v>
      </c>
      <c r="B80" s="4">
        <v>79.0</v>
      </c>
      <c r="C80" s="3" t="s">
        <v>87</v>
      </c>
      <c r="D80" s="4">
        <v>27.0</v>
      </c>
      <c r="E80" s="4">
        <v>9.923604321E9</v>
      </c>
      <c r="F80" s="3"/>
      <c r="G80" s="3"/>
      <c r="H80" s="3"/>
      <c r="I80" s="3"/>
      <c r="J80" s="3"/>
      <c r="K80" s="3"/>
      <c r="L80" s="2"/>
      <c r="M80" s="2"/>
      <c r="N80" s="2"/>
      <c r="O80" s="2"/>
      <c r="P80" s="2"/>
      <c r="Q80" s="2"/>
      <c r="R80" s="2"/>
    </row>
    <row r="81">
      <c r="A81" s="3" t="s">
        <v>9</v>
      </c>
      <c r="B81" s="4">
        <v>80.0</v>
      </c>
      <c r="C81" s="10" t="s">
        <v>88</v>
      </c>
      <c r="D81" s="13">
        <v>20.0</v>
      </c>
      <c r="E81" s="13">
        <v>7.738668568E9</v>
      </c>
      <c r="F81" s="3"/>
      <c r="G81" s="3"/>
      <c r="H81" s="3"/>
      <c r="I81" s="3"/>
      <c r="J81" s="3"/>
      <c r="K81" s="3"/>
      <c r="L81" s="2"/>
      <c r="M81" s="2"/>
      <c r="N81" s="2"/>
      <c r="O81" s="2"/>
      <c r="P81" s="2"/>
      <c r="Q81" s="2"/>
      <c r="R81" s="2"/>
    </row>
    <row r="82">
      <c r="A82" s="3" t="s">
        <v>11</v>
      </c>
      <c r="B82" s="4">
        <v>81.0</v>
      </c>
      <c r="C82" s="14" t="s">
        <v>89</v>
      </c>
      <c r="D82" s="15">
        <v>22.0</v>
      </c>
      <c r="E82" s="15">
        <v>8.433754887E9</v>
      </c>
      <c r="F82" s="3"/>
      <c r="G82" s="3"/>
      <c r="H82" s="3"/>
      <c r="I82" s="3"/>
      <c r="J82" s="3"/>
      <c r="K82" s="3"/>
      <c r="L82" s="2"/>
      <c r="M82" s="2"/>
      <c r="N82" s="2"/>
      <c r="O82" s="2"/>
      <c r="P82" s="2"/>
      <c r="Q82" s="2"/>
      <c r="R82" s="2"/>
    </row>
    <row r="83">
      <c r="A83" s="3" t="s">
        <v>13</v>
      </c>
      <c r="B83" s="4">
        <v>82.0</v>
      </c>
      <c r="C83" s="3" t="s">
        <v>90</v>
      </c>
      <c r="D83" s="4">
        <v>18.0</v>
      </c>
      <c r="E83" s="4">
        <v>9.702477999E9</v>
      </c>
      <c r="F83" s="3"/>
      <c r="G83" s="3"/>
      <c r="H83" s="3"/>
      <c r="I83" s="3"/>
      <c r="J83" s="3"/>
      <c r="K83" s="3"/>
      <c r="L83" s="2"/>
      <c r="M83" s="2"/>
      <c r="N83" s="2"/>
      <c r="O83" s="2"/>
      <c r="P83" s="2"/>
      <c r="Q83" s="2"/>
      <c r="R83" s="2"/>
    </row>
    <row r="84">
      <c r="A84" s="3" t="s">
        <v>5</v>
      </c>
      <c r="B84" s="4">
        <v>83.0</v>
      </c>
      <c r="C84" s="3" t="s">
        <v>91</v>
      </c>
      <c r="D84" s="3"/>
      <c r="E84" s="4">
        <v>9.969119611E9</v>
      </c>
      <c r="F84" s="3"/>
      <c r="G84" s="3"/>
      <c r="H84" s="3"/>
      <c r="I84" s="3"/>
      <c r="J84" s="3"/>
      <c r="K84" s="3"/>
      <c r="L84" s="2"/>
      <c r="M84" s="2"/>
      <c r="N84" s="2"/>
      <c r="O84" s="2"/>
      <c r="P84" s="2"/>
      <c r="Q84" s="2"/>
      <c r="R84" s="2"/>
    </row>
    <row r="85">
      <c r="A85" s="3" t="s">
        <v>7</v>
      </c>
      <c r="B85" s="4">
        <v>84.0</v>
      </c>
      <c r="C85" s="3" t="s">
        <v>92</v>
      </c>
      <c r="D85" s="4">
        <v>12.0</v>
      </c>
      <c r="E85" s="4">
        <v>7.977736076E9</v>
      </c>
      <c r="F85" s="3"/>
      <c r="G85" s="3"/>
      <c r="H85" s="3"/>
      <c r="I85" s="3"/>
      <c r="J85" s="3"/>
      <c r="K85" s="3"/>
      <c r="L85" s="2"/>
      <c r="M85" s="2"/>
      <c r="N85" s="2"/>
      <c r="O85" s="2"/>
      <c r="P85" s="2"/>
      <c r="Q85" s="2"/>
      <c r="R85" s="2"/>
    </row>
    <row r="86">
      <c r="A86" s="3" t="s">
        <v>13</v>
      </c>
      <c r="B86" s="4">
        <v>85.0</v>
      </c>
      <c r="C86" s="10" t="s">
        <v>93</v>
      </c>
      <c r="D86" s="12">
        <v>21.0</v>
      </c>
      <c r="E86" s="12">
        <v>9.152053671E9</v>
      </c>
      <c r="F86" s="3"/>
      <c r="G86" s="3"/>
      <c r="H86" s="3"/>
      <c r="I86" s="3"/>
      <c r="J86" s="3"/>
      <c r="K86" s="3"/>
      <c r="L86" s="2"/>
      <c r="M86" s="2"/>
      <c r="N86" s="2"/>
      <c r="O86" s="2"/>
      <c r="P86" s="2"/>
      <c r="Q86" s="2"/>
      <c r="R86" s="2"/>
    </row>
    <row r="87">
      <c r="A87" s="3" t="s">
        <v>7</v>
      </c>
      <c r="B87" s="4">
        <v>86.0</v>
      </c>
      <c r="C87" s="6" t="s">
        <v>94</v>
      </c>
      <c r="D87" s="7">
        <v>25.0</v>
      </c>
      <c r="E87" s="7">
        <v>9.867135768E9</v>
      </c>
      <c r="F87" s="3"/>
      <c r="G87" s="3"/>
      <c r="H87" s="3"/>
      <c r="I87" s="3"/>
      <c r="J87" s="3"/>
      <c r="K87" s="3"/>
      <c r="L87" s="2"/>
      <c r="M87" s="2"/>
      <c r="N87" s="2"/>
      <c r="O87" s="2"/>
      <c r="P87" s="2"/>
      <c r="Q87" s="2"/>
      <c r="R87" s="2"/>
    </row>
    <row r="88">
      <c r="A88" s="3" t="s">
        <v>9</v>
      </c>
      <c r="B88" s="4">
        <v>87.0</v>
      </c>
      <c r="C88" s="3" t="s">
        <v>95</v>
      </c>
      <c r="D88" s="4">
        <v>24.0</v>
      </c>
      <c r="E88" s="4">
        <v>8.169441735E9</v>
      </c>
      <c r="F88" s="3"/>
      <c r="G88" s="3"/>
      <c r="H88" s="3"/>
      <c r="I88" s="3"/>
      <c r="J88" s="3"/>
      <c r="K88" s="3"/>
      <c r="L88" s="2"/>
      <c r="M88" s="2"/>
      <c r="N88" s="2"/>
      <c r="O88" s="2"/>
      <c r="P88" s="2"/>
      <c r="Q88" s="2"/>
      <c r="R88" s="2"/>
    </row>
    <row r="89">
      <c r="A89" s="3" t="s">
        <v>11</v>
      </c>
      <c r="B89" s="4">
        <v>88.0</v>
      </c>
      <c r="C89" s="3" t="s">
        <v>96</v>
      </c>
      <c r="D89" s="4">
        <v>22.0</v>
      </c>
      <c r="E89" s="4">
        <v>9.930900647E9</v>
      </c>
      <c r="F89" s="3"/>
      <c r="G89" s="3"/>
      <c r="H89" s="3"/>
      <c r="I89" s="3"/>
      <c r="J89" s="3"/>
      <c r="K89" s="3"/>
      <c r="L89" s="2"/>
      <c r="M89" s="2"/>
      <c r="N89" s="2"/>
      <c r="O89" s="2"/>
      <c r="P89" s="2"/>
      <c r="Q89" s="2"/>
      <c r="R89" s="2"/>
    </row>
    <row r="90">
      <c r="A90" s="3" t="s">
        <v>13</v>
      </c>
      <c r="B90" s="4">
        <v>89.0</v>
      </c>
      <c r="C90" s="3" t="s">
        <v>97</v>
      </c>
      <c r="D90" s="4">
        <v>21.0</v>
      </c>
      <c r="E90" s="4">
        <v>9.322722657E9</v>
      </c>
      <c r="F90" s="3"/>
      <c r="G90" s="3"/>
      <c r="H90" s="3"/>
      <c r="I90" s="3"/>
      <c r="J90" s="3"/>
      <c r="K90" s="3"/>
      <c r="L90" s="2"/>
      <c r="M90" s="2"/>
      <c r="N90" s="2"/>
      <c r="O90" s="2"/>
      <c r="P90" s="2"/>
      <c r="Q90" s="2"/>
      <c r="R90" s="2"/>
    </row>
    <row r="91">
      <c r="A91" s="3" t="s">
        <v>5</v>
      </c>
      <c r="B91" s="4">
        <v>90.0</v>
      </c>
      <c r="C91" s="3" t="s">
        <v>98</v>
      </c>
      <c r="D91" s="4">
        <v>42.0</v>
      </c>
      <c r="E91" s="4">
        <v>9.820712408E9</v>
      </c>
      <c r="F91" s="3"/>
      <c r="G91" s="3"/>
      <c r="H91" s="3"/>
      <c r="I91" s="3"/>
      <c r="J91" s="3"/>
      <c r="K91" s="3"/>
      <c r="L91" s="2"/>
      <c r="M91" s="2"/>
      <c r="N91" s="2"/>
      <c r="O91" s="2"/>
      <c r="P91" s="2"/>
      <c r="Q91" s="2"/>
      <c r="R91" s="2"/>
    </row>
    <row r="92">
      <c r="A92" s="3" t="s">
        <v>7</v>
      </c>
      <c r="B92" s="4">
        <v>91.0</v>
      </c>
      <c r="C92" s="6" t="s">
        <v>99</v>
      </c>
      <c r="D92" s="7">
        <v>18.0</v>
      </c>
      <c r="E92" s="7">
        <v>9.224877695E9</v>
      </c>
      <c r="F92" s="3"/>
      <c r="G92" s="3"/>
      <c r="H92" s="3"/>
      <c r="I92" s="3"/>
      <c r="J92" s="3"/>
      <c r="K92" s="3"/>
      <c r="L92" s="2"/>
      <c r="M92" s="2"/>
      <c r="N92" s="2"/>
      <c r="O92" s="2"/>
      <c r="P92" s="2"/>
      <c r="Q92" s="2"/>
      <c r="R92" s="2"/>
    </row>
    <row r="93">
      <c r="A93" s="3" t="s">
        <v>9</v>
      </c>
      <c r="B93" s="4">
        <v>92.0</v>
      </c>
      <c r="C93" s="3" t="s">
        <v>100</v>
      </c>
      <c r="D93" s="4">
        <v>17.0</v>
      </c>
      <c r="E93" s="4">
        <v>9.2705524E9</v>
      </c>
      <c r="F93" s="3"/>
      <c r="G93" s="3"/>
      <c r="H93" s="3"/>
      <c r="I93" s="3"/>
      <c r="J93" s="3"/>
      <c r="K93" s="3"/>
      <c r="L93" s="2"/>
      <c r="M93" s="2"/>
      <c r="N93" s="2"/>
      <c r="O93" s="2"/>
      <c r="P93" s="2"/>
      <c r="Q93" s="2"/>
      <c r="R93" s="2"/>
    </row>
    <row r="94">
      <c r="A94" s="3" t="s">
        <v>11</v>
      </c>
      <c r="B94" s="4">
        <v>93.0</v>
      </c>
      <c r="C94" s="3" t="s">
        <v>101</v>
      </c>
      <c r="D94" s="4">
        <v>21.0</v>
      </c>
      <c r="E94" s="4">
        <v>9.867119775E9</v>
      </c>
      <c r="F94" s="3"/>
      <c r="G94" s="3"/>
      <c r="H94" s="3"/>
      <c r="I94" s="3"/>
      <c r="J94" s="3"/>
      <c r="K94" s="3"/>
      <c r="L94" s="2"/>
      <c r="M94" s="2"/>
      <c r="N94" s="2"/>
      <c r="O94" s="2"/>
      <c r="P94" s="2"/>
      <c r="Q94" s="2"/>
      <c r="R94" s="2"/>
    </row>
    <row r="95">
      <c r="A95" s="3" t="s">
        <v>5</v>
      </c>
      <c r="B95" s="4">
        <v>94.0</v>
      </c>
      <c r="C95" s="3" t="s">
        <v>102</v>
      </c>
      <c r="D95" s="4">
        <v>22.0</v>
      </c>
      <c r="E95" s="4">
        <v>7.798585011E9</v>
      </c>
      <c r="F95" s="3"/>
      <c r="G95" s="3"/>
      <c r="H95" s="3"/>
      <c r="I95" s="3"/>
      <c r="J95" s="3"/>
      <c r="K95" s="3"/>
      <c r="L95" s="2"/>
      <c r="M95" s="2"/>
      <c r="N95" s="2"/>
      <c r="O95" s="2"/>
      <c r="P95" s="2"/>
      <c r="Q95" s="2"/>
      <c r="R95" s="2"/>
    </row>
    <row r="96">
      <c r="A96" s="3" t="s">
        <v>7</v>
      </c>
      <c r="B96" s="4">
        <v>95.0</v>
      </c>
      <c r="C96" s="3" t="s">
        <v>103</v>
      </c>
      <c r="D96" s="4">
        <v>25.0</v>
      </c>
      <c r="E96" s="4">
        <v>9.02464628E9</v>
      </c>
      <c r="F96" s="3"/>
      <c r="G96" s="3"/>
      <c r="H96" s="3"/>
      <c r="I96" s="3"/>
      <c r="J96" s="3"/>
      <c r="K96" s="3"/>
      <c r="L96" s="2"/>
      <c r="M96" s="2"/>
      <c r="N96" s="2"/>
      <c r="O96" s="2"/>
      <c r="P96" s="2"/>
      <c r="Q96" s="2"/>
      <c r="R96" s="2"/>
    </row>
    <row r="97">
      <c r="A97" s="3" t="s">
        <v>9</v>
      </c>
      <c r="B97" s="4">
        <v>96.0</v>
      </c>
      <c r="C97" s="3" t="s">
        <v>104</v>
      </c>
      <c r="D97" s="4">
        <v>18.0</v>
      </c>
      <c r="E97" s="4">
        <v>9.098957331E9</v>
      </c>
      <c r="F97" s="3"/>
      <c r="G97" s="3"/>
      <c r="H97" s="3"/>
      <c r="I97" s="3"/>
      <c r="J97" s="3"/>
      <c r="K97" s="3"/>
      <c r="L97" s="2"/>
      <c r="M97" s="2"/>
      <c r="N97" s="2"/>
      <c r="O97" s="2"/>
      <c r="P97" s="2"/>
      <c r="Q97" s="2"/>
      <c r="R97" s="2"/>
    </row>
    <row r="98">
      <c r="A98" s="3" t="s">
        <v>11</v>
      </c>
      <c r="B98" s="4">
        <v>97.0</v>
      </c>
      <c r="C98" s="3" t="s">
        <v>105</v>
      </c>
      <c r="D98" s="4">
        <v>20.0</v>
      </c>
      <c r="E98" s="4">
        <v>9.1311541E9</v>
      </c>
      <c r="F98" s="3"/>
      <c r="G98" s="3"/>
      <c r="H98" s="3"/>
      <c r="I98" s="3"/>
      <c r="J98" s="3"/>
      <c r="K98" s="3"/>
      <c r="L98" s="2"/>
      <c r="M98" s="2"/>
      <c r="N98" s="2"/>
      <c r="O98" s="2"/>
      <c r="P98" s="2"/>
      <c r="Q98" s="2"/>
      <c r="R98" s="2"/>
    </row>
    <row r="99">
      <c r="A99" s="3" t="s">
        <v>13</v>
      </c>
      <c r="B99" s="4">
        <v>98.0</v>
      </c>
      <c r="C99" s="3" t="s">
        <v>106</v>
      </c>
      <c r="D99" s="4">
        <v>40.0</v>
      </c>
      <c r="E99" s="4">
        <v>8.200808385E9</v>
      </c>
      <c r="F99" s="3"/>
      <c r="G99" s="3"/>
      <c r="H99" s="3"/>
      <c r="I99" s="3"/>
      <c r="J99" s="3"/>
      <c r="K99" s="3"/>
      <c r="L99" s="2"/>
      <c r="M99" s="2"/>
      <c r="N99" s="2"/>
      <c r="O99" s="2"/>
      <c r="P99" s="2"/>
      <c r="Q99" s="2"/>
      <c r="R99" s="2"/>
    </row>
    <row r="100">
      <c r="A100" s="3" t="s">
        <v>5</v>
      </c>
      <c r="B100" s="4">
        <v>99.0</v>
      </c>
      <c r="C100" s="3" t="s">
        <v>107</v>
      </c>
      <c r="D100" s="4">
        <v>21.0</v>
      </c>
      <c r="E100" s="4">
        <v>9.307690459E9</v>
      </c>
      <c r="F100" s="3"/>
      <c r="G100" s="3"/>
      <c r="H100" s="3"/>
      <c r="I100" s="3"/>
      <c r="J100" s="3"/>
      <c r="K100" s="3"/>
      <c r="L100" s="2"/>
      <c r="M100" s="2"/>
      <c r="N100" s="2"/>
      <c r="O100" s="2"/>
      <c r="P100" s="2"/>
      <c r="Q100" s="2"/>
      <c r="R100" s="2"/>
    </row>
    <row r="101">
      <c r="A101" s="3" t="s">
        <v>7</v>
      </c>
      <c r="B101" s="4">
        <v>100.0</v>
      </c>
      <c r="C101" s="6" t="s">
        <v>108</v>
      </c>
      <c r="D101" s="7">
        <v>20.0</v>
      </c>
      <c r="E101" s="7">
        <v>7.041204406E9</v>
      </c>
      <c r="F101" s="3"/>
      <c r="G101" s="3"/>
      <c r="H101" s="3"/>
      <c r="I101" s="3"/>
      <c r="J101" s="3"/>
      <c r="K101" s="3"/>
      <c r="L101" s="2"/>
      <c r="M101" s="2"/>
      <c r="N101" s="2"/>
      <c r="O101" s="2"/>
      <c r="P101" s="2"/>
      <c r="Q101" s="2"/>
      <c r="R101" s="2"/>
    </row>
    <row r="102">
      <c r="A102" s="3" t="s">
        <v>9</v>
      </c>
      <c r="B102" s="4">
        <v>101.0</v>
      </c>
      <c r="C102" s="3" t="s">
        <v>109</v>
      </c>
      <c r="D102" s="4">
        <v>35.0</v>
      </c>
      <c r="E102" s="4">
        <v>9.510373934E9</v>
      </c>
      <c r="F102" s="3"/>
      <c r="G102" s="3"/>
      <c r="H102" s="3"/>
      <c r="I102" s="3"/>
      <c r="J102" s="3"/>
      <c r="K102" s="3"/>
      <c r="L102" s="2"/>
      <c r="M102" s="2"/>
      <c r="N102" s="2"/>
      <c r="O102" s="2"/>
      <c r="P102" s="2"/>
      <c r="Q102" s="2"/>
      <c r="R102" s="2"/>
    </row>
    <row r="103">
      <c r="A103" s="3" t="s">
        <v>13</v>
      </c>
      <c r="B103" s="4">
        <v>102.0</v>
      </c>
      <c r="C103" s="3" t="s">
        <v>110</v>
      </c>
      <c r="D103" s="4">
        <v>25.0</v>
      </c>
      <c r="E103" s="4">
        <v>7.73838441E9</v>
      </c>
      <c r="F103" s="3"/>
      <c r="G103" s="3"/>
      <c r="H103" s="3"/>
      <c r="I103" s="3"/>
      <c r="J103" s="3"/>
      <c r="K103" s="3"/>
      <c r="L103" s="2"/>
      <c r="M103" s="2"/>
      <c r="N103" s="2"/>
      <c r="O103" s="2"/>
      <c r="P103" s="2"/>
      <c r="Q103" s="2"/>
      <c r="R103" s="2"/>
    </row>
    <row r="104">
      <c r="A104" s="3" t="s">
        <v>5</v>
      </c>
      <c r="B104" s="4">
        <v>103.0</v>
      </c>
      <c r="C104" s="6" t="s">
        <v>111</v>
      </c>
      <c r="D104" s="7">
        <v>17.0</v>
      </c>
      <c r="E104" s="7">
        <v>9.588089135E9</v>
      </c>
      <c r="F104" s="3"/>
      <c r="G104" s="3"/>
      <c r="H104" s="3"/>
      <c r="I104" s="3"/>
      <c r="J104" s="3"/>
      <c r="K104" s="3"/>
      <c r="L104" s="2"/>
      <c r="M104" s="2"/>
      <c r="N104" s="2"/>
      <c r="O104" s="2"/>
      <c r="P104" s="2"/>
      <c r="Q104" s="2"/>
      <c r="R104" s="2"/>
    </row>
    <row r="105">
      <c r="A105" s="3" t="s">
        <v>7</v>
      </c>
      <c r="B105" s="4">
        <v>104.0</v>
      </c>
      <c r="C105" s="3" t="s">
        <v>112</v>
      </c>
      <c r="D105" s="4">
        <v>23.0</v>
      </c>
      <c r="E105" s="4">
        <v>9.353571355E9</v>
      </c>
      <c r="F105" s="3"/>
      <c r="G105" s="3"/>
      <c r="H105" s="3"/>
      <c r="I105" s="3"/>
      <c r="J105" s="3"/>
      <c r="K105" s="3"/>
      <c r="L105" s="2"/>
      <c r="M105" s="2"/>
      <c r="N105" s="2"/>
      <c r="O105" s="2"/>
      <c r="P105" s="2"/>
      <c r="Q105" s="2"/>
      <c r="R105" s="2"/>
    </row>
    <row r="106">
      <c r="A106" s="3" t="s">
        <v>9</v>
      </c>
      <c r="B106" s="4">
        <v>105.0</v>
      </c>
      <c r="C106" s="3" t="s">
        <v>113</v>
      </c>
      <c r="D106" s="4">
        <v>35.0</v>
      </c>
      <c r="E106" s="4">
        <v>9.970991617E9</v>
      </c>
      <c r="F106" s="3"/>
      <c r="G106" s="3"/>
      <c r="H106" s="3"/>
      <c r="I106" s="3"/>
      <c r="J106" s="3"/>
      <c r="K106" s="3"/>
      <c r="L106" s="2"/>
      <c r="M106" s="2"/>
      <c r="N106" s="2"/>
      <c r="O106" s="2"/>
      <c r="P106" s="2"/>
      <c r="Q106" s="2"/>
      <c r="R106" s="2"/>
    </row>
    <row r="107">
      <c r="A107" s="3" t="s">
        <v>11</v>
      </c>
      <c r="B107" s="4">
        <v>106.0</v>
      </c>
      <c r="C107" s="3" t="s">
        <v>114</v>
      </c>
      <c r="D107" s="4">
        <v>21.0</v>
      </c>
      <c r="E107" s="4">
        <v>7.796727271E9</v>
      </c>
      <c r="F107" s="3"/>
      <c r="G107" s="3"/>
      <c r="H107" s="3"/>
      <c r="I107" s="3"/>
      <c r="J107" s="3"/>
      <c r="K107" s="3"/>
      <c r="L107" s="2"/>
      <c r="M107" s="2"/>
      <c r="N107" s="2"/>
      <c r="O107" s="2"/>
      <c r="P107" s="2"/>
      <c r="Q107" s="2"/>
      <c r="R107" s="2"/>
    </row>
    <row r="108">
      <c r="A108" s="3" t="s">
        <v>13</v>
      </c>
      <c r="B108" s="4">
        <v>107.0</v>
      </c>
      <c r="C108" s="3" t="s">
        <v>115</v>
      </c>
      <c r="D108" s="4">
        <v>20.0</v>
      </c>
      <c r="E108" s="4">
        <v>7.303008851E9</v>
      </c>
      <c r="F108" s="3"/>
      <c r="G108" s="3"/>
      <c r="H108" s="3"/>
      <c r="I108" s="3"/>
      <c r="J108" s="3"/>
      <c r="K108" s="3"/>
      <c r="L108" s="2"/>
      <c r="M108" s="2"/>
      <c r="N108" s="2"/>
      <c r="O108" s="2"/>
      <c r="P108" s="2"/>
      <c r="Q108" s="2"/>
      <c r="R108" s="2"/>
    </row>
    <row r="109">
      <c r="A109" s="3" t="s">
        <v>5</v>
      </c>
      <c r="B109" s="4">
        <v>108.0</v>
      </c>
      <c r="C109" s="3" t="s">
        <v>116</v>
      </c>
      <c r="D109" s="4">
        <v>18.0</v>
      </c>
      <c r="E109" s="4">
        <v>8.104883852E9</v>
      </c>
      <c r="F109" s="3"/>
      <c r="G109" s="3"/>
      <c r="H109" s="3"/>
      <c r="I109" s="3"/>
      <c r="J109" s="3"/>
      <c r="K109" s="3"/>
      <c r="L109" s="2"/>
      <c r="M109" s="2"/>
      <c r="N109" s="2"/>
      <c r="O109" s="2"/>
      <c r="P109" s="2"/>
      <c r="Q109" s="2"/>
      <c r="R109" s="2"/>
    </row>
    <row r="110">
      <c r="A110" s="3" t="s">
        <v>7</v>
      </c>
      <c r="B110" s="4">
        <v>109.0</v>
      </c>
      <c r="C110" s="3" t="s">
        <v>117</v>
      </c>
      <c r="D110" s="4">
        <v>12.0</v>
      </c>
      <c r="E110" s="4">
        <v>8.9895532E9</v>
      </c>
      <c r="F110" s="3"/>
      <c r="G110" s="3"/>
      <c r="H110" s="3"/>
      <c r="I110" s="3"/>
      <c r="J110" s="3"/>
      <c r="K110" s="3"/>
      <c r="L110" s="2"/>
      <c r="M110" s="2"/>
      <c r="N110" s="2"/>
      <c r="O110" s="2"/>
      <c r="P110" s="2"/>
      <c r="Q110" s="2"/>
      <c r="R110" s="2"/>
    </row>
    <row r="111">
      <c r="A111" s="3" t="s">
        <v>9</v>
      </c>
      <c r="B111" s="4">
        <v>110.0</v>
      </c>
      <c r="C111" s="3" t="s">
        <v>118</v>
      </c>
      <c r="D111" s="4">
        <v>25.0</v>
      </c>
      <c r="E111" s="4">
        <v>9.81955033E9</v>
      </c>
      <c r="F111" s="3"/>
      <c r="G111" s="3"/>
      <c r="H111" s="3"/>
      <c r="I111" s="3"/>
      <c r="J111" s="3"/>
      <c r="K111" s="3"/>
      <c r="L111" s="2"/>
      <c r="M111" s="2"/>
      <c r="N111" s="2"/>
      <c r="O111" s="2"/>
      <c r="P111" s="2"/>
      <c r="Q111" s="2"/>
      <c r="R111" s="2"/>
    </row>
    <row r="112">
      <c r="A112" s="3" t="s">
        <v>11</v>
      </c>
      <c r="B112" s="4">
        <v>111.0</v>
      </c>
      <c r="C112" s="3" t="s">
        <v>119</v>
      </c>
      <c r="D112" s="4">
        <v>27.0</v>
      </c>
      <c r="E112" s="4">
        <v>9.409284153E9</v>
      </c>
      <c r="F112" s="3"/>
      <c r="G112" s="3"/>
      <c r="H112" s="3"/>
      <c r="I112" s="3"/>
      <c r="J112" s="3"/>
      <c r="K112" s="3"/>
      <c r="L112" s="2"/>
      <c r="M112" s="2"/>
      <c r="N112" s="2"/>
      <c r="O112" s="2"/>
      <c r="P112" s="2"/>
      <c r="Q112" s="2"/>
      <c r="R112" s="2"/>
    </row>
    <row r="113">
      <c r="A113" s="3" t="s">
        <v>13</v>
      </c>
      <c r="B113" s="4">
        <v>112.0</v>
      </c>
      <c r="C113" s="3" t="s">
        <v>120</v>
      </c>
      <c r="D113" s="4">
        <v>23.0</v>
      </c>
      <c r="E113" s="4">
        <v>7.048433736E9</v>
      </c>
      <c r="F113" s="3"/>
      <c r="G113" s="3"/>
      <c r="H113" s="3"/>
      <c r="I113" s="3"/>
      <c r="J113" s="3"/>
      <c r="K113" s="3"/>
      <c r="L113" s="2"/>
      <c r="M113" s="2"/>
      <c r="N113" s="2"/>
      <c r="O113" s="2"/>
      <c r="P113" s="2"/>
      <c r="Q113" s="2"/>
      <c r="R113" s="2"/>
    </row>
    <row r="114">
      <c r="A114" s="3" t="s">
        <v>5</v>
      </c>
      <c r="B114" s="4">
        <v>113.0</v>
      </c>
      <c r="C114" s="3" t="s">
        <v>121</v>
      </c>
      <c r="D114" s="4">
        <v>21.0</v>
      </c>
      <c r="E114" s="4">
        <v>7.610523353E9</v>
      </c>
      <c r="F114" s="3"/>
      <c r="G114" s="3"/>
      <c r="H114" s="3"/>
      <c r="I114" s="3"/>
      <c r="J114" s="3"/>
      <c r="K114" s="3"/>
      <c r="L114" s="2"/>
      <c r="M114" s="2"/>
      <c r="N114" s="2"/>
      <c r="O114" s="2"/>
      <c r="P114" s="2"/>
      <c r="Q114" s="2"/>
      <c r="R114" s="2"/>
    </row>
    <row r="115">
      <c r="A115" s="3" t="s">
        <v>7</v>
      </c>
      <c r="B115" s="4">
        <v>114.0</v>
      </c>
      <c r="C115" s="3" t="s">
        <v>122</v>
      </c>
      <c r="D115" s="4">
        <v>20.0</v>
      </c>
      <c r="E115" s="4">
        <v>9.37325313E9</v>
      </c>
      <c r="F115" s="3"/>
      <c r="G115" s="3"/>
      <c r="H115" s="3"/>
      <c r="I115" s="3"/>
      <c r="J115" s="3"/>
      <c r="K115" s="3"/>
      <c r="L115" s="2"/>
      <c r="M115" s="2"/>
      <c r="N115" s="2"/>
      <c r="O115" s="2"/>
      <c r="P115" s="2"/>
      <c r="Q115" s="2"/>
      <c r="R115" s="2"/>
    </row>
    <row r="116">
      <c r="A116" s="3" t="s">
        <v>9</v>
      </c>
      <c r="B116" s="4">
        <v>115.0</v>
      </c>
      <c r="C116" s="6" t="s">
        <v>123</v>
      </c>
      <c r="D116" s="7">
        <v>28.0</v>
      </c>
      <c r="E116" s="7">
        <v>9.922780838E9</v>
      </c>
      <c r="F116" s="3"/>
      <c r="G116" s="3"/>
      <c r="H116" s="3"/>
      <c r="I116" s="3"/>
      <c r="J116" s="3"/>
      <c r="K116" s="3"/>
      <c r="L116" s="2"/>
      <c r="M116" s="2"/>
      <c r="N116" s="2"/>
      <c r="O116" s="2"/>
      <c r="P116" s="2"/>
      <c r="Q116" s="2"/>
      <c r="R116" s="2"/>
    </row>
    <row r="117">
      <c r="A117" s="3" t="s">
        <v>11</v>
      </c>
      <c r="B117" s="4">
        <v>116.0</v>
      </c>
      <c r="C117" s="3" t="s">
        <v>124</v>
      </c>
      <c r="D117" s="9">
        <v>16.0</v>
      </c>
      <c r="E117" s="4">
        <v>6.351438172E9</v>
      </c>
      <c r="F117" s="3"/>
      <c r="G117" s="3"/>
      <c r="H117" s="3"/>
      <c r="I117" s="3"/>
      <c r="J117" s="3"/>
      <c r="K117" s="3"/>
      <c r="L117" s="2"/>
      <c r="M117" s="2"/>
      <c r="N117" s="2"/>
      <c r="O117" s="2"/>
      <c r="P117" s="2"/>
      <c r="Q117" s="2"/>
      <c r="R117" s="2"/>
    </row>
    <row r="118">
      <c r="A118" s="3" t="s">
        <v>13</v>
      </c>
      <c r="B118" s="4">
        <v>117.0</v>
      </c>
      <c r="C118" s="3" t="s">
        <v>125</v>
      </c>
      <c r="D118" s="4">
        <v>18.0</v>
      </c>
      <c r="E118" s="4">
        <v>9.860017215E9</v>
      </c>
      <c r="F118" s="3"/>
      <c r="G118" s="3"/>
      <c r="H118" s="3"/>
      <c r="I118" s="3"/>
      <c r="J118" s="3"/>
      <c r="K118" s="3"/>
      <c r="L118" s="2"/>
      <c r="M118" s="2"/>
      <c r="N118" s="2"/>
      <c r="O118" s="2"/>
      <c r="P118" s="2"/>
      <c r="Q118" s="2"/>
      <c r="R118" s="2"/>
    </row>
    <row r="119">
      <c r="A119" s="3" t="s">
        <v>5</v>
      </c>
      <c r="B119" s="4">
        <v>118.0</v>
      </c>
      <c r="C119" s="3" t="s">
        <v>126</v>
      </c>
      <c r="D119" s="4">
        <v>21.0</v>
      </c>
      <c r="E119" s="4">
        <v>8.98325568E9</v>
      </c>
      <c r="F119" s="3"/>
      <c r="G119" s="3"/>
      <c r="H119" s="3"/>
      <c r="I119" s="3"/>
      <c r="J119" s="3"/>
      <c r="K119" s="3"/>
      <c r="L119" s="2"/>
      <c r="M119" s="2"/>
      <c r="N119" s="2"/>
      <c r="O119" s="2"/>
      <c r="P119" s="2"/>
      <c r="Q119" s="2"/>
      <c r="R119" s="2"/>
    </row>
    <row r="120">
      <c r="A120" s="3" t="s">
        <v>7</v>
      </c>
      <c r="B120" s="4">
        <v>119.0</v>
      </c>
      <c r="C120" s="3" t="s">
        <v>127</v>
      </c>
      <c r="D120" s="4">
        <v>34.0</v>
      </c>
      <c r="E120" s="4">
        <v>7.083919386E9</v>
      </c>
      <c r="F120" s="3"/>
      <c r="G120" s="3"/>
      <c r="H120" s="3"/>
      <c r="I120" s="3"/>
      <c r="J120" s="3"/>
      <c r="K120" s="3"/>
      <c r="L120" s="2"/>
      <c r="M120" s="2"/>
      <c r="N120" s="2"/>
      <c r="O120" s="2"/>
      <c r="P120" s="2"/>
      <c r="Q120" s="2"/>
      <c r="R120" s="2"/>
    </row>
    <row r="121">
      <c r="A121" s="3" t="s">
        <v>9</v>
      </c>
      <c r="B121" s="4">
        <v>120.0</v>
      </c>
      <c r="C121" s="3" t="s">
        <v>128</v>
      </c>
      <c r="D121" s="4">
        <v>20.0</v>
      </c>
      <c r="E121" s="4">
        <v>7.021206044E9</v>
      </c>
      <c r="F121" s="3"/>
      <c r="G121" s="3"/>
      <c r="H121" s="3"/>
      <c r="I121" s="3"/>
      <c r="J121" s="3"/>
      <c r="K121" s="3"/>
      <c r="L121" s="2"/>
      <c r="M121" s="2"/>
      <c r="N121" s="2"/>
      <c r="O121" s="2"/>
      <c r="P121" s="2"/>
      <c r="Q121" s="2"/>
      <c r="R121" s="2"/>
    </row>
    <row r="122">
      <c r="A122" s="3" t="s">
        <v>11</v>
      </c>
      <c r="B122" s="4">
        <v>121.0</v>
      </c>
      <c r="C122" s="3" t="s">
        <v>129</v>
      </c>
      <c r="D122" s="4">
        <v>21.0</v>
      </c>
      <c r="E122" s="4">
        <v>9.372349973E9</v>
      </c>
      <c r="F122" s="3"/>
      <c r="G122" s="3"/>
      <c r="H122" s="3"/>
      <c r="I122" s="3"/>
      <c r="J122" s="3"/>
      <c r="K122" s="3"/>
      <c r="L122" s="2"/>
      <c r="M122" s="2"/>
      <c r="N122" s="2"/>
      <c r="O122" s="2"/>
      <c r="P122" s="2"/>
      <c r="Q122" s="2"/>
      <c r="R122" s="2"/>
    </row>
    <row r="123">
      <c r="A123" s="3" t="s">
        <v>13</v>
      </c>
      <c r="B123" s="4">
        <v>122.0</v>
      </c>
      <c r="C123" s="3" t="s">
        <v>130</v>
      </c>
      <c r="D123" s="4">
        <v>20.0</v>
      </c>
      <c r="E123" s="9">
        <v>7.38976173E9</v>
      </c>
      <c r="F123" s="3"/>
      <c r="G123" s="3"/>
      <c r="H123" s="3"/>
      <c r="I123" s="3"/>
      <c r="J123" s="3"/>
      <c r="K123" s="3"/>
      <c r="L123" s="2"/>
      <c r="M123" s="2"/>
      <c r="N123" s="2"/>
      <c r="O123" s="2"/>
      <c r="P123" s="2"/>
      <c r="Q123" s="2"/>
      <c r="R123" s="2"/>
    </row>
    <row r="124">
      <c r="A124" s="3" t="s">
        <v>5</v>
      </c>
      <c r="B124" s="4">
        <v>123.0</v>
      </c>
      <c r="C124" s="3" t="s">
        <v>131</v>
      </c>
      <c r="D124" s="4">
        <v>32.0</v>
      </c>
      <c r="E124" s="4">
        <v>9.30513909E9</v>
      </c>
      <c r="F124" s="3"/>
      <c r="G124" s="3"/>
      <c r="H124" s="3"/>
      <c r="I124" s="3"/>
      <c r="J124" s="3"/>
      <c r="K124" s="3"/>
      <c r="L124" s="2"/>
      <c r="M124" s="2"/>
      <c r="N124" s="2"/>
      <c r="O124" s="2"/>
      <c r="P124" s="2"/>
      <c r="Q124" s="2"/>
      <c r="R124" s="2"/>
    </row>
    <row r="125">
      <c r="A125" s="3" t="s">
        <v>7</v>
      </c>
      <c r="B125" s="4">
        <v>124.0</v>
      </c>
      <c r="C125" s="3" t="s">
        <v>132</v>
      </c>
      <c r="D125" s="4">
        <v>33.0</v>
      </c>
      <c r="E125" s="9">
        <v>8.905492464E9</v>
      </c>
      <c r="F125" s="3"/>
      <c r="G125" s="3"/>
      <c r="H125" s="3"/>
      <c r="I125" s="3"/>
      <c r="J125" s="3"/>
      <c r="K125" s="3"/>
      <c r="L125" s="2"/>
      <c r="M125" s="2"/>
      <c r="N125" s="2"/>
      <c r="O125" s="2"/>
      <c r="P125" s="2"/>
      <c r="Q125" s="2"/>
      <c r="R125" s="2"/>
    </row>
    <row r="126">
      <c r="A126" s="3" t="s">
        <v>9</v>
      </c>
      <c r="B126" s="4">
        <v>125.0</v>
      </c>
      <c r="C126" s="3" t="s">
        <v>133</v>
      </c>
      <c r="D126" s="4">
        <v>14.0</v>
      </c>
      <c r="E126" s="4">
        <v>7.977736076E9</v>
      </c>
      <c r="F126" s="3"/>
      <c r="G126" s="3"/>
      <c r="H126" s="3"/>
      <c r="I126" s="3"/>
      <c r="J126" s="3"/>
      <c r="K126" s="3"/>
      <c r="L126" s="2"/>
      <c r="M126" s="2"/>
      <c r="N126" s="2"/>
      <c r="O126" s="2"/>
      <c r="P126" s="2"/>
      <c r="Q126" s="2"/>
      <c r="R126" s="2"/>
    </row>
    <row r="127">
      <c r="A127" s="3" t="s">
        <v>11</v>
      </c>
      <c r="B127" s="4">
        <v>126.0</v>
      </c>
      <c r="C127" s="6" t="s">
        <v>134</v>
      </c>
      <c r="D127" s="7">
        <v>19.0</v>
      </c>
      <c r="E127" s="7">
        <v>9.981317839E9</v>
      </c>
      <c r="F127" s="3"/>
      <c r="G127" s="3"/>
      <c r="H127" s="3"/>
      <c r="I127" s="3"/>
      <c r="J127" s="3"/>
      <c r="K127" s="3"/>
      <c r="L127" s="2"/>
      <c r="M127" s="2"/>
      <c r="N127" s="2"/>
      <c r="O127" s="2"/>
      <c r="P127" s="2"/>
      <c r="Q127" s="2"/>
      <c r="R127" s="2"/>
    </row>
    <row r="128">
      <c r="A128" s="3" t="s">
        <v>13</v>
      </c>
      <c r="B128" s="4">
        <v>127.0</v>
      </c>
      <c r="C128" s="3" t="s">
        <v>135</v>
      </c>
      <c r="D128" s="4">
        <v>18.0</v>
      </c>
      <c r="E128" s="4">
        <v>8.591612066E9</v>
      </c>
      <c r="F128" s="3"/>
      <c r="G128" s="3"/>
      <c r="H128" s="3"/>
      <c r="I128" s="3"/>
      <c r="J128" s="3"/>
      <c r="K128" s="3"/>
      <c r="L128" s="2"/>
      <c r="M128" s="2"/>
      <c r="N128" s="2"/>
      <c r="O128" s="2"/>
      <c r="P128" s="2"/>
      <c r="Q128" s="2"/>
      <c r="R128" s="2"/>
    </row>
    <row r="129">
      <c r="A129" s="3" t="s">
        <v>5</v>
      </c>
      <c r="B129" s="4">
        <v>128.0</v>
      </c>
      <c r="C129" s="6" t="s">
        <v>136</v>
      </c>
      <c r="D129" s="7">
        <v>36.0</v>
      </c>
      <c r="E129" s="7">
        <v>9.819232174E9</v>
      </c>
      <c r="F129" s="3"/>
      <c r="G129" s="3"/>
      <c r="H129" s="3"/>
      <c r="I129" s="3"/>
      <c r="J129" s="3"/>
      <c r="K129" s="3"/>
      <c r="L129" s="2"/>
      <c r="M129" s="2"/>
      <c r="N129" s="2"/>
      <c r="O129" s="2"/>
      <c r="P129" s="2"/>
      <c r="Q129" s="2"/>
      <c r="R129" s="2"/>
    </row>
    <row r="130">
      <c r="A130" s="3" t="s">
        <v>7</v>
      </c>
      <c r="B130" s="4">
        <v>129.0</v>
      </c>
      <c r="C130" s="3" t="s">
        <v>137</v>
      </c>
      <c r="D130" s="4">
        <v>19.0</v>
      </c>
      <c r="E130" s="4">
        <v>9.226953266E9</v>
      </c>
      <c r="F130" s="3"/>
      <c r="G130" s="3"/>
      <c r="H130" s="3"/>
      <c r="I130" s="3"/>
      <c r="J130" s="3"/>
      <c r="K130" s="3"/>
      <c r="L130" s="2"/>
      <c r="M130" s="2"/>
      <c r="N130" s="2"/>
      <c r="O130" s="2"/>
      <c r="P130" s="2"/>
      <c r="Q130" s="2"/>
      <c r="R130" s="2"/>
    </row>
    <row r="131">
      <c r="A131" s="3" t="s">
        <v>9</v>
      </c>
      <c r="B131" s="4">
        <v>130.0</v>
      </c>
      <c r="C131" s="3" t="s">
        <v>138</v>
      </c>
      <c r="D131" s="4">
        <v>20.0</v>
      </c>
      <c r="E131" s="4">
        <v>7.044140827E9</v>
      </c>
      <c r="F131" s="3"/>
      <c r="G131" s="3"/>
      <c r="H131" s="3"/>
      <c r="I131" s="3"/>
      <c r="J131" s="3"/>
      <c r="K131" s="3"/>
      <c r="L131" s="2"/>
      <c r="M131" s="2"/>
      <c r="N131" s="2"/>
      <c r="O131" s="2"/>
      <c r="P131" s="2"/>
      <c r="Q131" s="2"/>
      <c r="R131" s="2"/>
    </row>
    <row r="132">
      <c r="A132" s="3" t="s">
        <v>11</v>
      </c>
      <c r="B132" s="4">
        <v>131.0</v>
      </c>
      <c r="C132" s="6" t="s">
        <v>139</v>
      </c>
      <c r="D132" s="7">
        <v>17.0</v>
      </c>
      <c r="E132" s="7">
        <v>9.243587307E9</v>
      </c>
      <c r="F132" s="3"/>
      <c r="G132" s="3"/>
      <c r="H132" s="3"/>
      <c r="I132" s="3"/>
      <c r="J132" s="3"/>
      <c r="K132" s="3"/>
      <c r="L132" s="2"/>
      <c r="M132" s="2"/>
      <c r="N132" s="2"/>
      <c r="O132" s="2"/>
      <c r="P132" s="2"/>
      <c r="Q132" s="2"/>
      <c r="R132" s="2"/>
    </row>
    <row r="133">
      <c r="A133" s="3" t="s">
        <v>13</v>
      </c>
      <c r="B133" s="4">
        <v>132.0</v>
      </c>
      <c r="C133" s="6" t="s">
        <v>140</v>
      </c>
      <c r="D133" s="7">
        <v>20.0</v>
      </c>
      <c r="E133" s="7">
        <v>7.999596387E9</v>
      </c>
      <c r="F133" s="3"/>
      <c r="G133" s="3"/>
      <c r="H133" s="3"/>
      <c r="I133" s="3"/>
      <c r="J133" s="3"/>
      <c r="K133" s="3"/>
      <c r="L133" s="2"/>
      <c r="M133" s="2"/>
      <c r="N133" s="2"/>
      <c r="O133" s="2"/>
      <c r="P133" s="2"/>
      <c r="Q133" s="2"/>
      <c r="R133" s="2"/>
    </row>
    <row r="134">
      <c r="A134" s="3" t="s">
        <v>5</v>
      </c>
      <c r="B134" s="4">
        <v>133.0</v>
      </c>
      <c r="C134" s="3" t="s">
        <v>141</v>
      </c>
      <c r="D134" s="4">
        <v>24.0</v>
      </c>
      <c r="E134" s="4">
        <v>6.362178053E9</v>
      </c>
      <c r="F134" s="3"/>
      <c r="G134" s="3"/>
      <c r="H134" s="3"/>
      <c r="I134" s="3"/>
      <c r="J134" s="3"/>
      <c r="K134" s="3"/>
      <c r="L134" s="2"/>
      <c r="M134" s="2"/>
      <c r="N134" s="2"/>
      <c r="O134" s="2"/>
      <c r="P134" s="2"/>
      <c r="Q134" s="2"/>
      <c r="R134" s="2"/>
    </row>
    <row r="135">
      <c r="A135" s="3" t="s">
        <v>7</v>
      </c>
      <c r="B135" s="4">
        <v>134.0</v>
      </c>
      <c r="C135" s="3" t="s">
        <v>142</v>
      </c>
      <c r="D135" s="4">
        <v>18.0</v>
      </c>
      <c r="E135" s="4">
        <v>8.629924442E9</v>
      </c>
      <c r="F135" s="3"/>
      <c r="G135" s="3"/>
      <c r="H135" s="3"/>
      <c r="I135" s="3"/>
      <c r="J135" s="3"/>
      <c r="K135" s="3"/>
      <c r="L135" s="2"/>
      <c r="M135" s="2"/>
      <c r="N135" s="2"/>
      <c r="O135" s="2"/>
      <c r="P135" s="2"/>
      <c r="Q135" s="2"/>
      <c r="R135" s="2"/>
    </row>
    <row r="136">
      <c r="A136" s="3" t="s">
        <v>9</v>
      </c>
      <c r="B136" s="4">
        <v>135.0</v>
      </c>
      <c r="C136" s="3" t="s">
        <v>143</v>
      </c>
      <c r="D136" s="4">
        <v>18.0</v>
      </c>
      <c r="E136" s="4">
        <v>8.92811204E9</v>
      </c>
      <c r="F136" s="3"/>
      <c r="G136" s="3"/>
      <c r="H136" s="3"/>
      <c r="I136" s="3"/>
      <c r="J136" s="3"/>
      <c r="K136" s="3"/>
      <c r="L136" s="2"/>
      <c r="M136" s="2"/>
      <c r="N136" s="2"/>
      <c r="O136" s="2"/>
      <c r="P136" s="2"/>
      <c r="Q136" s="2"/>
      <c r="R136" s="2"/>
    </row>
    <row r="137">
      <c r="A137" s="3" t="s">
        <v>11</v>
      </c>
      <c r="B137" s="4">
        <v>136.0</v>
      </c>
      <c r="C137" s="3" t="s">
        <v>144</v>
      </c>
      <c r="D137" s="4">
        <v>25.0</v>
      </c>
      <c r="E137" s="4">
        <v>7.229078357E9</v>
      </c>
      <c r="F137" s="3"/>
      <c r="G137" s="3"/>
      <c r="H137" s="3"/>
      <c r="I137" s="3"/>
      <c r="J137" s="3"/>
      <c r="K137" s="3"/>
      <c r="L137" s="2"/>
      <c r="M137" s="2"/>
      <c r="N137" s="2"/>
      <c r="O137" s="2"/>
      <c r="P137" s="2"/>
      <c r="Q137" s="2"/>
      <c r="R137" s="2"/>
    </row>
    <row r="138">
      <c r="A138" s="3" t="s">
        <v>13</v>
      </c>
      <c r="B138" s="4">
        <v>137.0</v>
      </c>
      <c r="C138" s="3" t="s">
        <v>145</v>
      </c>
      <c r="D138" s="4">
        <v>24.0</v>
      </c>
      <c r="E138" s="4">
        <v>9.307470864E9</v>
      </c>
      <c r="F138" s="3"/>
      <c r="G138" s="3"/>
      <c r="H138" s="3"/>
      <c r="I138" s="3"/>
      <c r="J138" s="3"/>
      <c r="K138" s="3"/>
      <c r="L138" s="2"/>
      <c r="M138" s="2"/>
      <c r="N138" s="2"/>
      <c r="O138" s="2"/>
      <c r="P138" s="2"/>
      <c r="Q138" s="2"/>
      <c r="R138" s="2"/>
    </row>
    <row r="139">
      <c r="A139" s="3" t="s">
        <v>5</v>
      </c>
      <c r="B139" s="4">
        <v>138.0</v>
      </c>
      <c r="C139" s="3" t="s">
        <v>146</v>
      </c>
      <c r="D139" s="3"/>
      <c r="E139" s="4">
        <v>9.945530782E9</v>
      </c>
      <c r="F139" s="3"/>
      <c r="G139" s="3"/>
      <c r="H139" s="3"/>
      <c r="I139" s="3"/>
      <c r="J139" s="3"/>
      <c r="K139" s="3"/>
      <c r="L139" s="2"/>
      <c r="M139" s="2"/>
      <c r="N139" s="2"/>
      <c r="O139" s="2"/>
      <c r="P139" s="2"/>
      <c r="Q139" s="2"/>
      <c r="R139" s="2"/>
    </row>
    <row r="140">
      <c r="A140" s="3" t="s">
        <v>7</v>
      </c>
      <c r="B140" s="4">
        <v>139.0</v>
      </c>
      <c r="C140" s="6" t="s">
        <v>147</v>
      </c>
      <c r="D140" s="7">
        <v>23.0</v>
      </c>
      <c r="E140" s="7">
        <v>8.32948411E9</v>
      </c>
      <c r="F140" s="3"/>
      <c r="G140" s="3"/>
      <c r="H140" s="3"/>
      <c r="I140" s="3"/>
      <c r="J140" s="3"/>
      <c r="K140" s="3"/>
      <c r="L140" s="2"/>
      <c r="M140" s="2"/>
      <c r="N140" s="2"/>
      <c r="O140" s="2"/>
      <c r="P140" s="2"/>
      <c r="Q140" s="2"/>
      <c r="R140" s="2"/>
    </row>
    <row r="141">
      <c r="A141" s="3" t="s">
        <v>9</v>
      </c>
      <c r="B141" s="4">
        <v>140.0</v>
      </c>
      <c r="C141" s="3" t="s">
        <v>148</v>
      </c>
      <c r="D141" s="4">
        <v>19.0</v>
      </c>
      <c r="E141" s="4">
        <v>7.738816905E9</v>
      </c>
      <c r="F141" s="3"/>
      <c r="G141" s="3"/>
      <c r="H141" s="3"/>
      <c r="I141" s="3"/>
      <c r="J141" s="3"/>
      <c r="K141" s="3"/>
      <c r="L141" s="2"/>
      <c r="M141" s="2"/>
      <c r="N141" s="2"/>
      <c r="O141" s="2"/>
      <c r="P141" s="2"/>
      <c r="Q141" s="2"/>
      <c r="R141" s="2"/>
    </row>
    <row r="142">
      <c r="A142" s="3" t="s">
        <v>11</v>
      </c>
      <c r="B142" s="4">
        <v>141.0</v>
      </c>
      <c r="C142" s="3" t="s">
        <v>149</v>
      </c>
      <c r="D142" s="4">
        <v>20.0</v>
      </c>
      <c r="E142" s="4">
        <v>7.620017594E9</v>
      </c>
      <c r="F142" s="3"/>
      <c r="G142" s="3"/>
      <c r="H142" s="3"/>
      <c r="I142" s="3"/>
      <c r="J142" s="3"/>
      <c r="K142" s="3"/>
      <c r="L142" s="2"/>
      <c r="M142" s="2"/>
      <c r="N142" s="2"/>
      <c r="O142" s="2"/>
      <c r="P142" s="2"/>
      <c r="Q142" s="2"/>
      <c r="R142" s="2"/>
    </row>
    <row r="143">
      <c r="A143" s="3" t="s">
        <v>13</v>
      </c>
      <c r="B143" s="4">
        <v>142.0</v>
      </c>
      <c r="C143" s="3" t="s">
        <v>150</v>
      </c>
      <c r="D143" s="4">
        <v>16.0</v>
      </c>
      <c r="E143" s="4">
        <v>6.359088721E9</v>
      </c>
      <c r="F143" s="3"/>
      <c r="G143" s="3"/>
      <c r="H143" s="3"/>
      <c r="I143" s="3"/>
      <c r="J143" s="3"/>
      <c r="K143" s="3"/>
      <c r="L143" s="2"/>
      <c r="M143" s="2"/>
      <c r="N143" s="2"/>
      <c r="O143" s="2"/>
      <c r="P143" s="2"/>
      <c r="Q143" s="2"/>
      <c r="R143" s="2"/>
    </row>
    <row r="144">
      <c r="A144" s="3" t="s">
        <v>5</v>
      </c>
      <c r="B144" s="4">
        <v>143.0</v>
      </c>
      <c r="C144" s="3" t="s">
        <v>151</v>
      </c>
      <c r="D144" s="4">
        <v>20.0</v>
      </c>
      <c r="E144" s="4">
        <v>7.058720481E9</v>
      </c>
      <c r="F144" s="3"/>
      <c r="G144" s="3"/>
      <c r="H144" s="3"/>
      <c r="I144" s="3"/>
      <c r="J144" s="3"/>
      <c r="K144" s="3"/>
      <c r="L144" s="2"/>
      <c r="M144" s="2"/>
      <c r="N144" s="2"/>
      <c r="O144" s="2"/>
      <c r="P144" s="2"/>
      <c r="Q144" s="2"/>
      <c r="R144" s="2"/>
    </row>
    <row r="145">
      <c r="A145" s="3" t="s">
        <v>7</v>
      </c>
      <c r="B145" s="4">
        <v>144.0</v>
      </c>
      <c r="C145" s="3" t="s">
        <v>152</v>
      </c>
      <c r="D145" s="4">
        <v>18.0</v>
      </c>
      <c r="E145" s="4">
        <v>9.529152039E9</v>
      </c>
      <c r="F145" s="3"/>
      <c r="G145" s="3"/>
      <c r="H145" s="3"/>
      <c r="I145" s="3"/>
      <c r="J145" s="3"/>
      <c r="K145" s="3"/>
      <c r="L145" s="2"/>
      <c r="M145" s="2"/>
      <c r="N145" s="2"/>
      <c r="O145" s="2"/>
      <c r="P145" s="2"/>
      <c r="Q145" s="2"/>
      <c r="R145" s="2"/>
    </row>
    <row r="146">
      <c r="A146" s="3" t="s">
        <v>9</v>
      </c>
      <c r="B146" s="4">
        <v>145.0</v>
      </c>
      <c r="C146" s="3" t="s">
        <v>153</v>
      </c>
      <c r="D146" s="4">
        <v>18.0</v>
      </c>
      <c r="E146" s="4">
        <v>9.819472008E9</v>
      </c>
      <c r="F146" s="3"/>
      <c r="G146" s="3"/>
      <c r="H146" s="3"/>
      <c r="I146" s="3"/>
      <c r="J146" s="3"/>
      <c r="K146" s="3"/>
      <c r="L146" s="2"/>
      <c r="M146" s="2"/>
      <c r="N146" s="2"/>
      <c r="O146" s="2"/>
      <c r="P146" s="2"/>
      <c r="Q146" s="2"/>
      <c r="R146" s="2"/>
    </row>
    <row r="147">
      <c r="A147" s="3" t="s">
        <v>11</v>
      </c>
      <c r="B147" s="4">
        <v>146.0</v>
      </c>
      <c r="C147" s="3" t="s">
        <v>154</v>
      </c>
      <c r="D147" s="4">
        <v>34.0</v>
      </c>
      <c r="E147" s="4">
        <v>9.665767408E9</v>
      </c>
      <c r="F147" s="3"/>
      <c r="G147" s="3"/>
      <c r="H147" s="3"/>
      <c r="I147" s="3"/>
      <c r="J147" s="3"/>
      <c r="K147" s="3"/>
      <c r="L147" s="2"/>
      <c r="M147" s="2"/>
      <c r="N147" s="2"/>
      <c r="O147" s="2"/>
      <c r="P147" s="2"/>
      <c r="Q147" s="2"/>
      <c r="R147" s="2"/>
    </row>
    <row r="148">
      <c r="A148" s="3" t="s">
        <v>13</v>
      </c>
      <c r="B148" s="4">
        <v>147.0</v>
      </c>
      <c r="C148" s="3" t="s">
        <v>155</v>
      </c>
      <c r="D148" s="4">
        <v>25.0</v>
      </c>
      <c r="E148" s="4">
        <v>7.697747478E9</v>
      </c>
      <c r="F148" s="3"/>
      <c r="G148" s="3"/>
      <c r="H148" s="3"/>
      <c r="I148" s="3"/>
      <c r="J148" s="3"/>
      <c r="K148" s="3"/>
      <c r="L148" s="2"/>
      <c r="M148" s="2"/>
      <c r="N148" s="2"/>
      <c r="O148" s="2"/>
      <c r="P148" s="2"/>
      <c r="Q148" s="2"/>
      <c r="R148" s="2"/>
    </row>
    <row r="149">
      <c r="A149" s="3" t="s">
        <v>5</v>
      </c>
      <c r="B149" s="4">
        <v>148.0</v>
      </c>
      <c r="C149" s="3" t="s">
        <v>156</v>
      </c>
      <c r="D149" s="4">
        <v>25.0</v>
      </c>
      <c r="E149" s="4">
        <v>7.413946654E9</v>
      </c>
      <c r="F149" s="3"/>
      <c r="G149" s="3"/>
      <c r="H149" s="3"/>
      <c r="I149" s="3"/>
      <c r="J149" s="3"/>
      <c r="K149" s="3"/>
      <c r="L149" s="2"/>
      <c r="M149" s="2"/>
      <c r="N149" s="2"/>
      <c r="O149" s="2"/>
      <c r="P149" s="2"/>
      <c r="Q149" s="2"/>
      <c r="R149" s="2"/>
    </row>
    <row r="150">
      <c r="A150" s="3" t="s">
        <v>9</v>
      </c>
      <c r="B150" s="4">
        <v>149.0</v>
      </c>
      <c r="C150" s="6" t="s">
        <v>157</v>
      </c>
      <c r="D150" s="3"/>
      <c r="E150" s="7">
        <v>9.429920123E9</v>
      </c>
      <c r="F150" s="3"/>
      <c r="G150" s="3"/>
      <c r="H150" s="3"/>
      <c r="I150" s="3"/>
      <c r="J150" s="3"/>
      <c r="K150" s="3"/>
      <c r="L150" s="2"/>
      <c r="M150" s="2"/>
      <c r="N150" s="2"/>
      <c r="O150" s="2"/>
      <c r="P150" s="2"/>
      <c r="Q150" s="2"/>
      <c r="R150" s="2"/>
    </row>
    <row r="151">
      <c r="A151" s="3" t="s">
        <v>11</v>
      </c>
      <c r="B151" s="4">
        <v>150.0</v>
      </c>
      <c r="C151" s="3" t="s">
        <v>158</v>
      </c>
      <c r="D151" s="4">
        <v>20.0</v>
      </c>
      <c r="E151" s="4">
        <v>9.967843292E9</v>
      </c>
      <c r="F151" s="3"/>
      <c r="G151" s="3"/>
      <c r="H151" s="3"/>
      <c r="I151" s="3"/>
      <c r="J151" s="3"/>
      <c r="K151" s="3"/>
      <c r="L151" s="2"/>
      <c r="M151" s="2"/>
      <c r="N151" s="2"/>
      <c r="O151" s="2"/>
      <c r="P151" s="2"/>
      <c r="Q151" s="2"/>
      <c r="R151" s="2"/>
    </row>
    <row r="152">
      <c r="A152" s="3" t="s">
        <v>5</v>
      </c>
      <c r="B152" s="4">
        <v>151.0</v>
      </c>
      <c r="C152" s="3" t="s">
        <v>159</v>
      </c>
      <c r="D152" s="4">
        <v>20.0</v>
      </c>
      <c r="E152" s="4">
        <v>8.225804777E9</v>
      </c>
      <c r="F152" s="3"/>
      <c r="G152" s="3"/>
      <c r="H152" s="3"/>
      <c r="I152" s="3"/>
      <c r="J152" s="3"/>
      <c r="K152" s="3"/>
      <c r="L152" s="2"/>
      <c r="M152" s="2"/>
      <c r="N152" s="2"/>
      <c r="O152" s="2"/>
      <c r="P152" s="2"/>
      <c r="Q152" s="2"/>
      <c r="R152" s="2"/>
    </row>
    <row r="153">
      <c r="A153" s="3" t="s">
        <v>7</v>
      </c>
      <c r="B153" s="4">
        <v>152.0</v>
      </c>
      <c r="C153" s="3" t="s">
        <v>160</v>
      </c>
      <c r="D153" s="4">
        <v>25.0</v>
      </c>
      <c r="E153" s="4">
        <v>8.056449801E9</v>
      </c>
      <c r="F153" s="3"/>
      <c r="G153" s="3"/>
      <c r="H153" s="3"/>
      <c r="I153" s="3"/>
      <c r="J153" s="3"/>
      <c r="K153" s="3"/>
      <c r="L153" s="2"/>
      <c r="M153" s="2"/>
      <c r="N153" s="2"/>
      <c r="O153" s="2"/>
      <c r="P153" s="2"/>
      <c r="Q153" s="2"/>
      <c r="R153" s="2"/>
    </row>
    <row r="154">
      <c r="A154" s="3" t="s">
        <v>9</v>
      </c>
      <c r="B154" s="4">
        <v>153.0</v>
      </c>
      <c r="C154" s="3" t="s">
        <v>161</v>
      </c>
      <c r="D154" s="4">
        <v>17.0</v>
      </c>
      <c r="E154" s="4">
        <v>7.228962277E9</v>
      </c>
      <c r="F154" s="3"/>
      <c r="G154" s="3"/>
      <c r="H154" s="3"/>
      <c r="I154" s="3"/>
      <c r="J154" s="3"/>
      <c r="K154" s="3"/>
      <c r="L154" s="2"/>
      <c r="M154" s="2"/>
      <c r="N154" s="2"/>
      <c r="O154" s="2"/>
      <c r="P154" s="2"/>
      <c r="Q154" s="2"/>
      <c r="R154" s="2"/>
    </row>
    <row r="155">
      <c r="A155" s="3" t="s">
        <v>11</v>
      </c>
      <c r="B155" s="4">
        <v>154.0</v>
      </c>
      <c r="C155" s="6" t="s">
        <v>162</v>
      </c>
      <c r="D155" s="7">
        <v>17.0</v>
      </c>
      <c r="E155" s="7">
        <v>9.424074711E9</v>
      </c>
      <c r="F155" s="3"/>
      <c r="G155" s="3"/>
      <c r="H155" s="3"/>
      <c r="I155" s="3"/>
      <c r="J155" s="3"/>
      <c r="K155" s="3"/>
      <c r="L155" s="2"/>
      <c r="M155" s="2"/>
      <c r="N155" s="2"/>
      <c r="O155" s="2"/>
      <c r="P155" s="2"/>
      <c r="Q155" s="2"/>
      <c r="R155" s="2"/>
    </row>
    <row r="156">
      <c r="A156" s="3" t="s">
        <v>5</v>
      </c>
      <c r="B156" s="4">
        <v>155.0</v>
      </c>
      <c r="C156" s="3" t="s">
        <v>163</v>
      </c>
      <c r="D156" s="4">
        <v>28.0</v>
      </c>
      <c r="E156" s="4">
        <v>8.286244587E9</v>
      </c>
      <c r="F156" s="3"/>
      <c r="G156" s="3"/>
      <c r="H156" s="3"/>
      <c r="I156" s="3"/>
      <c r="J156" s="3"/>
      <c r="K156" s="3"/>
      <c r="L156" s="2"/>
      <c r="M156" s="2"/>
      <c r="N156" s="2"/>
      <c r="O156" s="2"/>
      <c r="P156" s="2"/>
      <c r="Q156" s="2"/>
      <c r="R156" s="2"/>
    </row>
    <row r="157">
      <c r="A157" s="3" t="s">
        <v>7</v>
      </c>
      <c r="B157" s="4">
        <v>156.0</v>
      </c>
      <c r="C157" s="3" t="s">
        <v>164</v>
      </c>
      <c r="D157" s="4">
        <v>33.0</v>
      </c>
      <c r="E157" s="4">
        <v>9.980645101E9</v>
      </c>
      <c r="F157" s="3"/>
      <c r="G157" s="3"/>
      <c r="H157" s="3"/>
      <c r="I157" s="3"/>
      <c r="J157" s="3"/>
      <c r="K157" s="3"/>
      <c r="L157" s="2"/>
      <c r="M157" s="2"/>
      <c r="N157" s="2"/>
      <c r="O157" s="2"/>
      <c r="P157" s="2"/>
      <c r="Q157" s="2"/>
      <c r="R157" s="2"/>
    </row>
    <row r="158">
      <c r="A158" s="3" t="s">
        <v>11</v>
      </c>
      <c r="B158" s="4">
        <v>157.0</v>
      </c>
      <c r="C158" s="3" t="s">
        <v>165</v>
      </c>
      <c r="D158" s="4">
        <v>17.0</v>
      </c>
      <c r="E158" s="4">
        <v>9.4606688E9</v>
      </c>
      <c r="F158" s="3"/>
      <c r="G158" s="3"/>
      <c r="H158" s="3"/>
      <c r="I158" s="3"/>
      <c r="J158" s="3"/>
      <c r="K158" s="3"/>
      <c r="L158" s="2"/>
      <c r="M158" s="2"/>
      <c r="N158" s="2"/>
      <c r="O158" s="2"/>
      <c r="P158" s="2"/>
      <c r="Q158" s="2"/>
      <c r="R158" s="2"/>
    </row>
    <row r="159">
      <c r="A159" s="3" t="s">
        <v>13</v>
      </c>
      <c r="B159" s="4">
        <v>158.0</v>
      </c>
      <c r="C159" s="3" t="s">
        <v>166</v>
      </c>
      <c r="D159" s="4">
        <v>23.0</v>
      </c>
      <c r="E159" s="4">
        <v>9.285005008E9</v>
      </c>
      <c r="F159" s="3"/>
      <c r="G159" s="3"/>
      <c r="H159" s="3"/>
      <c r="I159" s="3"/>
      <c r="J159" s="3"/>
      <c r="K159" s="3"/>
      <c r="L159" s="2"/>
      <c r="M159" s="2"/>
      <c r="N159" s="2"/>
      <c r="O159" s="2"/>
      <c r="P159" s="2"/>
      <c r="Q159" s="2"/>
      <c r="R159" s="2"/>
    </row>
    <row r="160">
      <c r="A160" s="3" t="s">
        <v>5</v>
      </c>
      <c r="B160" s="4">
        <v>159.0</v>
      </c>
      <c r="C160" s="3" t="s">
        <v>167</v>
      </c>
      <c r="D160" s="4">
        <v>22.0</v>
      </c>
      <c r="E160" s="4">
        <v>8.839176432E9</v>
      </c>
      <c r="F160" s="3"/>
      <c r="G160" s="3"/>
      <c r="H160" s="3"/>
      <c r="I160" s="3"/>
      <c r="J160" s="3"/>
      <c r="K160" s="3"/>
      <c r="L160" s="2"/>
      <c r="M160" s="2"/>
      <c r="N160" s="2"/>
      <c r="O160" s="2"/>
      <c r="P160" s="2"/>
      <c r="Q160" s="2"/>
      <c r="R160" s="2"/>
    </row>
    <row r="161">
      <c r="A161" s="3" t="s">
        <v>7</v>
      </c>
      <c r="B161" s="4">
        <v>160.0</v>
      </c>
      <c r="C161" s="6" t="s">
        <v>168</v>
      </c>
      <c r="D161" s="7">
        <v>21.0</v>
      </c>
      <c r="E161" s="7">
        <v>8.169751698E9</v>
      </c>
      <c r="F161" s="3"/>
      <c r="G161" s="3"/>
      <c r="H161" s="3"/>
      <c r="I161" s="3"/>
      <c r="J161" s="3"/>
      <c r="K161" s="3"/>
      <c r="L161" s="2"/>
      <c r="M161" s="2"/>
      <c r="N161" s="2"/>
      <c r="O161" s="2"/>
      <c r="P161" s="2"/>
      <c r="Q161" s="2"/>
      <c r="R161" s="2"/>
    </row>
    <row r="162">
      <c r="A162" s="3" t="s">
        <v>9</v>
      </c>
      <c r="B162" s="4">
        <v>161.0</v>
      </c>
      <c r="C162" s="6" t="s">
        <v>169</v>
      </c>
      <c r="D162" s="7">
        <v>22.0</v>
      </c>
      <c r="E162" s="7">
        <v>9.819737336E9</v>
      </c>
      <c r="F162" s="3"/>
      <c r="G162" s="3"/>
      <c r="H162" s="3"/>
      <c r="I162" s="3"/>
      <c r="J162" s="3"/>
      <c r="K162" s="3"/>
      <c r="L162" s="2"/>
      <c r="M162" s="2"/>
      <c r="N162" s="2"/>
      <c r="O162" s="2"/>
      <c r="P162" s="2"/>
      <c r="Q162" s="2"/>
      <c r="R162" s="2"/>
    </row>
    <row r="163">
      <c r="A163" s="3" t="s">
        <v>13</v>
      </c>
      <c r="B163" s="4">
        <v>162.0</v>
      </c>
      <c r="C163" s="3" t="s">
        <v>170</v>
      </c>
      <c r="D163" s="4">
        <v>19.0</v>
      </c>
      <c r="E163" s="4">
        <v>9.109826847E9</v>
      </c>
      <c r="F163" s="3"/>
      <c r="G163" s="3"/>
      <c r="H163" s="3"/>
      <c r="I163" s="3"/>
      <c r="J163" s="3"/>
      <c r="K163" s="3"/>
      <c r="L163" s="2"/>
      <c r="M163" s="2"/>
      <c r="N163" s="2"/>
      <c r="O163" s="2"/>
      <c r="P163" s="2"/>
      <c r="Q163" s="2"/>
      <c r="R163" s="2"/>
    </row>
    <row r="164">
      <c r="A164" s="3" t="s">
        <v>5</v>
      </c>
      <c r="B164" s="4">
        <v>163.0</v>
      </c>
      <c r="C164" s="3" t="s">
        <v>171</v>
      </c>
      <c r="D164" s="4">
        <v>20.0</v>
      </c>
      <c r="E164" s="4">
        <v>9.372229011E9</v>
      </c>
      <c r="F164" s="3"/>
      <c r="G164" s="3"/>
      <c r="H164" s="3"/>
      <c r="I164" s="3"/>
      <c r="J164" s="3"/>
      <c r="K164" s="3"/>
      <c r="L164" s="2"/>
      <c r="M164" s="2"/>
      <c r="N164" s="2"/>
      <c r="O164" s="2"/>
      <c r="P164" s="2"/>
      <c r="Q164" s="2"/>
      <c r="R164" s="2"/>
    </row>
    <row r="165">
      <c r="A165" s="3" t="s">
        <v>7</v>
      </c>
      <c r="B165" s="4">
        <v>164.0</v>
      </c>
      <c r="C165" s="3" t="s">
        <v>172</v>
      </c>
      <c r="D165" s="4">
        <v>19.0</v>
      </c>
      <c r="E165" s="4">
        <v>7.689081757E9</v>
      </c>
      <c r="F165" s="3"/>
      <c r="G165" s="3"/>
      <c r="H165" s="3"/>
      <c r="I165" s="3"/>
      <c r="J165" s="3"/>
      <c r="K165" s="3"/>
      <c r="L165" s="2"/>
      <c r="M165" s="2"/>
      <c r="N165" s="2"/>
      <c r="O165" s="2"/>
      <c r="P165" s="2"/>
      <c r="Q165" s="2"/>
      <c r="R165" s="2"/>
    </row>
    <row r="166">
      <c r="A166" s="3" t="s">
        <v>9</v>
      </c>
      <c r="B166" s="4">
        <v>165.0</v>
      </c>
      <c r="C166" s="3" t="s">
        <v>173</v>
      </c>
      <c r="D166" s="4">
        <v>17.0</v>
      </c>
      <c r="E166" s="4">
        <v>8.856895656E9</v>
      </c>
      <c r="F166" s="3"/>
      <c r="G166" s="3"/>
      <c r="H166" s="3"/>
      <c r="I166" s="3"/>
      <c r="J166" s="3"/>
      <c r="K166" s="3"/>
      <c r="L166" s="2"/>
      <c r="M166" s="2"/>
      <c r="N166" s="2"/>
      <c r="O166" s="2"/>
      <c r="P166" s="2"/>
      <c r="Q166" s="2"/>
      <c r="R166" s="2"/>
    </row>
    <row r="167">
      <c r="A167" s="3" t="s">
        <v>11</v>
      </c>
      <c r="B167" s="4">
        <v>166.0</v>
      </c>
      <c r="C167" s="3" t="s">
        <v>174</v>
      </c>
      <c r="D167" s="4">
        <v>21.0</v>
      </c>
      <c r="E167" s="4">
        <v>8.169403778E9</v>
      </c>
      <c r="F167" s="3"/>
      <c r="G167" s="3"/>
      <c r="H167" s="3"/>
      <c r="I167" s="3"/>
      <c r="J167" s="3"/>
      <c r="K167" s="3"/>
      <c r="L167" s="2"/>
      <c r="M167" s="2"/>
      <c r="N167" s="2"/>
      <c r="O167" s="2"/>
      <c r="P167" s="2"/>
      <c r="Q167" s="2"/>
      <c r="R167" s="2"/>
    </row>
    <row r="168">
      <c r="A168" s="3" t="s">
        <v>13</v>
      </c>
      <c r="B168" s="4">
        <v>167.0</v>
      </c>
      <c r="C168" s="6" t="s">
        <v>175</v>
      </c>
      <c r="D168" s="7">
        <v>40.0</v>
      </c>
      <c r="E168" s="7">
        <v>9.422000402E9</v>
      </c>
      <c r="F168" s="3"/>
      <c r="G168" s="3"/>
      <c r="H168" s="3"/>
      <c r="I168" s="3"/>
      <c r="J168" s="3"/>
      <c r="K168" s="3"/>
      <c r="L168" s="2"/>
      <c r="M168" s="2"/>
      <c r="N168" s="2"/>
      <c r="O168" s="2"/>
      <c r="P168" s="2"/>
      <c r="Q168" s="2"/>
      <c r="R168" s="2"/>
    </row>
    <row r="169">
      <c r="A169" s="3" t="s">
        <v>5</v>
      </c>
      <c r="B169" s="4">
        <v>168.0</v>
      </c>
      <c r="C169" s="6" t="s">
        <v>176</v>
      </c>
      <c r="D169" s="7">
        <v>33.0</v>
      </c>
      <c r="E169" s="7">
        <v>9.738343055E9</v>
      </c>
      <c r="F169" s="3"/>
      <c r="G169" s="3"/>
      <c r="H169" s="3"/>
      <c r="I169" s="3"/>
      <c r="J169" s="3"/>
      <c r="K169" s="3"/>
      <c r="L169" s="2"/>
      <c r="M169" s="2"/>
      <c r="N169" s="2"/>
      <c r="O169" s="2"/>
      <c r="P169" s="2"/>
      <c r="Q169" s="2"/>
      <c r="R169" s="2"/>
    </row>
    <row r="170">
      <c r="A170" s="3" t="s">
        <v>7</v>
      </c>
      <c r="B170" s="4">
        <v>169.0</v>
      </c>
      <c r="C170" s="3" t="s">
        <v>177</v>
      </c>
      <c r="D170" s="4">
        <v>24.0</v>
      </c>
      <c r="E170" s="4">
        <v>9.982934658E9</v>
      </c>
      <c r="F170" s="3"/>
      <c r="G170" s="3"/>
      <c r="H170" s="3"/>
      <c r="I170" s="3"/>
      <c r="J170" s="3"/>
      <c r="K170" s="3"/>
      <c r="L170" s="2"/>
      <c r="M170" s="2"/>
      <c r="N170" s="2"/>
      <c r="O170" s="2"/>
      <c r="P170" s="2"/>
      <c r="Q170" s="2"/>
      <c r="R170" s="2"/>
    </row>
    <row r="171">
      <c r="A171" s="3" t="s">
        <v>9</v>
      </c>
      <c r="B171" s="4">
        <v>170.0</v>
      </c>
      <c r="C171" s="3" t="s">
        <v>178</v>
      </c>
      <c r="D171" s="4">
        <v>18.0</v>
      </c>
      <c r="E171" s="4">
        <v>7.887796678E9</v>
      </c>
      <c r="F171" s="3"/>
      <c r="G171" s="3"/>
      <c r="H171" s="3"/>
      <c r="I171" s="3"/>
      <c r="J171" s="3"/>
      <c r="K171" s="3"/>
      <c r="L171" s="2"/>
      <c r="M171" s="2"/>
      <c r="N171" s="2"/>
      <c r="O171" s="2"/>
      <c r="P171" s="2"/>
      <c r="Q171" s="2"/>
      <c r="R171" s="2"/>
    </row>
    <row r="172">
      <c r="A172" s="3" t="s">
        <v>13</v>
      </c>
      <c r="B172" s="4">
        <v>171.0</v>
      </c>
      <c r="C172" s="3" t="s">
        <v>179</v>
      </c>
      <c r="D172" s="4">
        <v>13.0</v>
      </c>
      <c r="E172" s="4">
        <v>8.103428286E9</v>
      </c>
      <c r="F172" s="3"/>
      <c r="G172" s="3"/>
      <c r="H172" s="3"/>
      <c r="I172" s="3"/>
      <c r="J172" s="3"/>
      <c r="K172" s="3"/>
      <c r="L172" s="2"/>
      <c r="M172" s="2"/>
      <c r="N172" s="2"/>
      <c r="O172" s="2"/>
      <c r="P172" s="2"/>
      <c r="Q172" s="2"/>
      <c r="R172" s="2"/>
    </row>
    <row r="173">
      <c r="A173" s="3" t="s">
        <v>5</v>
      </c>
      <c r="B173" s="4">
        <v>172.0</v>
      </c>
      <c r="C173" s="3" t="s">
        <v>180</v>
      </c>
      <c r="D173" s="4">
        <v>17.0</v>
      </c>
      <c r="E173" s="4">
        <v>9.399228362E9</v>
      </c>
      <c r="F173" s="3"/>
      <c r="G173" s="3"/>
      <c r="H173" s="3"/>
      <c r="I173" s="3"/>
      <c r="J173" s="3"/>
      <c r="K173" s="3"/>
      <c r="L173" s="2"/>
      <c r="M173" s="2"/>
      <c r="N173" s="2"/>
      <c r="O173" s="2"/>
      <c r="P173" s="2"/>
      <c r="Q173" s="2"/>
      <c r="R173" s="2"/>
    </row>
    <row r="174">
      <c r="A174" s="3" t="s">
        <v>9</v>
      </c>
      <c r="B174" s="4">
        <v>173.0</v>
      </c>
      <c r="C174" s="3" t="s">
        <v>181</v>
      </c>
      <c r="D174" s="4">
        <v>24.0</v>
      </c>
      <c r="E174" s="4">
        <v>8.767975517E9</v>
      </c>
      <c r="F174" s="3"/>
      <c r="G174" s="3"/>
      <c r="H174" s="3"/>
      <c r="I174" s="3"/>
      <c r="J174" s="3"/>
      <c r="K174" s="3"/>
      <c r="L174" s="2"/>
      <c r="M174" s="2"/>
      <c r="N174" s="2"/>
      <c r="O174" s="2"/>
      <c r="P174" s="2"/>
      <c r="Q174" s="2"/>
      <c r="R174" s="2"/>
    </row>
    <row r="175">
      <c r="A175" s="3" t="s">
        <v>11</v>
      </c>
      <c r="B175" s="4">
        <v>174.0</v>
      </c>
      <c r="C175" s="3" t="s">
        <v>182</v>
      </c>
      <c r="D175" s="4">
        <v>24.0</v>
      </c>
      <c r="E175" s="4">
        <v>7.423036666E9</v>
      </c>
      <c r="F175" s="3"/>
      <c r="G175" s="3"/>
      <c r="H175" s="3"/>
      <c r="I175" s="3"/>
      <c r="J175" s="3"/>
      <c r="K175" s="3"/>
      <c r="L175" s="2"/>
      <c r="M175" s="2"/>
      <c r="N175" s="2"/>
      <c r="O175" s="2"/>
      <c r="P175" s="2"/>
      <c r="Q175" s="2"/>
      <c r="R175" s="2"/>
    </row>
    <row r="176">
      <c r="A176" s="3" t="s">
        <v>5</v>
      </c>
      <c r="B176" s="4">
        <v>175.0</v>
      </c>
      <c r="C176" s="3" t="s">
        <v>183</v>
      </c>
      <c r="D176" s="4">
        <v>33.0</v>
      </c>
      <c r="E176" s="4">
        <v>8.349591261E9</v>
      </c>
      <c r="F176" s="3"/>
      <c r="G176" s="3"/>
      <c r="H176" s="3"/>
      <c r="I176" s="3"/>
      <c r="J176" s="3"/>
      <c r="K176" s="3"/>
      <c r="L176" s="2"/>
      <c r="M176" s="2"/>
      <c r="N176" s="2"/>
      <c r="O176" s="2"/>
      <c r="P176" s="2"/>
      <c r="Q176" s="2"/>
      <c r="R176" s="2"/>
    </row>
    <row r="177">
      <c r="A177" s="3" t="s">
        <v>7</v>
      </c>
      <c r="B177" s="4">
        <v>176.0</v>
      </c>
      <c r="C177" s="3" t="s">
        <v>184</v>
      </c>
      <c r="D177" s="4">
        <v>21.0</v>
      </c>
      <c r="E177" s="9">
        <v>8.867617265E9</v>
      </c>
      <c r="F177" s="3"/>
      <c r="G177" s="3"/>
      <c r="H177" s="3"/>
      <c r="I177" s="3"/>
      <c r="J177" s="3"/>
      <c r="K177" s="3"/>
      <c r="L177" s="2"/>
      <c r="M177" s="2"/>
      <c r="N177" s="2"/>
      <c r="O177" s="2"/>
      <c r="P177" s="2"/>
      <c r="Q177" s="2"/>
      <c r="R177" s="2"/>
    </row>
    <row r="178">
      <c r="A178" s="3" t="s">
        <v>9</v>
      </c>
      <c r="B178" s="4">
        <v>177.0</v>
      </c>
      <c r="C178" s="3" t="s">
        <v>185</v>
      </c>
      <c r="D178" s="4">
        <v>22.0</v>
      </c>
      <c r="E178" s="4">
        <v>7.74404619E9</v>
      </c>
      <c r="F178" s="3"/>
      <c r="G178" s="3"/>
      <c r="H178" s="3"/>
      <c r="I178" s="3"/>
      <c r="J178" s="3"/>
      <c r="K178" s="3"/>
      <c r="L178" s="2"/>
      <c r="M178" s="2"/>
      <c r="N178" s="2"/>
      <c r="O178" s="2"/>
      <c r="P178" s="2"/>
      <c r="Q178" s="2"/>
      <c r="R178" s="2"/>
    </row>
    <row r="179">
      <c r="A179" s="3" t="s">
        <v>5</v>
      </c>
      <c r="B179" s="4">
        <v>178.0</v>
      </c>
      <c r="C179" s="3" t="s">
        <v>186</v>
      </c>
      <c r="D179" s="4">
        <v>19.0</v>
      </c>
      <c r="E179" s="4">
        <v>9.136789084E9</v>
      </c>
      <c r="F179" s="3"/>
      <c r="G179" s="3"/>
      <c r="H179" s="3"/>
      <c r="I179" s="3"/>
      <c r="J179" s="3"/>
      <c r="K179" s="3"/>
      <c r="L179" s="2"/>
      <c r="M179" s="2"/>
      <c r="N179" s="2"/>
      <c r="O179" s="2"/>
      <c r="P179" s="2"/>
      <c r="Q179" s="2"/>
      <c r="R179" s="2"/>
    </row>
    <row r="180">
      <c r="A180" s="3" t="s">
        <v>7</v>
      </c>
      <c r="B180" s="4">
        <v>179.0</v>
      </c>
      <c r="C180" s="16" t="s">
        <v>187</v>
      </c>
      <c r="D180" s="17"/>
      <c r="E180" s="18">
        <v>9.009040175E9</v>
      </c>
      <c r="F180" s="3"/>
      <c r="G180" s="3"/>
      <c r="H180" s="3"/>
      <c r="I180" s="3"/>
      <c r="J180" s="3"/>
      <c r="K180" s="3"/>
      <c r="L180" s="2"/>
      <c r="M180" s="2"/>
      <c r="N180" s="2"/>
      <c r="O180" s="2"/>
      <c r="P180" s="2"/>
      <c r="Q180" s="2"/>
      <c r="R180" s="2"/>
    </row>
    <row r="181">
      <c r="A181" s="3" t="s">
        <v>9</v>
      </c>
      <c r="B181" s="4">
        <v>180.0</v>
      </c>
      <c r="C181" s="3" t="s">
        <v>188</v>
      </c>
      <c r="D181" s="4">
        <v>30.0</v>
      </c>
      <c r="E181" s="4">
        <v>9.172296681E9</v>
      </c>
      <c r="F181" s="3"/>
      <c r="G181" s="3"/>
      <c r="H181" s="3"/>
      <c r="I181" s="3"/>
      <c r="J181" s="3"/>
      <c r="K181" s="3"/>
      <c r="L181" s="2"/>
      <c r="M181" s="2"/>
      <c r="N181" s="2"/>
      <c r="O181" s="2"/>
      <c r="P181" s="2"/>
      <c r="Q181" s="2"/>
      <c r="R181" s="2"/>
    </row>
    <row r="182">
      <c r="A182" s="3" t="s">
        <v>11</v>
      </c>
      <c r="B182" s="4">
        <v>181.0</v>
      </c>
      <c r="C182" s="6" t="s">
        <v>189</v>
      </c>
      <c r="D182" s="7">
        <v>20.0</v>
      </c>
      <c r="E182" s="7">
        <v>8.421782349E9</v>
      </c>
      <c r="F182" s="3"/>
      <c r="G182" s="3"/>
      <c r="H182" s="3"/>
      <c r="I182" s="3"/>
      <c r="J182" s="3"/>
      <c r="K182" s="3"/>
      <c r="L182" s="2"/>
      <c r="M182" s="2"/>
      <c r="N182" s="2"/>
      <c r="O182" s="2"/>
      <c r="P182" s="2"/>
      <c r="Q182" s="2"/>
      <c r="R182" s="2"/>
    </row>
    <row r="183">
      <c r="A183" s="3" t="s">
        <v>13</v>
      </c>
      <c r="B183" s="4">
        <v>182.0</v>
      </c>
      <c r="C183" s="3" t="s">
        <v>190</v>
      </c>
      <c r="D183" s="4">
        <v>35.0</v>
      </c>
      <c r="E183" s="4">
        <v>8.767004495E9</v>
      </c>
      <c r="F183" s="3"/>
      <c r="G183" s="3"/>
      <c r="H183" s="3"/>
      <c r="I183" s="3"/>
      <c r="J183" s="3"/>
      <c r="K183" s="3"/>
      <c r="L183" s="2"/>
      <c r="M183" s="2"/>
      <c r="N183" s="2"/>
      <c r="O183" s="2"/>
      <c r="P183" s="2"/>
      <c r="Q183" s="2"/>
      <c r="R183" s="2"/>
    </row>
    <row r="184">
      <c r="A184" s="3" t="s">
        <v>7</v>
      </c>
      <c r="B184" s="4">
        <v>183.0</v>
      </c>
      <c r="C184" s="3" t="s">
        <v>191</v>
      </c>
      <c r="D184" s="4">
        <v>21.0</v>
      </c>
      <c r="E184" s="4">
        <v>9.731333555E9</v>
      </c>
      <c r="F184" s="3"/>
      <c r="G184" s="3"/>
      <c r="H184" s="3"/>
      <c r="I184" s="3"/>
      <c r="J184" s="3"/>
      <c r="K184" s="3"/>
      <c r="L184" s="2"/>
      <c r="M184" s="2"/>
      <c r="N184" s="2"/>
      <c r="O184" s="2"/>
      <c r="P184" s="2"/>
      <c r="Q184" s="2"/>
      <c r="R184" s="2"/>
    </row>
    <row r="185">
      <c r="A185" s="3" t="s">
        <v>9</v>
      </c>
      <c r="B185" s="4">
        <v>184.0</v>
      </c>
      <c r="C185" s="3" t="s">
        <v>192</v>
      </c>
      <c r="D185" s="4">
        <v>20.0</v>
      </c>
      <c r="E185" s="4">
        <v>8.369875958E9</v>
      </c>
      <c r="F185" s="3"/>
      <c r="G185" s="3"/>
      <c r="H185" s="3"/>
      <c r="I185" s="3"/>
      <c r="J185" s="3"/>
      <c r="K185" s="3"/>
      <c r="L185" s="2"/>
      <c r="M185" s="2"/>
      <c r="N185" s="2"/>
      <c r="O185" s="2"/>
      <c r="P185" s="2"/>
      <c r="Q185" s="2"/>
      <c r="R185" s="2"/>
    </row>
    <row r="186">
      <c r="A186" s="3" t="s">
        <v>11</v>
      </c>
      <c r="B186" s="4">
        <v>185.0</v>
      </c>
      <c r="C186" s="3" t="s">
        <v>193</v>
      </c>
      <c r="D186" s="4">
        <v>22.0</v>
      </c>
      <c r="E186" s="4">
        <v>9.405322004E9</v>
      </c>
      <c r="F186" s="3"/>
      <c r="G186" s="3"/>
      <c r="H186" s="3"/>
      <c r="I186" s="3"/>
      <c r="J186" s="3"/>
      <c r="K186" s="3"/>
      <c r="L186" s="2"/>
      <c r="M186" s="2"/>
      <c r="N186" s="2"/>
      <c r="O186" s="2"/>
      <c r="P186" s="2"/>
      <c r="Q186" s="2"/>
      <c r="R186" s="2"/>
    </row>
    <row r="187">
      <c r="A187" s="3" t="s">
        <v>5</v>
      </c>
      <c r="B187" s="4">
        <v>186.0</v>
      </c>
      <c r="C187" s="6" t="s">
        <v>194</v>
      </c>
      <c r="D187" s="7">
        <v>18.0</v>
      </c>
      <c r="E187" s="7">
        <v>9.699984598E9</v>
      </c>
      <c r="F187" s="3"/>
      <c r="G187" s="3"/>
      <c r="H187" s="3"/>
      <c r="I187" s="3"/>
      <c r="J187" s="3"/>
      <c r="K187" s="3"/>
      <c r="L187" s="2"/>
      <c r="M187" s="2"/>
      <c r="N187" s="2"/>
      <c r="O187" s="2"/>
      <c r="P187" s="2"/>
      <c r="Q187" s="2"/>
      <c r="R187" s="2"/>
    </row>
    <row r="188">
      <c r="A188" s="3" t="s">
        <v>7</v>
      </c>
      <c r="B188" s="4">
        <v>187.0</v>
      </c>
      <c r="C188" s="3" t="s">
        <v>195</v>
      </c>
      <c r="D188" s="4">
        <v>18.0</v>
      </c>
      <c r="E188" s="4">
        <v>8.9997857E9</v>
      </c>
      <c r="F188" s="3"/>
      <c r="G188" s="3"/>
      <c r="H188" s="3"/>
      <c r="I188" s="3"/>
      <c r="J188" s="3"/>
      <c r="K188" s="3"/>
      <c r="L188" s="2"/>
      <c r="M188" s="2"/>
      <c r="N188" s="2"/>
      <c r="O188" s="2"/>
      <c r="P188" s="2"/>
      <c r="Q188" s="2"/>
      <c r="R188" s="2"/>
    </row>
    <row r="189">
      <c r="A189" s="3" t="s">
        <v>9</v>
      </c>
      <c r="B189" s="4">
        <v>188.0</v>
      </c>
      <c r="C189" s="3" t="s">
        <v>196</v>
      </c>
      <c r="D189" s="4">
        <v>33.0</v>
      </c>
      <c r="E189" s="4">
        <v>7.000918318E9</v>
      </c>
      <c r="F189" s="3"/>
      <c r="G189" s="3"/>
      <c r="H189" s="3"/>
      <c r="I189" s="3"/>
      <c r="J189" s="3"/>
      <c r="K189" s="3"/>
      <c r="L189" s="2"/>
      <c r="M189" s="2"/>
      <c r="N189" s="2"/>
      <c r="O189" s="2"/>
      <c r="P189" s="2"/>
      <c r="Q189" s="2"/>
      <c r="R189" s="2"/>
    </row>
    <row r="190">
      <c r="A190" s="3" t="s">
        <v>11</v>
      </c>
      <c r="B190" s="4">
        <v>189.0</v>
      </c>
      <c r="C190" s="3" t="s">
        <v>197</v>
      </c>
      <c r="D190" s="4">
        <v>25.0</v>
      </c>
      <c r="E190" s="4">
        <v>7.04660537E9</v>
      </c>
      <c r="F190" s="3"/>
      <c r="G190" s="3"/>
      <c r="H190" s="3"/>
      <c r="I190" s="3"/>
      <c r="J190" s="3"/>
      <c r="K190" s="3"/>
      <c r="L190" s="2"/>
      <c r="M190" s="2"/>
      <c r="N190" s="2"/>
      <c r="O190" s="2"/>
      <c r="P190" s="2"/>
      <c r="Q190" s="2"/>
      <c r="R190" s="2"/>
    </row>
    <row r="191">
      <c r="A191" s="3" t="s">
        <v>13</v>
      </c>
      <c r="B191" s="4">
        <v>190.0</v>
      </c>
      <c r="C191" s="3" t="s">
        <v>198</v>
      </c>
      <c r="D191" s="4">
        <v>42.0</v>
      </c>
      <c r="E191" s="4">
        <v>9.726707723E9</v>
      </c>
      <c r="F191" s="3"/>
      <c r="G191" s="3"/>
      <c r="H191" s="3"/>
      <c r="I191" s="3"/>
      <c r="J191" s="3"/>
      <c r="K191" s="3"/>
      <c r="L191" s="2"/>
      <c r="M191" s="2"/>
      <c r="N191" s="2"/>
      <c r="O191" s="2"/>
      <c r="P191" s="2"/>
      <c r="Q191" s="2"/>
      <c r="R191" s="2"/>
    </row>
    <row r="192">
      <c r="A192" s="3" t="s">
        <v>5</v>
      </c>
      <c r="B192" s="4">
        <v>191.0</v>
      </c>
      <c r="C192" s="3" t="s">
        <v>199</v>
      </c>
      <c r="D192" s="4">
        <v>28.0</v>
      </c>
      <c r="E192" s="4">
        <v>7.715926559E9</v>
      </c>
      <c r="F192" s="3"/>
      <c r="G192" s="3"/>
      <c r="H192" s="3"/>
      <c r="I192" s="3"/>
      <c r="J192" s="3"/>
      <c r="K192" s="3"/>
      <c r="L192" s="2"/>
      <c r="M192" s="2"/>
      <c r="N192" s="2"/>
      <c r="O192" s="2"/>
      <c r="P192" s="2"/>
      <c r="Q192" s="2"/>
      <c r="R192" s="2"/>
    </row>
    <row r="193">
      <c r="A193" s="3" t="s">
        <v>7</v>
      </c>
      <c r="B193" s="4">
        <v>192.0</v>
      </c>
      <c r="C193" s="6" t="s">
        <v>200</v>
      </c>
      <c r="D193" s="7">
        <v>21.0</v>
      </c>
      <c r="E193" s="7">
        <v>9.511278842E9</v>
      </c>
      <c r="F193" s="3"/>
      <c r="G193" s="3"/>
      <c r="H193" s="3"/>
      <c r="I193" s="3"/>
      <c r="J193" s="3"/>
      <c r="K193" s="3"/>
      <c r="L193" s="2"/>
      <c r="M193" s="2"/>
      <c r="N193" s="2"/>
      <c r="O193" s="2"/>
      <c r="P193" s="2"/>
      <c r="Q193" s="2"/>
      <c r="R193" s="2"/>
    </row>
    <row r="194">
      <c r="A194" s="3" t="s">
        <v>9</v>
      </c>
      <c r="B194" s="4">
        <v>193.0</v>
      </c>
      <c r="C194" s="19" t="s">
        <v>201</v>
      </c>
      <c r="D194" s="15">
        <v>25.0</v>
      </c>
      <c r="E194" s="15">
        <v>7.083896232E9</v>
      </c>
      <c r="F194" s="17"/>
      <c r="G194" s="17"/>
      <c r="H194" s="17"/>
      <c r="I194" s="17"/>
      <c r="J194" s="17"/>
      <c r="K194" s="20"/>
      <c r="L194" s="2"/>
      <c r="M194" s="2"/>
      <c r="N194" s="2"/>
      <c r="O194" s="2"/>
      <c r="P194" s="2"/>
      <c r="Q194" s="2"/>
      <c r="R194" s="2"/>
    </row>
    <row r="195">
      <c r="A195" s="3" t="s">
        <v>11</v>
      </c>
      <c r="B195" s="4">
        <v>194.0</v>
      </c>
      <c r="C195" s="21" t="s">
        <v>202</v>
      </c>
      <c r="D195" s="12">
        <v>25.0</v>
      </c>
      <c r="E195" s="12">
        <v>7.040073873E9</v>
      </c>
      <c r="F195" s="22"/>
      <c r="G195" s="22"/>
      <c r="H195" s="22"/>
      <c r="I195" s="22"/>
      <c r="J195" s="22"/>
      <c r="K195" s="23"/>
      <c r="L195" s="2"/>
      <c r="M195" s="2"/>
      <c r="N195" s="2"/>
      <c r="O195" s="2"/>
      <c r="P195" s="2"/>
      <c r="Q195" s="2"/>
      <c r="R195" s="2"/>
    </row>
    <row r="196">
      <c r="A196" s="3" t="s">
        <v>13</v>
      </c>
      <c r="B196" s="4">
        <v>195.0</v>
      </c>
      <c r="C196" s="3" t="s">
        <v>203</v>
      </c>
      <c r="D196" s="4">
        <v>32.0</v>
      </c>
      <c r="E196" s="4">
        <v>9.754227719E9</v>
      </c>
      <c r="F196" s="3"/>
      <c r="G196" s="3"/>
      <c r="H196" s="3"/>
      <c r="I196" s="3"/>
      <c r="J196" s="3"/>
      <c r="K196" s="3"/>
      <c r="L196" s="2"/>
      <c r="M196" s="2"/>
      <c r="N196" s="2"/>
      <c r="O196" s="2"/>
      <c r="P196" s="2"/>
      <c r="Q196" s="2"/>
      <c r="R196" s="2"/>
    </row>
    <row r="197">
      <c r="A197" s="3" t="s">
        <v>5</v>
      </c>
      <c r="B197" s="4">
        <v>196.0</v>
      </c>
      <c r="C197" s="3" t="s">
        <v>204</v>
      </c>
      <c r="D197" s="4">
        <v>24.0</v>
      </c>
      <c r="E197" s="4">
        <v>9.860455254E9</v>
      </c>
      <c r="F197" s="3"/>
      <c r="G197" s="3"/>
      <c r="H197" s="3"/>
      <c r="I197" s="3"/>
      <c r="J197" s="3"/>
      <c r="K197" s="3"/>
      <c r="L197" s="2"/>
      <c r="M197" s="2"/>
      <c r="N197" s="2"/>
      <c r="O197" s="2"/>
      <c r="P197" s="2"/>
      <c r="Q197" s="2"/>
      <c r="R197" s="2"/>
    </row>
    <row r="198">
      <c r="A198" s="3" t="s">
        <v>11</v>
      </c>
      <c r="B198" s="4">
        <v>197.0</v>
      </c>
      <c r="C198" s="3" t="s">
        <v>205</v>
      </c>
      <c r="D198" s="3"/>
      <c r="E198" s="4">
        <v>7.875193244E9</v>
      </c>
      <c r="F198" s="3"/>
      <c r="G198" s="3"/>
      <c r="H198" s="3"/>
      <c r="I198" s="3"/>
      <c r="J198" s="3"/>
      <c r="K198" s="3"/>
      <c r="L198" s="2"/>
      <c r="M198" s="2"/>
      <c r="N198" s="2"/>
      <c r="O198" s="2"/>
      <c r="P198" s="2"/>
      <c r="Q198" s="2"/>
      <c r="R198" s="2"/>
    </row>
    <row r="199">
      <c r="A199" s="3" t="s">
        <v>13</v>
      </c>
      <c r="B199" s="4">
        <v>198.0</v>
      </c>
      <c r="C199" s="3" t="s">
        <v>206</v>
      </c>
      <c r="D199" s="4">
        <v>19.0</v>
      </c>
      <c r="E199" s="4">
        <v>7.019265088E9</v>
      </c>
      <c r="F199" s="3"/>
      <c r="G199" s="3"/>
      <c r="H199" s="3"/>
      <c r="I199" s="3"/>
      <c r="J199" s="3"/>
      <c r="K199" s="3"/>
      <c r="L199" s="2"/>
      <c r="M199" s="2"/>
      <c r="N199" s="2"/>
      <c r="O199" s="2"/>
      <c r="P199" s="2"/>
      <c r="Q199" s="2"/>
      <c r="R199" s="2"/>
    </row>
    <row r="200">
      <c r="A200" s="3" t="s">
        <v>5</v>
      </c>
      <c r="B200" s="4">
        <v>199.0</v>
      </c>
      <c r="C200" s="3" t="s">
        <v>207</v>
      </c>
      <c r="D200" s="4">
        <v>17.0</v>
      </c>
      <c r="E200" s="4">
        <v>7.869533177E9</v>
      </c>
      <c r="F200" s="3"/>
      <c r="G200" s="3"/>
      <c r="H200" s="3"/>
      <c r="I200" s="3"/>
      <c r="J200" s="3"/>
      <c r="K200" s="3"/>
      <c r="L200" s="2"/>
      <c r="M200" s="2"/>
      <c r="N200" s="2"/>
      <c r="O200" s="2"/>
      <c r="P200" s="2"/>
      <c r="Q200" s="2"/>
      <c r="R200" s="2"/>
    </row>
    <row r="201">
      <c r="A201" s="3" t="s">
        <v>7</v>
      </c>
      <c r="B201" s="4">
        <v>200.0</v>
      </c>
      <c r="C201" s="3" t="s">
        <v>208</v>
      </c>
      <c r="D201" s="4">
        <v>22.0</v>
      </c>
      <c r="E201" s="4">
        <v>9.42684551E9</v>
      </c>
      <c r="F201" s="3"/>
      <c r="G201" s="3"/>
      <c r="H201" s="3"/>
      <c r="I201" s="3"/>
      <c r="J201" s="3"/>
      <c r="K201" s="3"/>
      <c r="L201" s="2"/>
      <c r="M201" s="2"/>
      <c r="N201" s="2"/>
      <c r="O201" s="2"/>
      <c r="P201" s="2"/>
      <c r="Q201" s="2"/>
      <c r="R201" s="2"/>
    </row>
    <row r="202">
      <c r="A202" s="3" t="s">
        <v>9</v>
      </c>
      <c r="B202" s="4">
        <v>201.0</v>
      </c>
      <c r="C202" s="3" t="s">
        <v>209</v>
      </c>
      <c r="D202" s="4">
        <v>27.0</v>
      </c>
      <c r="E202" s="4">
        <v>9.993388453E9</v>
      </c>
      <c r="F202" s="3"/>
      <c r="G202" s="3"/>
      <c r="H202" s="3"/>
      <c r="I202" s="3"/>
      <c r="J202" s="3"/>
      <c r="K202" s="3"/>
      <c r="L202" s="2"/>
      <c r="M202" s="2"/>
      <c r="N202" s="2"/>
      <c r="O202" s="2"/>
      <c r="P202" s="2"/>
      <c r="Q202" s="2"/>
      <c r="R202" s="2"/>
    </row>
    <row r="203">
      <c r="A203" s="3" t="s">
        <v>11</v>
      </c>
      <c r="B203" s="4">
        <v>202.0</v>
      </c>
      <c r="C203" s="3" t="s">
        <v>210</v>
      </c>
      <c r="D203" s="4">
        <v>18.0</v>
      </c>
      <c r="E203" s="4">
        <v>9.354307266E9</v>
      </c>
      <c r="F203" s="3"/>
      <c r="G203" s="3"/>
      <c r="H203" s="3"/>
      <c r="I203" s="3"/>
      <c r="J203" s="3"/>
      <c r="K203" s="3"/>
      <c r="L203" s="2"/>
      <c r="M203" s="2"/>
      <c r="N203" s="2"/>
      <c r="O203" s="2"/>
      <c r="P203" s="2"/>
      <c r="Q203" s="2"/>
      <c r="R203" s="2"/>
    </row>
    <row r="204">
      <c r="A204" s="3" t="s">
        <v>13</v>
      </c>
      <c r="B204" s="4">
        <v>203.0</v>
      </c>
      <c r="C204" s="6" t="s">
        <v>211</v>
      </c>
      <c r="D204" s="7">
        <v>27.0</v>
      </c>
      <c r="E204" s="7">
        <v>9.685063499E9</v>
      </c>
      <c r="F204" s="3"/>
      <c r="G204" s="3"/>
      <c r="H204" s="3"/>
      <c r="I204" s="3"/>
      <c r="J204" s="3"/>
      <c r="K204" s="3"/>
      <c r="L204" s="2"/>
      <c r="M204" s="2"/>
      <c r="N204" s="2"/>
      <c r="O204" s="2"/>
      <c r="P204" s="2"/>
      <c r="Q204" s="2"/>
      <c r="R204" s="2"/>
    </row>
    <row r="205">
      <c r="A205" s="3" t="s">
        <v>9</v>
      </c>
      <c r="B205" s="4">
        <v>204.0</v>
      </c>
      <c r="C205" s="3" t="s">
        <v>212</v>
      </c>
      <c r="D205" s="4">
        <v>25.0</v>
      </c>
      <c r="E205" s="4">
        <v>8.817613555E9</v>
      </c>
      <c r="F205" s="3"/>
      <c r="G205" s="3"/>
      <c r="H205" s="3"/>
      <c r="I205" s="3"/>
      <c r="J205" s="3"/>
      <c r="K205" s="3"/>
      <c r="L205" s="2"/>
      <c r="M205" s="2"/>
      <c r="N205" s="2"/>
      <c r="O205" s="2"/>
      <c r="P205" s="2"/>
      <c r="Q205" s="2"/>
      <c r="R205" s="2"/>
    </row>
    <row r="206">
      <c r="A206" s="3" t="s">
        <v>11</v>
      </c>
      <c r="B206" s="4">
        <v>205.0</v>
      </c>
      <c r="C206" s="21" t="s">
        <v>213</v>
      </c>
      <c r="D206" s="13">
        <v>20.0</v>
      </c>
      <c r="E206" s="13">
        <v>8.767145002E9</v>
      </c>
      <c r="F206" s="3"/>
      <c r="G206" s="3"/>
      <c r="H206" s="3"/>
      <c r="I206" s="3"/>
      <c r="J206" s="3"/>
      <c r="K206" s="3"/>
      <c r="L206" s="2"/>
      <c r="M206" s="2"/>
      <c r="N206" s="2"/>
      <c r="O206" s="2"/>
      <c r="P206" s="2"/>
      <c r="Q206" s="2"/>
      <c r="R206" s="2"/>
    </row>
    <row r="207">
      <c r="A207" s="3" t="s">
        <v>13</v>
      </c>
      <c r="B207" s="4">
        <v>206.0</v>
      </c>
      <c r="C207" s="24" t="s">
        <v>214</v>
      </c>
      <c r="D207" s="13">
        <v>19.0</v>
      </c>
      <c r="E207" s="13">
        <v>9.986219084E9</v>
      </c>
      <c r="F207" s="3"/>
      <c r="G207" s="3"/>
      <c r="H207" s="3"/>
      <c r="I207" s="3"/>
      <c r="J207" s="3"/>
      <c r="K207" s="3"/>
      <c r="L207" s="2"/>
      <c r="M207" s="2"/>
      <c r="N207" s="2"/>
      <c r="O207" s="2"/>
      <c r="P207" s="2"/>
      <c r="Q207" s="2"/>
      <c r="R207" s="2"/>
    </row>
    <row r="208">
      <c r="A208" s="3" t="s">
        <v>7</v>
      </c>
      <c r="B208" s="4">
        <v>207.0</v>
      </c>
      <c r="C208" s="6" t="s">
        <v>215</v>
      </c>
      <c r="D208" s="7">
        <v>31.0</v>
      </c>
      <c r="E208" s="7">
        <v>7.567015333E9</v>
      </c>
      <c r="F208" s="3"/>
      <c r="G208" s="3"/>
      <c r="H208" s="3"/>
      <c r="I208" s="3"/>
      <c r="J208" s="3"/>
      <c r="K208" s="3"/>
      <c r="L208" s="2"/>
      <c r="M208" s="2"/>
      <c r="N208" s="2"/>
      <c r="O208" s="2"/>
      <c r="P208" s="2"/>
      <c r="Q208" s="2"/>
      <c r="R208" s="2"/>
    </row>
    <row r="209">
      <c r="A209" s="3" t="s">
        <v>9</v>
      </c>
      <c r="B209" s="4">
        <v>208.0</v>
      </c>
      <c r="C209" s="19" t="s">
        <v>216</v>
      </c>
      <c r="D209" s="25">
        <v>20.0</v>
      </c>
      <c r="E209" s="25">
        <v>9.060229333E9</v>
      </c>
      <c r="F209" s="3"/>
      <c r="G209" s="3"/>
      <c r="H209" s="3"/>
      <c r="I209" s="3"/>
      <c r="J209" s="3"/>
      <c r="K209" s="3"/>
      <c r="L209" s="2"/>
      <c r="M209" s="2"/>
      <c r="N209" s="2"/>
      <c r="O209" s="2"/>
      <c r="P209" s="2"/>
      <c r="Q209" s="2"/>
      <c r="R209" s="2"/>
    </row>
    <row r="210">
      <c r="A210" s="3" t="s">
        <v>11</v>
      </c>
      <c r="B210" s="4">
        <v>209.0</v>
      </c>
      <c r="C210" s="21" t="s">
        <v>217</v>
      </c>
      <c r="D210" s="13">
        <v>18.0</v>
      </c>
      <c r="E210" s="13">
        <v>8.355807373E9</v>
      </c>
      <c r="F210" s="3"/>
      <c r="G210" s="3"/>
      <c r="H210" s="3"/>
      <c r="I210" s="3"/>
      <c r="J210" s="3"/>
      <c r="K210" s="3"/>
      <c r="L210" s="2"/>
      <c r="M210" s="2"/>
      <c r="N210" s="2"/>
      <c r="O210" s="2"/>
      <c r="P210" s="2"/>
      <c r="Q210" s="2"/>
      <c r="R210" s="2"/>
    </row>
    <row r="211">
      <c r="A211" s="3" t="s">
        <v>13</v>
      </c>
      <c r="B211" s="4">
        <v>210.0</v>
      </c>
      <c r="C211" s="19" t="s">
        <v>218</v>
      </c>
      <c r="D211" s="25">
        <v>21.0</v>
      </c>
      <c r="E211" s="25">
        <v>9.022206858E9</v>
      </c>
      <c r="F211" s="3"/>
      <c r="G211" s="3"/>
      <c r="H211" s="3"/>
      <c r="I211" s="3"/>
      <c r="J211" s="3"/>
      <c r="K211" s="3"/>
      <c r="L211" s="2"/>
      <c r="M211" s="2"/>
      <c r="N211" s="2"/>
      <c r="O211" s="2"/>
      <c r="P211" s="2"/>
      <c r="Q211" s="2"/>
      <c r="R211" s="2"/>
    </row>
    <row r="212">
      <c r="A212" s="3" t="s">
        <v>9</v>
      </c>
      <c r="B212" s="4">
        <v>211.0</v>
      </c>
      <c r="C212" s="24" t="s">
        <v>219</v>
      </c>
      <c r="D212" s="13">
        <v>26.0</v>
      </c>
      <c r="E212" s="13">
        <v>8.286996031E9</v>
      </c>
      <c r="F212" s="3"/>
      <c r="G212" s="3"/>
      <c r="H212" s="3"/>
      <c r="I212" s="3"/>
      <c r="J212" s="3"/>
      <c r="K212" s="3"/>
      <c r="L212" s="2"/>
      <c r="M212" s="2"/>
      <c r="N212" s="2"/>
      <c r="O212" s="2"/>
      <c r="P212" s="2"/>
      <c r="Q212" s="2"/>
      <c r="R212" s="2"/>
    </row>
    <row r="213">
      <c r="A213" s="3" t="s">
        <v>13</v>
      </c>
      <c r="B213" s="4">
        <v>212.0</v>
      </c>
      <c r="C213" s="3" t="s">
        <v>220</v>
      </c>
      <c r="D213" s="4">
        <v>33.0</v>
      </c>
      <c r="E213" s="4">
        <v>9.769429797E9</v>
      </c>
      <c r="F213" s="3"/>
      <c r="G213" s="3"/>
      <c r="H213" s="3"/>
      <c r="I213" s="3"/>
      <c r="J213" s="3"/>
      <c r="K213" s="3"/>
      <c r="L213" s="2"/>
      <c r="M213" s="2"/>
      <c r="N213" s="2"/>
      <c r="O213" s="2"/>
      <c r="P213" s="2"/>
      <c r="Q213" s="2"/>
      <c r="R213" s="2"/>
    </row>
    <row r="214">
      <c r="A214" s="3" t="s">
        <v>5</v>
      </c>
      <c r="B214" s="4">
        <v>213.0</v>
      </c>
      <c r="C214" s="3" t="s">
        <v>221</v>
      </c>
      <c r="D214" s="4">
        <v>21.0</v>
      </c>
      <c r="E214" s="4">
        <v>9.152261162E9</v>
      </c>
      <c r="F214" s="3"/>
      <c r="G214" s="3"/>
      <c r="H214" s="3"/>
      <c r="I214" s="3"/>
      <c r="J214" s="3"/>
      <c r="K214" s="3"/>
      <c r="L214" s="2"/>
      <c r="M214" s="2"/>
      <c r="N214" s="2"/>
      <c r="O214" s="2"/>
      <c r="P214" s="2"/>
      <c r="Q214" s="2"/>
      <c r="R214" s="2"/>
    </row>
    <row r="215">
      <c r="A215" s="3" t="s">
        <v>7</v>
      </c>
      <c r="B215" s="4">
        <v>214.0</v>
      </c>
      <c r="C215" s="24" t="s">
        <v>222</v>
      </c>
      <c r="D215" s="12">
        <v>17.0</v>
      </c>
      <c r="E215" s="12">
        <v>9.561687799E9</v>
      </c>
      <c r="F215" s="3"/>
      <c r="G215" s="3"/>
      <c r="H215" s="3"/>
      <c r="I215" s="3"/>
      <c r="J215" s="3"/>
      <c r="K215" s="3"/>
      <c r="L215" s="2"/>
      <c r="M215" s="2"/>
      <c r="N215" s="2"/>
      <c r="O215" s="2"/>
      <c r="P215" s="2"/>
      <c r="Q215" s="2"/>
      <c r="R215" s="2"/>
    </row>
    <row r="216">
      <c r="A216" s="3" t="s">
        <v>9</v>
      </c>
      <c r="B216" s="4">
        <v>215.0</v>
      </c>
      <c r="C216" s="3" t="s">
        <v>223</v>
      </c>
      <c r="D216" s="4">
        <v>24.0</v>
      </c>
      <c r="E216" s="4">
        <v>8.552885144E9</v>
      </c>
      <c r="F216" s="3"/>
      <c r="G216" s="3"/>
      <c r="H216" s="3"/>
      <c r="I216" s="3"/>
      <c r="J216" s="3"/>
      <c r="K216" s="3"/>
      <c r="L216" s="2"/>
      <c r="M216" s="2"/>
      <c r="N216" s="2"/>
      <c r="O216" s="2"/>
      <c r="P216" s="2"/>
      <c r="Q216" s="2"/>
      <c r="R216" s="2"/>
    </row>
    <row r="217">
      <c r="A217" s="3" t="s">
        <v>11</v>
      </c>
      <c r="B217" s="4">
        <v>216.0</v>
      </c>
      <c r="C217" s="3" t="s">
        <v>224</v>
      </c>
      <c r="D217" s="4">
        <v>22.0</v>
      </c>
      <c r="E217" s="4">
        <v>9.302487213E9</v>
      </c>
      <c r="F217" s="3"/>
      <c r="G217" s="3"/>
      <c r="H217" s="3"/>
      <c r="I217" s="3"/>
      <c r="J217" s="3"/>
      <c r="K217" s="3"/>
      <c r="L217" s="2"/>
      <c r="M217" s="2"/>
      <c r="N217" s="2"/>
      <c r="O217" s="2"/>
      <c r="P217" s="2"/>
      <c r="Q217" s="2"/>
      <c r="R217" s="2"/>
    </row>
    <row r="218">
      <c r="A218" s="3" t="s">
        <v>13</v>
      </c>
      <c r="B218" s="4">
        <v>217.0</v>
      </c>
      <c r="C218" s="6" t="s">
        <v>225</v>
      </c>
      <c r="D218" s="7">
        <v>35.0</v>
      </c>
      <c r="E218" s="7">
        <v>9.770738678E9</v>
      </c>
      <c r="F218" s="3"/>
      <c r="G218" s="3"/>
      <c r="H218" s="3"/>
      <c r="I218" s="3"/>
      <c r="J218" s="3"/>
      <c r="K218" s="3"/>
      <c r="L218" s="2"/>
      <c r="M218" s="2"/>
      <c r="N218" s="2"/>
      <c r="O218" s="2"/>
      <c r="P218" s="2"/>
      <c r="Q218" s="2"/>
      <c r="R218" s="2"/>
    </row>
    <row r="219">
      <c r="A219" s="3" t="s">
        <v>5</v>
      </c>
      <c r="B219" s="4">
        <v>218.0</v>
      </c>
      <c r="C219" s="3" t="s">
        <v>226</v>
      </c>
      <c r="D219" s="4">
        <v>30.0</v>
      </c>
      <c r="E219" s="9">
        <v>7.303115887E9</v>
      </c>
      <c r="F219" s="3"/>
      <c r="G219" s="3"/>
      <c r="H219" s="3"/>
      <c r="I219" s="3"/>
      <c r="J219" s="3"/>
      <c r="K219" s="3"/>
      <c r="L219" s="2"/>
      <c r="M219" s="2"/>
      <c r="N219" s="2"/>
      <c r="O219" s="2"/>
      <c r="P219" s="2"/>
      <c r="Q219" s="2"/>
      <c r="R219" s="2"/>
    </row>
    <row r="220">
      <c r="A220" s="3" t="s">
        <v>9</v>
      </c>
      <c r="B220" s="4">
        <v>219.0</v>
      </c>
      <c r="C220" s="21" t="s">
        <v>227</v>
      </c>
      <c r="D220" s="13">
        <v>20.0</v>
      </c>
      <c r="E220" s="13">
        <v>7.000712368E9</v>
      </c>
      <c r="F220" s="3"/>
      <c r="G220" s="3"/>
      <c r="H220" s="3"/>
      <c r="I220" s="3"/>
      <c r="J220" s="3"/>
      <c r="K220" s="3"/>
      <c r="L220" s="2"/>
      <c r="M220" s="2"/>
      <c r="N220" s="2"/>
      <c r="O220" s="2"/>
      <c r="P220" s="2"/>
      <c r="Q220" s="2"/>
      <c r="R220" s="2"/>
    </row>
    <row r="221">
      <c r="A221" s="3" t="s">
        <v>11</v>
      </c>
      <c r="B221" s="4">
        <v>220.0</v>
      </c>
      <c r="C221" s="21" t="s">
        <v>228</v>
      </c>
      <c r="D221" s="12">
        <v>24.0</v>
      </c>
      <c r="E221" s="12">
        <v>6.361911747E9</v>
      </c>
      <c r="F221" s="3"/>
      <c r="G221" s="3"/>
      <c r="H221" s="3"/>
      <c r="I221" s="3"/>
      <c r="J221" s="3"/>
      <c r="K221" s="3"/>
      <c r="L221" s="2"/>
      <c r="M221" s="2"/>
      <c r="N221" s="2"/>
      <c r="O221" s="2"/>
      <c r="P221" s="2"/>
      <c r="Q221" s="2"/>
      <c r="R221" s="2"/>
    </row>
    <row r="222">
      <c r="A222" s="3" t="s">
        <v>13</v>
      </c>
      <c r="B222" s="4">
        <v>221.0</v>
      </c>
      <c r="C222" s="21" t="s">
        <v>229</v>
      </c>
      <c r="D222" s="13">
        <v>23.0</v>
      </c>
      <c r="E222" s="13">
        <v>9.926008855E9</v>
      </c>
      <c r="F222" s="3"/>
      <c r="G222" s="3"/>
      <c r="H222" s="3"/>
      <c r="I222" s="3"/>
      <c r="J222" s="3"/>
      <c r="K222" s="3"/>
      <c r="L222" s="2"/>
      <c r="M222" s="2"/>
      <c r="N222" s="2"/>
      <c r="O222" s="2"/>
      <c r="P222" s="2"/>
      <c r="Q222" s="2"/>
      <c r="R222" s="2"/>
    </row>
    <row r="223">
      <c r="A223" s="3" t="s">
        <v>5</v>
      </c>
      <c r="B223" s="4">
        <v>222.0</v>
      </c>
      <c r="C223" s="21" t="s">
        <v>230</v>
      </c>
      <c r="D223" s="13">
        <v>21.0</v>
      </c>
      <c r="E223" s="13">
        <v>9.929552503E9</v>
      </c>
      <c r="F223" s="3"/>
      <c r="G223" s="3"/>
      <c r="H223" s="3"/>
      <c r="I223" s="3"/>
      <c r="J223" s="3"/>
      <c r="K223" s="3"/>
      <c r="L223" s="2"/>
      <c r="M223" s="2"/>
      <c r="N223" s="2"/>
      <c r="O223" s="2"/>
      <c r="P223" s="2"/>
      <c r="Q223" s="2"/>
      <c r="R223" s="2"/>
    </row>
    <row r="224">
      <c r="A224" s="2" t="s">
        <v>7</v>
      </c>
      <c r="B224" s="4">
        <v>223.0</v>
      </c>
      <c r="C224" s="26" t="s">
        <v>231</v>
      </c>
      <c r="D224" s="27">
        <v>20.0</v>
      </c>
      <c r="E224" s="27">
        <v>9.359465389E9</v>
      </c>
      <c r="F224" s="2"/>
      <c r="G224" s="2"/>
      <c r="H224" s="2"/>
      <c r="I224" s="2"/>
      <c r="J224" s="2"/>
      <c r="K224" s="2"/>
      <c r="L224" s="2"/>
      <c r="M224" s="2"/>
      <c r="N224" s="2"/>
      <c r="O224" s="2"/>
      <c r="P224" s="2"/>
      <c r="Q224" s="2"/>
      <c r="R224" s="2"/>
    </row>
    <row r="225">
      <c r="A225" s="2" t="s">
        <v>9</v>
      </c>
      <c r="B225" s="4">
        <v>224.0</v>
      </c>
      <c r="C225" s="26" t="s">
        <v>232</v>
      </c>
      <c r="D225" s="28">
        <v>19.0</v>
      </c>
      <c r="E225" s="28">
        <v>9.916265004E9</v>
      </c>
      <c r="F225" s="2"/>
      <c r="G225" s="2"/>
      <c r="H225" s="2"/>
      <c r="I225" s="2"/>
      <c r="J225" s="2"/>
      <c r="K225" s="2"/>
      <c r="L225" s="2"/>
      <c r="M225" s="2"/>
      <c r="N225" s="2"/>
      <c r="O225" s="2"/>
      <c r="P225" s="2"/>
      <c r="Q225" s="2"/>
      <c r="R225" s="2"/>
    </row>
    <row r="226">
      <c r="A226" s="3" t="s">
        <v>13</v>
      </c>
      <c r="B226" s="4">
        <v>225.0</v>
      </c>
      <c r="C226" s="3" t="s">
        <v>233</v>
      </c>
      <c r="D226" s="4">
        <v>42.0</v>
      </c>
      <c r="E226" s="4">
        <v>9.920666509E9</v>
      </c>
      <c r="F226" s="2"/>
      <c r="G226" s="2"/>
      <c r="H226" s="2"/>
      <c r="I226" s="2"/>
      <c r="J226" s="2"/>
      <c r="K226" s="2"/>
      <c r="L226" s="2"/>
      <c r="M226" s="2"/>
      <c r="N226" s="2"/>
      <c r="O226" s="2"/>
      <c r="P226" s="2"/>
      <c r="Q226" s="2"/>
      <c r="R226" s="2"/>
    </row>
    <row r="227">
      <c r="A227" s="3" t="s">
        <v>5</v>
      </c>
      <c r="B227" s="4">
        <v>226.0</v>
      </c>
      <c r="C227" s="3" t="s">
        <v>234</v>
      </c>
      <c r="D227" s="4">
        <v>23.0</v>
      </c>
      <c r="E227" s="4">
        <v>9.324764627E9</v>
      </c>
      <c r="F227" s="2"/>
      <c r="G227" s="2"/>
      <c r="H227" s="2"/>
      <c r="I227" s="2"/>
      <c r="J227" s="2"/>
      <c r="K227" s="2"/>
      <c r="L227" s="2"/>
      <c r="M227" s="2"/>
      <c r="N227" s="2"/>
      <c r="O227" s="2"/>
      <c r="P227" s="2"/>
      <c r="Q227" s="2"/>
      <c r="R227" s="2"/>
    </row>
    <row r="228">
      <c r="A228" s="3" t="s">
        <v>7</v>
      </c>
      <c r="B228" s="4">
        <v>227.0</v>
      </c>
      <c r="C228" s="3" t="s">
        <v>235</v>
      </c>
      <c r="D228" s="4">
        <v>18.0</v>
      </c>
      <c r="E228" s="4">
        <v>7.389599081E9</v>
      </c>
      <c r="F228" s="2"/>
      <c r="G228" s="2"/>
      <c r="H228" s="2"/>
      <c r="I228" s="2"/>
      <c r="J228" s="2"/>
      <c r="K228" s="2"/>
      <c r="L228" s="2"/>
      <c r="M228" s="2"/>
      <c r="N228" s="2"/>
      <c r="O228" s="2"/>
      <c r="P228" s="2"/>
      <c r="Q228" s="2"/>
      <c r="R228" s="2"/>
    </row>
    <row r="229">
      <c r="A229" s="3" t="s">
        <v>9</v>
      </c>
      <c r="B229" s="4">
        <v>228.0</v>
      </c>
      <c r="C229" s="3" t="s">
        <v>236</v>
      </c>
      <c r="D229" s="4">
        <v>18.0</v>
      </c>
      <c r="E229" s="4">
        <v>9.819352307E9</v>
      </c>
      <c r="F229" s="2"/>
      <c r="G229" s="2"/>
      <c r="H229" s="2"/>
      <c r="I229" s="2"/>
      <c r="J229" s="2"/>
      <c r="K229" s="2"/>
      <c r="L229" s="2"/>
      <c r="M229" s="2"/>
      <c r="N229" s="2"/>
      <c r="O229" s="2"/>
      <c r="P229" s="2"/>
      <c r="Q229" s="2"/>
      <c r="R229" s="2"/>
    </row>
    <row r="230">
      <c r="A230" s="3" t="s">
        <v>11</v>
      </c>
      <c r="B230" s="4">
        <v>229.0</v>
      </c>
      <c r="C230" s="3" t="s">
        <v>237</v>
      </c>
      <c r="D230" s="4">
        <v>14.0</v>
      </c>
      <c r="E230" s="4">
        <v>9.71291323E9</v>
      </c>
      <c r="F230" s="2"/>
      <c r="G230" s="2"/>
      <c r="H230" s="2"/>
      <c r="I230" s="2"/>
      <c r="J230" s="2"/>
      <c r="K230" s="2"/>
      <c r="L230" s="2"/>
      <c r="M230" s="2"/>
      <c r="N230" s="2"/>
      <c r="O230" s="2"/>
      <c r="P230" s="2"/>
      <c r="Q230" s="2"/>
      <c r="R230" s="2"/>
    </row>
    <row r="231">
      <c r="A231" s="2" t="s">
        <v>13</v>
      </c>
      <c r="B231" s="4">
        <v>230.0</v>
      </c>
      <c r="C231" s="29" t="s">
        <v>238</v>
      </c>
      <c r="D231" s="30"/>
      <c r="E231" s="31">
        <v>9.033392768E9</v>
      </c>
      <c r="F231" s="2"/>
      <c r="G231" s="2"/>
      <c r="H231" s="2"/>
      <c r="I231" s="2"/>
      <c r="J231" s="2"/>
      <c r="K231" s="2"/>
      <c r="L231" s="2"/>
      <c r="M231" s="2"/>
      <c r="N231" s="2"/>
      <c r="O231" s="2"/>
      <c r="P231" s="2"/>
      <c r="Q231" s="2"/>
      <c r="R231" s="2"/>
    </row>
    <row r="232">
      <c r="A232" s="2" t="s">
        <v>5</v>
      </c>
      <c r="B232" s="4">
        <v>231.0</v>
      </c>
      <c r="C232" s="26" t="s">
        <v>239</v>
      </c>
      <c r="D232" s="32">
        <v>19.0</v>
      </c>
      <c r="E232" s="27">
        <v>9.361730633E9</v>
      </c>
      <c r="F232" s="2"/>
      <c r="G232" s="2"/>
      <c r="H232" s="2"/>
      <c r="I232" s="2"/>
      <c r="J232" s="2"/>
      <c r="K232" s="2"/>
      <c r="L232" s="2"/>
      <c r="M232" s="2"/>
      <c r="N232" s="2"/>
      <c r="O232" s="2"/>
      <c r="P232" s="2"/>
      <c r="Q232" s="2"/>
      <c r="R232" s="2"/>
    </row>
    <row r="233">
      <c r="A233" s="2" t="s">
        <v>9</v>
      </c>
      <c r="B233" s="4">
        <v>232.0</v>
      </c>
      <c r="C233" s="26" t="s">
        <v>240</v>
      </c>
      <c r="D233" s="28">
        <v>18.0</v>
      </c>
      <c r="E233" s="28">
        <v>8.459287653E9</v>
      </c>
      <c r="F233" s="2"/>
      <c r="G233" s="2"/>
      <c r="H233" s="2"/>
      <c r="I233" s="2"/>
      <c r="J233" s="2"/>
      <c r="K233" s="2"/>
      <c r="L233" s="2"/>
      <c r="M233" s="2"/>
      <c r="N233" s="2"/>
      <c r="O233" s="2"/>
      <c r="P233" s="2"/>
      <c r="Q233" s="2"/>
      <c r="R233" s="2"/>
    </row>
    <row r="234">
      <c r="A234" s="2" t="s">
        <v>13</v>
      </c>
      <c r="B234" s="4">
        <v>233.0</v>
      </c>
      <c r="C234" s="33" t="s">
        <v>241</v>
      </c>
      <c r="D234" s="34">
        <v>28.0</v>
      </c>
      <c r="E234" s="34">
        <v>9.398411424E9</v>
      </c>
      <c r="F234" s="2"/>
      <c r="G234" s="2"/>
      <c r="H234" s="2"/>
      <c r="I234" s="2"/>
      <c r="J234" s="2"/>
      <c r="K234" s="2"/>
      <c r="L234" s="2"/>
      <c r="M234" s="2"/>
      <c r="N234" s="2"/>
      <c r="O234" s="2"/>
      <c r="P234" s="2"/>
      <c r="Q234" s="2"/>
      <c r="R234" s="2"/>
    </row>
    <row r="235">
      <c r="A235" s="3" t="s">
        <v>5</v>
      </c>
      <c r="B235" s="4">
        <v>234.0</v>
      </c>
      <c r="C235" s="6" t="s">
        <v>242</v>
      </c>
      <c r="D235" s="7">
        <v>25.0</v>
      </c>
      <c r="E235" s="7">
        <v>8.871263399E9</v>
      </c>
      <c r="F235" s="2"/>
      <c r="G235" s="2"/>
      <c r="H235" s="2"/>
      <c r="I235" s="2"/>
      <c r="J235" s="2"/>
      <c r="K235" s="2"/>
      <c r="L235" s="2"/>
      <c r="M235" s="2"/>
      <c r="N235" s="2"/>
      <c r="O235" s="2"/>
      <c r="P235" s="2"/>
      <c r="Q235" s="2"/>
      <c r="R235" s="2"/>
    </row>
    <row r="236">
      <c r="A236" s="3" t="s">
        <v>7</v>
      </c>
      <c r="B236" s="4">
        <v>235.0</v>
      </c>
      <c r="C236" s="6" t="s">
        <v>243</v>
      </c>
      <c r="D236" s="7">
        <v>20.0</v>
      </c>
      <c r="E236" s="7">
        <v>8.104201852E9</v>
      </c>
      <c r="F236" s="2"/>
      <c r="G236" s="2"/>
      <c r="H236" s="2"/>
      <c r="I236" s="2"/>
      <c r="J236" s="2"/>
      <c r="K236" s="2"/>
      <c r="L236" s="2"/>
      <c r="M236" s="2"/>
      <c r="N236" s="2"/>
      <c r="O236" s="2"/>
      <c r="P236" s="2"/>
      <c r="Q236" s="2"/>
      <c r="R236" s="2"/>
    </row>
    <row r="237">
      <c r="A237" s="3" t="s">
        <v>9</v>
      </c>
      <c r="B237" s="4">
        <v>236.0</v>
      </c>
      <c r="C237" s="6" t="s">
        <v>244</v>
      </c>
      <c r="D237" s="7">
        <v>32.0</v>
      </c>
      <c r="E237" s="7">
        <v>7.340063713E9</v>
      </c>
      <c r="F237" s="2"/>
      <c r="G237" s="2"/>
      <c r="H237" s="2"/>
      <c r="I237" s="2"/>
      <c r="J237" s="2"/>
      <c r="K237" s="2"/>
      <c r="L237" s="2"/>
      <c r="M237" s="2"/>
      <c r="N237" s="2"/>
      <c r="O237" s="2"/>
      <c r="P237" s="2"/>
      <c r="Q237" s="2"/>
      <c r="R237" s="2"/>
    </row>
    <row r="238">
      <c r="A238" s="3" t="s">
        <v>11</v>
      </c>
      <c r="B238" s="4">
        <v>237.0</v>
      </c>
      <c r="C238" s="3" t="s">
        <v>245</v>
      </c>
      <c r="D238" s="4">
        <v>22.0</v>
      </c>
      <c r="E238" s="4">
        <v>8.824063842E9</v>
      </c>
      <c r="F238" s="2"/>
      <c r="G238" s="2"/>
      <c r="H238" s="2"/>
      <c r="I238" s="2"/>
      <c r="J238" s="2"/>
      <c r="K238" s="2"/>
      <c r="L238" s="2"/>
      <c r="M238" s="2"/>
      <c r="N238" s="2"/>
      <c r="O238" s="2"/>
      <c r="P238" s="2"/>
      <c r="Q238" s="2"/>
      <c r="R238" s="2"/>
    </row>
    <row r="239">
      <c r="A239" s="3" t="s">
        <v>9</v>
      </c>
      <c r="B239" s="4">
        <v>238.0</v>
      </c>
      <c r="C239" s="3" t="s">
        <v>246</v>
      </c>
      <c r="D239" s="4">
        <v>25.0</v>
      </c>
      <c r="E239" s="4">
        <v>9.584333719E9</v>
      </c>
      <c r="F239" s="2"/>
      <c r="G239" s="2"/>
      <c r="H239" s="2"/>
      <c r="I239" s="2"/>
      <c r="J239" s="2"/>
      <c r="K239" s="2"/>
      <c r="L239" s="2"/>
      <c r="M239" s="2"/>
      <c r="N239" s="2"/>
      <c r="O239" s="2"/>
      <c r="P239" s="2"/>
      <c r="Q239" s="2"/>
      <c r="R239" s="2"/>
    </row>
    <row r="240">
      <c r="A240" s="3" t="s">
        <v>11</v>
      </c>
      <c r="B240" s="4">
        <v>239.0</v>
      </c>
      <c r="C240" s="3" t="s">
        <v>247</v>
      </c>
      <c r="D240" s="4">
        <v>20.0</v>
      </c>
      <c r="E240" s="4">
        <v>8.698399988E9</v>
      </c>
      <c r="F240" s="2"/>
      <c r="G240" s="2"/>
      <c r="H240" s="2"/>
      <c r="I240" s="2"/>
      <c r="J240" s="2"/>
      <c r="K240" s="2"/>
      <c r="L240" s="2"/>
      <c r="M240" s="2"/>
      <c r="N240" s="2"/>
      <c r="O240" s="2"/>
      <c r="P240" s="2"/>
      <c r="Q240" s="2"/>
      <c r="R240" s="2"/>
    </row>
    <row r="241">
      <c r="A241" s="3" t="s">
        <v>13</v>
      </c>
      <c r="B241" s="4">
        <v>240.0</v>
      </c>
      <c r="C241" s="6" t="s">
        <v>248</v>
      </c>
      <c r="D241" s="7">
        <v>18.0</v>
      </c>
      <c r="E241" s="7">
        <v>9.770826316E9</v>
      </c>
      <c r="F241" s="2"/>
      <c r="G241" s="2"/>
      <c r="H241" s="2"/>
      <c r="I241" s="2"/>
      <c r="J241" s="2"/>
      <c r="K241" s="2"/>
      <c r="L241" s="2"/>
      <c r="M241" s="2"/>
      <c r="N241" s="2"/>
      <c r="O241" s="2"/>
      <c r="P241" s="2"/>
      <c r="Q241" s="2"/>
      <c r="R241" s="2"/>
    </row>
    <row r="242">
      <c r="A242" s="3" t="s">
        <v>7</v>
      </c>
      <c r="B242" s="4">
        <v>241.0</v>
      </c>
      <c r="C242" s="3" t="s">
        <v>249</v>
      </c>
      <c r="D242" s="4">
        <v>23.0</v>
      </c>
      <c r="E242" s="4">
        <v>8.928452343E9</v>
      </c>
      <c r="F242" s="2"/>
      <c r="G242" s="2"/>
      <c r="H242" s="2"/>
      <c r="I242" s="2"/>
      <c r="J242" s="2"/>
      <c r="K242" s="2"/>
      <c r="L242" s="2"/>
      <c r="M242" s="2"/>
      <c r="N242" s="2"/>
      <c r="O242" s="2"/>
      <c r="P242" s="2"/>
      <c r="Q242" s="2"/>
      <c r="R242" s="2"/>
    </row>
    <row r="243">
      <c r="A243" s="3" t="s">
        <v>9</v>
      </c>
      <c r="B243" s="4">
        <v>242.0</v>
      </c>
      <c r="C243" s="3" t="s">
        <v>250</v>
      </c>
      <c r="D243" s="4">
        <v>24.0</v>
      </c>
      <c r="E243" s="4">
        <v>9.588044122E9</v>
      </c>
      <c r="F243" s="2"/>
      <c r="G243" s="2"/>
      <c r="H243" s="2"/>
      <c r="I243" s="2"/>
      <c r="J243" s="2"/>
      <c r="K243" s="2"/>
      <c r="L243" s="2"/>
      <c r="M243" s="2"/>
      <c r="N243" s="2"/>
      <c r="O243" s="2"/>
      <c r="P243" s="2"/>
      <c r="Q243" s="2"/>
      <c r="R243" s="2"/>
    </row>
    <row r="244">
      <c r="A244" s="3" t="s">
        <v>11</v>
      </c>
      <c r="B244" s="4">
        <v>243.0</v>
      </c>
      <c r="C244" s="3" t="s">
        <v>251</v>
      </c>
      <c r="D244" s="4">
        <v>22.0</v>
      </c>
      <c r="E244" s="4">
        <v>9.00475004E9</v>
      </c>
      <c r="F244" s="2"/>
      <c r="G244" s="2"/>
      <c r="H244" s="2"/>
      <c r="I244" s="2"/>
      <c r="J244" s="2"/>
      <c r="K244" s="2"/>
      <c r="L244" s="2"/>
      <c r="M244" s="2"/>
      <c r="N244" s="2"/>
      <c r="O244" s="2"/>
      <c r="P244" s="2"/>
      <c r="Q244" s="2"/>
      <c r="R244" s="2"/>
    </row>
    <row r="245">
      <c r="A245" s="3" t="s">
        <v>13</v>
      </c>
      <c r="B245" s="4">
        <v>244.0</v>
      </c>
      <c r="C245" s="35" t="s">
        <v>252</v>
      </c>
      <c r="D245" s="22"/>
      <c r="E245" s="36">
        <v>9.302903026E9</v>
      </c>
      <c r="F245" s="2"/>
      <c r="G245" s="2"/>
      <c r="H245" s="2"/>
      <c r="I245" s="2"/>
      <c r="J245" s="2"/>
      <c r="K245" s="2"/>
      <c r="L245" s="2"/>
      <c r="M245" s="2"/>
      <c r="N245" s="2"/>
      <c r="O245" s="2"/>
      <c r="P245" s="2"/>
      <c r="Q245" s="2"/>
      <c r="R245" s="2"/>
    </row>
    <row r="246">
      <c r="A246" s="3" t="s">
        <v>5</v>
      </c>
      <c r="B246" s="4">
        <v>245.0</v>
      </c>
      <c r="C246" s="21" t="s">
        <v>253</v>
      </c>
      <c r="D246" s="13">
        <v>23.0</v>
      </c>
      <c r="E246" s="13">
        <v>7.692870939E9</v>
      </c>
      <c r="F246" s="2"/>
      <c r="G246" s="2"/>
      <c r="H246" s="2"/>
      <c r="I246" s="2"/>
      <c r="J246" s="2"/>
      <c r="K246" s="2"/>
      <c r="L246" s="2"/>
      <c r="M246" s="2"/>
      <c r="N246" s="2"/>
      <c r="O246" s="2"/>
      <c r="P246" s="2"/>
      <c r="Q246" s="2"/>
      <c r="R246" s="2"/>
    </row>
    <row r="247">
      <c r="A247" s="3" t="s">
        <v>7</v>
      </c>
      <c r="B247" s="4">
        <v>246.0</v>
      </c>
      <c r="C247" s="3" t="s">
        <v>254</v>
      </c>
      <c r="D247" s="4">
        <v>27.0</v>
      </c>
      <c r="E247" s="4">
        <v>8.269817965E9</v>
      </c>
      <c r="F247" s="2"/>
      <c r="G247" s="2"/>
      <c r="H247" s="2"/>
      <c r="I247" s="2"/>
      <c r="J247" s="2"/>
      <c r="K247" s="2"/>
      <c r="L247" s="2"/>
      <c r="M247" s="2"/>
      <c r="N247" s="2"/>
      <c r="O247" s="2"/>
      <c r="P247" s="2"/>
      <c r="Q247" s="2"/>
      <c r="R247" s="2"/>
    </row>
    <row r="248">
      <c r="A248" s="3" t="s">
        <v>11</v>
      </c>
      <c r="B248" s="4">
        <v>247.0</v>
      </c>
      <c r="C248" s="14" t="s">
        <v>255</v>
      </c>
      <c r="D248" s="15">
        <v>18.0</v>
      </c>
      <c r="E248" s="15">
        <v>7.058530107E9</v>
      </c>
      <c r="F248" s="2"/>
      <c r="G248" s="2"/>
      <c r="H248" s="2"/>
      <c r="I248" s="2"/>
      <c r="J248" s="2"/>
      <c r="K248" s="2"/>
      <c r="L248" s="2"/>
      <c r="M248" s="2"/>
      <c r="N248" s="2"/>
      <c r="O248" s="2"/>
      <c r="P248" s="2"/>
      <c r="Q248" s="2"/>
      <c r="R248" s="2"/>
    </row>
    <row r="249">
      <c r="A249" s="3" t="s">
        <v>13</v>
      </c>
      <c r="B249" s="4">
        <v>248.0</v>
      </c>
      <c r="C249" s="3" t="s">
        <v>256</v>
      </c>
      <c r="D249" s="4">
        <v>40.0</v>
      </c>
      <c r="E249" s="4">
        <v>9.619224399E9</v>
      </c>
      <c r="F249" s="2"/>
      <c r="G249" s="2"/>
      <c r="H249" s="2"/>
      <c r="I249" s="2"/>
      <c r="J249" s="2"/>
      <c r="K249" s="2"/>
      <c r="L249" s="2"/>
      <c r="M249" s="2"/>
      <c r="N249" s="2"/>
      <c r="O249" s="2"/>
      <c r="P249" s="2"/>
      <c r="Q249" s="2"/>
      <c r="R249" s="2"/>
    </row>
    <row r="250">
      <c r="A250" s="3" t="s">
        <v>5</v>
      </c>
      <c r="B250" s="4">
        <v>249.0</v>
      </c>
      <c r="C250" s="14" t="s">
        <v>257</v>
      </c>
      <c r="D250" s="15">
        <v>25.0</v>
      </c>
      <c r="E250" s="15">
        <v>8.92801288E9</v>
      </c>
      <c r="F250" s="2"/>
      <c r="G250" s="2"/>
      <c r="H250" s="2"/>
      <c r="I250" s="2"/>
      <c r="J250" s="2"/>
      <c r="K250" s="2"/>
      <c r="L250" s="2"/>
      <c r="M250" s="2"/>
      <c r="N250" s="2"/>
      <c r="O250" s="2"/>
      <c r="P250" s="2"/>
      <c r="Q250" s="2"/>
      <c r="R250" s="2"/>
    </row>
    <row r="251">
      <c r="A251" s="3" t="s">
        <v>7</v>
      </c>
      <c r="B251" s="4">
        <v>250.0</v>
      </c>
      <c r="C251" s="21" t="s">
        <v>258</v>
      </c>
      <c r="D251" s="12">
        <v>26.0</v>
      </c>
      <c r="E251" s="12">
        <v>8.080352505E9</v>
      </c>
      <c r="F251" s="2"/>
      <c r="G251" s="2"/>
      <c r="H251" s="2"/>
      <c r="I251" s="2"/>
      <c r="J251" s="2"/>
      <c r="K251" s="2"/>
      <c r="L251" s="2"/>
      <c r="M251" s="2"/>
      <c r="N251" s="2"/>
      <c r="O251" s="2"/>
      <c r="P251" s="2"/>
      <c r="Q251" s="2"/>
      <c r="R251" s="2"/>
    </row>
    <row r="252">
      <c r="A252" s="3" t="s">
        <v>9</v>
      </c>
      <c r="B252" s="4">
        <v>251.0</v>
      </c>
      <c r="C252" s="21" t="s">
        <v>259</v>
      </c>
      <c r="D252" s="12">
        <v>33.0</v>
      </c>
      <c r="E252" s="12">
        <v>8.879768484E9</v>
      </c>
      <c r="F252" s="2"/>
      <c r="G252" s="2"/>
      <c r="H252" s="2"/>
      <c r="I252" s="2"/>
      <c r="J252" s="2"/>
      <c r="K252" s="2"/>
      <c r="L252" s="2"/>
      <c r="M252" s="2"/>
      <c r="N252" s="2"/>
      <c r="O252" s="2"/>
      <c r="P252" s="2"/>
      <c r="Q252" s="2"/>
      <c r="R252" s="2"/>
    </row>
    <row r="253">
      <c r="A253" s="3" t="s">
        <v>13</v>
      </c>
      <c r="B253" s="4">
        <v>252.0</v>
      </c>
      <c r="C253" s="21" t="s">
        <v>260</v>
      </c>
      <c r="D253" s="13">
        <v>22.0</v>
      </c>
      <c r="E253" s="13">
        <v>8.488813555E9</v>
      </c>
      <c r="F253" s="2"/>
      <c r="G253" s="2"/>
      <c r="H253" s="2"/>
      <c r="I253" s="2"/>
      <c r="J253" s="2"/>
      <c r="K253" s="2"/>
      <c r="L253" s="2"/>
      <c r="M253" s="2"/>
      <c r="N253" s="2"/>
      <c r="O253" s="2"/>
      <c r="P253" s="2"/>
      <c r="Q253" s="2"/>
      <c r="R253" s="2"/>
    </row>
    <row r="254">
      <c r="A254" s="3" t="s">
        <v>5</v>
      </c>
      <c r="B254" s="4">
        <v>253.0</v>
      </c>
      <c r="C254" s="24" t="s">
        <v>261</v>
      </c>
      <c r="D254" s="13">
        <v>22.0</v>
      </c>
      <c r="E254" s="13">
        <v>9.408412844E9</v>
      </c>
      <c r="F254" s="2"/>
      <c r="G254" s="2"/>
      <c r="H254" s="2"/>
      <c r="I254" s="2"/>
      <c r="J254" s="2"/>
      <c r="K254" s="2"/>
      <c r="L254" s="2"/>
      <c r="M254" s="2"/>
      <c r="N254" s="2"/>
      <c r="O254" s="2"/>
      <c r="P254" s="2"/>
      <c r="Q254" s="2"/>
      <c r="R254" s="2"/>
    </row>
    <row r="255">
      <c r="A255" s="3" t="s">
        <v>7</v>
      </c>
      <c r="B255" s="4">
        <v>254.0</v>
      </c>
      <c r="C255" s="24" t="s">
        <v>262</v>
      </c>
      <c r="D255" s="12">
        <v>24.0</v>
      </c>
      <c r="E255" s="12">
        <v>9.328009275E9</v>
      </c>
      <c r="F255" s="2"/>
      <c r="G255" s="2"/>
      <c r="H255" s="2"/>
      <c r="I255" s="2"/>
      <c r="J255" s="2"/>
      <c r="K255" s="2"/>
      <c r="L255" s="2"/>
      <c r="M255" s="2"/>
      <c r="N255" s="2"/>
      <c r="O255" s="2"/>
      <c r="P255" s="2"/>
      <c r="Q255" s="2"/>
      <c r="R255" s="2"/>
    </row>
    <row r="256">
      <c r="A256" s="3" t="s">
        <v>9</v>
      </c>
      <c r="B256" s="4">
        <v>255.0</v>
      </c>
      <c r="C256" s="14" t="s">
        <v>263</v>
      </c>
      <c r="D256" s="15">
        <v>24.0</v>
      </c>
      <c r="E256" s="15">
        <v>9.033120743E9</v>
      </c>
      <c r="F256" s="2"/>
      <c r="G256" s="2"/>
      <c r="H256" s="2"/>
      <c r="I256" s="2"/>
      <c r="J256" s="2"/>
      <c r="K256" s="2"/>
      <c r="L256" s="2"/>
      <c r="M256" s="2"/>
      <c r="N256" s="2"/>
      <c r="O256" s="2"/>
      <c r="P256" s="2"/>
      <c r="Q256" s="2"/>
      <c r="R256" s="2"/>
    </row>
    <row r="257">
      <c r="A257" s="3" t="s">
        <v>11</v>
      </c>
      <c r="B257" s="4">
        <v>256.0</v>
      </c>
      <c r="C257" s="10" t="s">
        <v>264</v>
      </c>
      <c r="D257" s="12">
        <v>19.0</v>
      </c>
      <c r="E257" s="12">
        <v>9.426533109E9</v>
      </c>
      <c r="F257" s="2"/>
      <c r="G257" s="2"/>
      <c r="H257" s="2"/>
      <c r="I257" s="2"/>
      <c r="J257" s="2"/>
      <c r="K257" s="2"/>
      <c r="L257" s="2"/>
      <c r="M257" s="2"/>
      <c r="N257" s="2"/>
      <c r="O257" s="2"/>
      <c r="P257" s="2"/>
      <c r="Q257" s="2"/>
      <c r="R257" s="2"/>
    </row>
    <row r="258">
      <c r="A258" s="3" t="s">
        <v>13</v>
      </c>
      <c r="B258" s="4">
        <v>257.0</v>
      </c>
      <c r="C258" s="3" t="s">
        <v>265</v>
      </c>
      <c r="D258" s="4">
        <v>23.0</v>
      </c>
      <c r="E258" s="4">
        <v>9.1727443E9</v>
      </c>
      <c r="F258" s="3"/>
      <c r="G258" s="3"/>
      <c r="H258" s="3"/>
      <c r="I258" s="3"/>
      <c r="J258" s="3"/>
      <c r="K258" s="3"/>
      <c r="L258" s="2"/>
      <c r="M258" s="2"/>
      <c r="N258" s="2"/>
      <c r="O258" s="2"/>
      <c r="P258" s="2"/>
      <c r="Q258" s="2"/>
      <c r="R258" s="2"/>
    </row>
    <row r="259">
      <c r="A259" s="3" t="s">
        <v>5</v>
      </c>
      <c r="B259" s="4">
        <v>258.0</v>
      </c>
      <c r="C259" s="10" t="s">
        <v>266</v>
      </c>
      <c r="D259" s="13">
        <v>26.0</v>
      </c>
      <c r="E259" s="13">
        <v>8.655852603E9</v>
      </c>
      <c r="F259" s="3"/>
      <c r="G259" s="3"/>
      <c r="H259" s="3"/>
      <c r="I259" s="3"/>
      <c r="J259" s="3"/>
      <c r="K259" s="3"/>
      <c r="L259" s="2"/>
      <c r="M259" s="2"/>
      <c r="N259" s="2"/>
      <c r="O259" s="2"/>
      <c r="P259" s="2"/>
      <c r="Q259" s="2"/>
      <c r="R259" s="2"/>
    </row>
    <row r="260">
      <c r="A260" s="3" t="s">
        <v>7</v>
      </c>
      <c r="B260" s="4">
        <v>259.0</v>
      </c>
      <c r="C260" s="3" t="s">
        <v>267</v>
      </c>
      <c r="D260" s="4">
        <v>28.0</v>
      </c>
      <c r="E260" s="4">
        <v>8.209003271E9</v>
      </c>
      <c r="F260" s="3"/>
      <c r="G260" s="3"/>
      <c r="H260" s="3"/>
      <c r="I260" s="3"/>
      <c r="J260" s="3"/>
      <c r="K260" s="3"/>
      <c r="L260" s="2"/>
      <c r="M260" s="2"/>
      <c r="N260" s="2"/>
      <c r="O260" s="2"/>
      <c r="P260" s="2"/>
      <c r="Q260" s="2"/>
      <c r="R260" s="2"/>
    </row>
    <row r="261">
      <c r="A261" s="3" t="s">
        <v>9</v>
      </c>
      <c r="B261" s="4">
        <v>260.0</v>
      </c>
      <c r="C261" s="3" t="s">
        <v>268</v>
      </c>
      <c r="D261" s="4">
        <v>33.0</v>
      </c>
      <c r="E261" s="4">
        <v>8.43557622E9</v>
      </c>
      <c r="F261" s="3"/>
      <c r="G261" s="3"/>
      <c r="H261" s="3"/>
      <c r="I261" s="3"/>
      <c r="J261" s="3"/>
      <c r="K261" s="3"/>
      <c r="L261" s="2"/>
      <c r="M261" s="2"/>
      <c r="N261" s="2"/>
      <c r="O261" s="2"/>
      <c r="P261" s="2"/>
      <c r="Q261" s="2"/>
      <c r="R261" s="2"/>
    </row>
    <row r="262">
      <c r="A262" s="3" t="s">
        <v>11</v>
      </c>
      <c r="B262" s="4">
        <v>261.0</v>
      </c>
      <c r="C262" s="21" t="s">
        <v>269</v>
      </c>
      <c r="D262" s="12">
        <v>19.0</v>
      </c>
      <c r="E262" s="12">
        <v>9.171396575E9</v>
      </c>
      <c r="F262" s="3"/>
      <c r="G262" s="3"/>
      <c r="H262" s="3"/>
      <c r="I262" s="3"/>
      <c r="J262" s="3"/>
      <c r="K262" s="3"/>
      <c r="L262" s="2"/>
      <c r="M262" s="2"/>
      <c r="N262" s="2"/>
      <c r="O262" s="2"/>
      <c r="P262" s="2"/>
      <c r="Q262" s="2"/>
      <c r="R262" s="2"/>
    </row>
    <row r="263">
      <c r="A263" s="3" t="s">
        <v>13</v>
      </c>
      <c r="B263" s="4">
        <v>262.0</v>
      </c>
      <c r="C263" s="3" t="s">
        <v>270</v>
      </c>
      <c r="D263" s="4">
        <v>36.0</v>
      </c>
      <c r="E263" s="4">
        <v>9.86767232E9</v>
      </c>
      <c r="F263" s="3"/>
      <c r="G263" s="3"/>
      <c r="H263" s="3"/>
      <c r="I263" s="3"/>
      <c r="J263" s="3"/>
      <c r="K263" s="3"/>
      <c r="L263" s="2"/>
      <c r="M263" s="2"/>
      <c r="N263" s="2"/>
      <c r="O263" s="2"/>
      <c r="P263" s="2"/>
      <c r="Q263" s="2"/>
      <c r="R263" s="2"/>
    </row>
    <row r="264">
      <c r="A264" s="3" t="s">
        <v>5</v>
      </c>
      <c r="B264" s="4">
        <v>263.0</v>
      </c>
      <c r="C264" s="21" t="s">
        <v>271</v>
      </c>
      <c r="D264" s="22"/>
      <c r="E264" s="12">
        <v>9.893664876E9</v>
      </c>
      <c r="F264" s="3"/>
      <c r="G264" s="3"/>
      <c r="H264" s="3"/>
      <c r="I264" s="3"/>
      <c r="J264" s="3"/>
      <c r="K264" s="3"/>
      <c r="L264" s="2"/>
      <c r="M264" s="2"/>
      <c r="N264" s="2"/>
      <c r="O264" s="2"/>
      <c r="P264" s="2"/>
      <c r="Q264" s="2"/>
      <c r="R264" s="2"/>
    </row>
    <row r="265">
      <c r="A265" s="3" t="s">
        <v>9</v>
      </c>
      <c r="B265" s="4">
        <v>264.0</v>
      </c>
      <c r="C265" s="10" t="s">
        <v>272</v>
      </c>
      <c r="D265" s="12">
        <v>17.0</v>
      </c>
      <c r="E265" s="12">
        <v>8.982736141E9</v>
      </c>
      <c r="F265" s="3"/>
      <c r="G265" s="3"/>
      <c r="H265" s="3"/>
      <c r="I265" s="3"/>
      <c r="J265" s="3"/>
      <c r="K265" s="3"/>
      <c r="L265" s="2"/>
      <c r="M265" s="2"/>
      <c r="N265" s="2"/>
      <c r="O265" s="2"/>
      <c r="P265" s="2"/>
      <c r="Q265" s="2"/>
      <c r="R265" s="2"/>
    </row>
    <row r="266">
      <c r="A266" s="3" t="s">
        <v>11</v>
      </c>
      <c r="B266" s="4">
        <v>265.0</v>
      </c>
      <c r="C266" s="6" t="s">
        <v>273</v>
      </c>
      <c r="D266" s="7">
        <v>28.0</v>
      </c>
      <c r="E266" s="7">
        <v>7.021355704E9</v>
      </c>
      <c r="F266" s="3"/>
      <c r="G266" s="3"/>
      <c r="H266" s="3"/>
      <c r="I266" s="3"/>
      <c r="J266" s="3"/>
      <c r="K266" s="3"/>
      <c r="L266" s="2"/>
      <c r="M266" s="2"/>
      <c r="N266" s="2"/>
      <c r="O266" s="2"/>
      <c r="P266" s="2"/>
      <c r="Q266" s="2"/>
      <c r="R266" s="2"/>
    </row>
    <row r="267">
      <c r="A267" s="3" t="s">
        <v>13</v>
      </c>
      <c r="B267" s="4">
        <v>266.0</v>
      </c>
      <c r="C267" s="6" t="s">
        <v>274</v>
      </c>
      <c r="D267" s="7">
        <v>25.0</v>
      </c>
      <c r="E267" s="7">
        <v>7.208775076E9</v>
      </c>
      <c r="F267" s="3"/>
      <c r="G267" s="3"/>
      <c r="H267" s="3"/>
      <c r="I267" s="3"/>
      <c r="J267" s="3"/>
      <c r="K267" s="3"/>
      <c r="L267" s="2"/>
      <c r="M267" s="2"/>
      <c r="N267" s="2"/>
      <c r="O267" s="2"/>
      <c r="P267" s="2"/>
      <c r="Q267" s="2"/>
      <c r="R267" s="2"/>
    </row>
    <row r="268">
      <c r="A268" s="3" t="s">
        <v>5</v>
      </c>
      <c r="B268" s="4">
        <v>267.0</v>
      </c>
      <c r="C268" s="3" t="s">
        <v>275</v>
      </c>
      <c r="D268" s="4">
        <v>23.0</v>
      </c>
      <c r="E268" s="4">
        <v>7.777008892E9</v>
      </c>
      <c r="F268" s="3"/>
      <c r="G268" s="3"/>
      <c r="H268" s="3"/>
      <c r="I268" s="3"/>
      <c r="J268" s="3"/>
      <c r="K268" s="3"/>
      <c r="L268" s="2"/>
      <c r="M268" s="2"/>
      <c r="N268" s="2"/>
      <c r="O268" s="2"/>
      <c r="P268" s="2"/>
      <c r="Q268" s="2"/>
      <c r="R268" s="2"/>
    </row>
    <row r="269">
      <c r="A269" s="3" t="s">
        <v>7</v>
      </c>
      <c r="B269" s="4">
        <v>268.0</v>
      </c>
      <c r="C269" s="3" t="s">
        <v>276</v>
      </c>
      <c r="D269" s="4">
        <v>24.0</v>
      </c>
      <c r="E269" s="4">
        <v>8.446465513E9</v>
      </c>
      <c r="F269" s="3"/>
      <c r="G269" s="3"/>
      <c r="H269" s="3"/>
      <c r="I269" s="3"/>
      <c r="J269" s="3"/>
      <c r="K269" s="3"/>
      <c r="L269" s="2"/>
      <c r="M269" s="2"/>
      <c r="N269" s="2"/>
      <c r="O269" s="2"/>
      <c r="P269" s="2"/>
      <c r="Q269" s="2"/>
      <c r="R269" s="2"/>
    </row>
    <row r="270">
      <c r="A270" s="3" t="s">
        <v>11</v>
      </c>
      <c r="B270" s="4">
        <v>269.0</v>
      </c>
      <c r="C270" s="3" t="s">
        <v>277</v>
      </c>
      <c r="D270" s="4">
        <v>17.0</v>
      </c>
      <c r="E270" s="4">
        <v>9.739926679E9</v>
      </c>
      <c r="F270" s="3"/>
      <c r="G270" s="3"/>
      <c r="H270" s="3"/>
      <c r="I270" s="3"/>
      <c r="J270" s="3"/>
      <c r="K270" s="3"/>
      <c r="L270" s="2"/>
      <c r="M270" s="2"/>
      <c r="N270" s="2"/>
      <c r="O270" s="2"/>
      <c r="P270" s="2"/>
      <c r="Q270" s="2"/>
      <c r="R270" s="2"/>
    </row>
    <row r="271">
      <c r="A271" s="3" t="s">
        <v>13</v>
      </c>
      <c r="B271" s="4">
        <v>270.0</v>
      </c>
      <c r="C271" s="3" t="s">
        <v>278</v>
      </c>
      <c r="D271" s="4">
        <v>16.0</v>
      </c>
      <c r="E271" s="4">
        <v>7.879575799E9</v>
      </c>
      <c r="F271" s="3"/>
      <c r="G271" s="3"/>
      <c r="H271" s="3"/>
      <c r="I271" s="3"/>
      <c r="J271" s="3"/>
      <c r="K271" s="3"/>
      <c r="L271" s="2"/>
      <c r="M271" s="2"/>
      <c r="N271" s="2"/>
      <c r="O271" s="2"/>
      <c r="P271" s="2"/>
      <c r="Q271" s="2"/>
      <c r="R271" s="2"/>
    </row>
    <row r="272">
      <c r="A272" s="3" t="s">
        <v>5</v>
      </c>
      <c r="B272" s="4">
        <v>271.0</v>
      </c>
      <c r="C272" s="8" t="s">
        <v>279</v>
      </c>
      <c r="D272" s="3"/>
      <c r="E272" s="5">
        <v>7.909553001E9</v>
      </c>
      <c r="F272" s="3"/>
      <c r="G272" s="3"/>
      <c r="H272" s="3"/>
      <c r="I272" s="3"/>
      <c r="J272" s="3"/>
      <c r="K272" s="3"/>
      <c r="L272" s="2"/>
      <c r="M272" s="2"/>
      <c r="N272" s="2"/>
      <c r="O272" s="2"/>
      <c r="P272" s="2"/>
      <c r="Q272" s="2"/>
      <c r="R272" s="2"/>
    </row>
    <row r="273">
      <c r="A273" s="3" t="s">
        <v>7</v>
      </c>
      <c r="B273" s="4">
        <v>272.0</v>
      </c>
      <c r="C273" s="3" t="s">
        <v>280</v>
      </c>
      <c r="D273" s="4">
        <v>16.0</v>
      </c>
      <c r="E273" s="4">
        <v>9.479701685E9</v>
      </c>
      <c r="F273" s="3"/>
      <c r="G273" s="3"/>
      <c r="H273" s="3"/>
      <c r="I273" s="3"/>
      <c r="J273" s="3"/>
      <c r="K273" s="3"/>
      <c r="L273" s="2"/>
      <c r="M273" s="2"/>
      <c r="N273" s="2"/>
      <c r="O273" s="2"/>
      <c r="P273" s="2"/>
      <c r="Q273" s="2"/>
      <c r="R273" s="2"/>
    </row>
    <row r="274">
      <c r="A274" s="3" t="s">
        <v>11</v>
      </c>
      <c r="B274" s="4">
        <v>273.0</v>
      </c>
      <c r="C274" s="3" t="s">
        <v>281</v>
      </c>
      <c r="D274" s="4">
        <v>21.0</v>
      </c>
      <c r="E274" s="4">
        <v>9.300122738E9</v>
      </c>
      <c r="F274" s="3"/>
      <c r="G274" s="3"/>
      <c r="H274" s="3"/>
      <c r="I274" s="3"/>
      <c r="J274" s="3"/>
      <c r="K274" s="3"/>
      <c r="L274" s="2"/>
      <c r="M274" s="2"/>
      <c r="N274" s="2"/>
      <c r="O274" s="2"/>
      <c r="P274" s="2"/>
      <c r="Q274" s="2"/>
      <c r="R274" s="2"/>
    </row>
    <row r="275">
      <c r="A275" s="3" t="s">
        <v>13</v>
      </c>
      <c r="B275" s="4">
        <v>274.0</v>
      </c>
      <c r="C275" s="3" t="s">
        <v>282</v>
      </c>
      <c r="D275" s="4">
        <v>34.0</v>
      </c>
      <c r="E275" s="4">
        <v>9.76940604E9</v>
      </c>
      <c r="F275" s="3"/>
      <c r="G275" s="3"/>
      <c r="H275" s="3"/>
      <c r="I275" s="3"/>
      <c r="J275" s="3"/>
      <c r="K275" s="3"/>
      <c r="L275" s="2"/>
      <c r="M275" s="2"/>
      <c r="N275" s="2"/>
      <c r="O275" s="2"/>
      <c r="P275" s="2"/>
      <c r="Q275" s="2"/>
      <c r="R275" s="2"/>
    </row>
    <row r="276">
      <c r="A276" s="3" t="s">
        <v>5</v>
      </c>
      <c r="B276" s="4">
        <v>275.0</v>
      </c>
      <c r="C276" s="3" t="s">
        <v>283</v>
      </c>
      <c r="D276" s="4">
        <v>37.0</v>
      </c>
      <c r="E276" s="4">
        <v>9.833147155E9</v>
      </c>
      <c r="F276" s="3"/>
      <c r="G276" s="3"/>
      <c r="H276" s="3"/>
      <c r="I276" s="3"/>
      <c r="J276" s="3"/>
      <c r="K276" s="3"/>
      <c r="L276" s="2"/>
      <c r="M276" s="2"/>
      <c r="N276" s="2"/>
      <c r="O276" s="2"/>
      <c r="P276" s="2"/>
      <c r="Q276" s="2"/>
      <c r="R276" s="2"/>
    </row>
    <row r="277">
      <c r="A277" s="3" t="s">
        <v>7</v>
      </c>
      <c r="B277" s="4">
        <v>276.0</v>
      </c>
      <c r="C277" s="3" t="s">
        <v>284</v>
      </c>
      <c r="D277" s="4">
        <v>35.0</v>
      </c>
      <c r="E277" s="4">
        <v>8.085831234E9</v>
      </c>
      <c r="F277" s="3"/>
      <c r="G277" s="3"/>
      <c r="H277" s="3"/>
      <c r="I277" s="3"/>
      <c r="J277" s="3"/>
      <c r="K277" s="3"/>
      <c r="L277" s="2"/>
      <c r="M277" s="2"/>
      <c r="N277" s="2"/>
      <c r="O277" s="2"/>
      <c r="P277" s="2"/>
      <c r="Q277" s="2"/>
      <c r="R277" s="2"/>
    </row>
    <row r="278">
      <c r="A278" s="3" t="s">
        <v>9</v>
      </c>
      <c r="B278" s="4">
        <v>277.0</v>
      </c>
      <c r="C278" s="3" t="s">
        <v>285</v>
      </c>
      <c r="D278" s="4">
        <v>35.0</v>
      </c>
      <c r="E278" s="4">
        <v>9.66493465E9</v>
      </c>
      <c r="F278" s="3"/>
      <c r="G278" s="3"/>
      <c r="H278" s="3"/>
      <c r="I278" s="3"/>
      <c r="J278" s="3"/>
      <c r="K278" s="3"/>
      <c r="L278" s="2"/>
      <c r="M278" s="2"/>
      <c r="N278" s="2"/>
      <c r="O278" s="2"/>
      <c r="P278" s="2"/>
      <c r="Q278" s="2"/>
      <c r="R278" s="2"/>
    </row>
    <row r="279">
      <c r="A279" s="3" t="s">
        <v>11</v>
      </c>
      <c r="B279" s="4">
        <v>278.0</v>
      </c>
      <c r="C279" s="3" t="s">
        <v>286</v>
      </c>
      <c r="D279" s="3"/>
      <c r="E279" s="4">
        <v>6.375968292E9</v>
      </c>
      <c r="F279" s="3"/>
      <c r="G279" s="3"/>
      <c r="H279" s="3"/>
      <c r="I279" s="3"/>
      <c r="J279" s="3"/>
      <c r="K279" s="3"/>
      <c r="L279" s="2"/>
      <c r="M279" s="2"/>
      <c r="N279" s="2"/>
      <c r="O279" s="2"/>
      <c r="P279" s="2"/>
      <c r="Q279" s="2"/>
      <c r="R279" s="2"/>
    </row>
    <row r="280">
      <c r="A280" s="3" t="s">
        <v>13</v>
      </c>
      <c r="B280" s="4">
        <v>279.0</v>
      </c>
      <c r="C280" s="3" t="s">
        <v>287</v>
      </c>
      <c r="D280" s="4">
        <v>25.0</v>
      </c>
      <c r="E280" s="4">
        <v>9.833187565E9</v>
      </c>
      <c r="F280" s="3"/>
      <c r="G280" s="3"/>
      <c r="H280" s="3"/>
      <c r="I280" s="3"/>
      <c r="J280" s="3"/>
      <c r="K280" s="3"/>
      <c r="L280" s="2"/>
      <c r="M280" s="2"/>
      <c r="N280" s="2"/>
      <c r="O280" s="2"/>
      <c r="P280" s="2"/>
      <c r="Q280" s="2"/>
      <c r="R280" s="2"/>
    </row>
    <row r="281">
      <c r="A281" s="3" t="s">
        <v>5</v>
      </c>
      <c r="B281" s="4">
        <v>280.0</v>
      </c>
      <c r="C281" s="6" t="s">
        <v>288</v>
      </c>
      <c r="D281" s="7">
        <v>16.0</v>
      </c>
      <c r="E281" s="7">
        <v>7.724878393E9</v>
      </c>
      <c r="F281" s="3"/>
      <c r="G281" s="3"/>
      <c r="H281" s="3"/>
      <c r="I281" s="3"/>
      <c r="J281" s="3"/>
      <c r="K281" s="3"/>
      <c r="L281" s="2"/>
      <c r="M281" s="2"/>
      <c r="N281" s="2"/>
      <c r="O281" s="2"/>
      <c r="P281" s="2"/>
      <c r="Q281" s="2"/>
      <c r="R281" s="2"/>
    </row>
    <row r="282">
      <c r="A282" s="3" t="s">
        <v>7</v>
      </c>
      <c r="B282" s="4">
        <v>281.0</v>
      </c>
      <c r="C282" s="37" t="s">
        <v>288</v>
      </c>
      <c r="D282" s="38">
        <v>16.0</v>
      </c>
      <c r="E282" s="38">
        <v>6.264523877E9</v>
      </c>
      <c r="F282" s="3"/>
      <c r="G282" s="3"/>
      <c r="H282" s="3"/>
      <c r="I282" s="3"/>
      <c r="J282" s="3"/>
      <c r="K282" s="3"/>
      <c r="L282" s="2"/>
      <c r="M282" s="2"/>
      <c r="N282" s="2"/>
      <c r="O282" s="2"/>
      <c r="P282" s="2"/>
      <c r="Q282" s="2"/>
      <c r="R282" s="2"/>
    </row>
    <row r="283">
      <c r="A283" s="3" t="s">
        <v>9</v>
      </c>
      <c r="B283" s="4">
        <v>282.0</v>
      </c>
      <c r="C283" s="3" t="s">
        <v>289</v>
      </c>
      <c r="D283" s="4">
        <v>15.0</v>
      </c>
      <c r="E283" s="4">
        <v>9.685079278E9</v>
      </c>
      <c r="F283" s="3"/>
      <c r="G283" s="3"/>
      <c r="H283" s="3"/>
      <c r="I283" s="3"/>
      <c r="J283" s="3"/>
      <c r="K283" s="3"/>
      <c r="L283" s="2"/>
      <c r="M283" s="2"/>
      <c r="N283" s="2"/>
      <c r="O283" s="2"/>
      <c r="P283" s="2"/>
      <c r="Q283" s="2"/>
      <c r="R283" s="2"/>
    </row>
    <row r="284">
      <c r="A284" s="3" t="s">
        <v>11</v>
      </c>
      <c r="B284" s="4">
        <v>283.0</v>
      </c>
      <c r="C284" s="6" t="s">
        <v>290</v>
      </c>
      <c r="D284" s="7">
        <v>19.0</v>
      </c>
      <c r="E284" s="7">
        <v>8.39012839E9</v>
      </c>
      <c r="F284" s="3"/>
      <c r="G284" s="3"/>
      <c r="H284" s="3"/>
      <c r="I284" s="3"/>
      <c r="J284" s="3"/>
      <c r="K284" s="3"/>
      <c r="L284" s="2"/>
      <c r="M284" s="2"/>
      <c r="N284" s="2"/>
      <c r="O284" s="2"/>
      <c r="P284" s="2"/>
      <c r="Q284" s="2"/>
      <c r="R284" s="2"/>
    </row>
    <row r="285">
      <c r="A285" s="3" t="s">
        <v>13</v>
      </c>
      <c r="B285" s="4">
        <v>284.0</v>
      </c>
      <c r="C285" s="3" t="s">
        <v>291</v>
      </c>
      <c r="D285" s="4">
        <v>14.0</v>
      </c>
      <c r="E285" s="4">
        <v>7.999380042E9</v>
      </c>
      <c r="F285" s="3"/>
      <c r="G285" s="3"/>
      <c r="H285" s="3"/>
      <c r="I285" s="3"/>
      <c r="J285" s="3"/>
      <c r="K285" s="3"/>
      <c r="L285" s="2"/>
      <c r="M285" s="2"/>
      <c r="N285" s="2"/>
      <c r="O285" s="2"/>
      <c r="P285" s="2"/>
      <c r="Q285" s="2"/>
      <c r="R285" s="2"/>
    </row>
    <row r="286">
      <c r="A286" s="3" t="s">
        <v>5</v>
      </c>
      <c r="B286" s="4">
        <v>285.0</v>
      </c>
      <c r="C286" s="6" t="s">
        <v>291</v>
      </c>
      <c r="D286" s="7">
        <v>21.0</v>
      </c>
      <c r="E286" s="7">
        <v>8.719032004E9</v>
      </c>
      <c r="F286" s="3"/>
      <c r="G286" s="3"/>
      <c r="H286" s="3"/>
      <c r="I286" s="3"/>
      <c r="J286" s="3"/>
      <c r="K286" s="3"/>
      <c r="L286" s="2"/>
      <c r="M286" s="2"/>
      <c r="N286" s="2"/>
      <c r="O286" s="2"/>
      <c r="P286" s="2"/>
      <c r="Q286" s="2"/>
      <c r="R286" s="2"/>
    </row>
    <row r="287">
      <c r="A287" s="3" t="s">
        <v>9</v>
      </c>
      <c r="B287" s="4">
        <v>286.0</v>
      </c>
      <c r="C287" s="3" t="s">
        <v>292</v>
      </c>
      <c r="D287" s="4">
        <v>37.0</v>
      </c>
      <c r="E287" s="4">
        <v>9.752307729E9</v>
      </c>
      <c r="F287" s="3"/>
      <c r="G287" s="3"/>
      <c r="H287" s="3"/>
      <c r="I287" s="3"/>
      <c r="J287" s="3"/>
      <c r="K287" s="3"/>
      <c r="L287" s="2"/>
      <c r="M287" s="2"/>
      <c r="N287" s="2"/>
      <c r="O287" s="2"/>
      <c r="P287" s="2"/>
      <c r="Q287" s="2"/>
      <c r="R287" s="2"/>
    </row>
    <row r="288">
      <c r="A288" s="3" t="s">
        <v>11</v>
      </c>
      <c r="B288" s="4">
        <v>287.0</v>
      </c>
      <c r="C288" s="3" t="s">
        <v>293</v>
      </c>
      <c r="D288" s="4">
        <v>31.0</v>
      </c>
      <c r="E288" s="4">
        <v>9.007086765E9</v>
      </c>
      <c r="F288" s="3"/>
      <c r="G288" s="3"/>
      <c r="H288" s="3"/>
      <c r="I288" s="3"/>
      <c r="J288" s="3"/>
      <c r="K288" s="3"/>
      <c r="L288" s="2"/>
      <c r="M288" s="2"/>
      <c r="N288" s="2"/>
      <c r="O288" s="2"/>
      <c r="P288" s="2"/>
      <c r="Q288" s="2"/>
      <c r="R288" s="2"/>
    </row>
    <row r="289">
      <c r="A289" s="3" t="s">
        <v>13</v>
      </c>
      <c r="B289" s="4">
        <v>288.0</v>
      </c>
      <c r="C289" s="3" t="s">
        <v>294</v>
      </c>
      <c r="D289" s="4">
        <v>17.0</v>
      </c>
      <c r="E289" s="4">
        <v>9.421163161E9</v>
      </c>
      <c r="F289" s="3"/>
      <c r="G289" s="3"/>
      <c r="H289" s="3"/>
      <c r="I289" s="3"/>
      <c r="J289" s="3"/>
      <c r="K289" s="3"/>
      <c r="L289" s="2"/>
      <c r="M289" s="2"/>
      <c r="N289" s="2"/>
      <c r="O289" s="2"/>
      <c r="P289" s="2"/>
      <c r="Q289" s="2"/>
      <c r="R289" s="2"/>
    </row>
    <row r="290">
      <c r="A290" s="3" t="s">
        <v>5</v>
      </c>
      <c r="B290" s="4">
        <v>289.0</v>
      </c>
      <c r="C290" s="21" t="s">
        <v>295</v>
      </c>
      <c r="D290" s="13">
        <v>35.0</v>
      </c>
      <c r="E290" s="13">
        <v>9.920978116E9</v>
      </c>
      <c r="F290" s="3"/>
      <c r="G290" s="3"/>
      <c r="H290" s="3"/>
      <c r="I290" s="3"/>
      <c r="J290" s="3"/>
      <c r="K290" s="3"/>
      <c r="L290" s="2"/>
      <c r="M290" s="2"/>
      <c r="N290" s="2"/>
      <c r="O290" s="2"/>
      <c r="P290" s="2"/>
      <c r="Q290" s="2"/>
      <c r="R290" s="2"/>
    </row>
    <row r="291">
      <c r="A291" s="3" t="s">
        <v>7</v>
      </c>
      <c r="B291" s="4">
        <v>290.0</v>
      </c>
      <c r="C291" s="21" t="s">
        <v>296</v>
      </c>
      <c r="D291" s="12">
        <v>23.0</v>
      </c>
      <c r="E291" s="12">
        <v>8.459510994E9</v>
      </c>
      <c r="F291" s="3"/>
      <c r="G291" s="3"/>
      <c r="H291" s="3"/>
      <c r="I291" s="3"/>
      <c r="J291" s="3"/>
      <c r="K291" s="3"/>
      <c r="L291" s="2"/>
      <c r="M291" s="2"/>
      <c r="N291" s="2"/>
      <c r="O291" s="2"/>
      <c r="P291" s="2"/>
      <c r="Q291" s="2"/>
      <c r="R291" s="2"/>
    </row>
    <row r="292">
      <c r="A292" s="3" t="s">
        <v>9</v>
      </c>
      <c r="B292" s="4">
        <v>291.0</v>
      </c>
      <c r="C292" s="3" t="s">
        <v>297</v>
      </c>
      <c r="D292" s="4">
        <v>20.0</v>
      </c>
      <c r="E292" s="4">
        <v>7.869716919E9</v>
      </c>
      <c r="F292" s="3"/>
      <c r="G292" s="3"/>
      <c r="H292" s="3"/>
      <c r="I292" s="3"/>
      <c r="J292" s="3"/>
      <c r="K292" s="3"/>
      <c r="L292" s="2"/>
      <c r="M292" s="2"/>
      <c r="N292" s="2"/>
      <c r="O292" s="2"/>
      <c r="P292" s="2"/>
      <c r="Q292" s="2"/>
      <c r="R292" s="2"/>
    </row>
    <row r="293">
      <c r="A293" s="3" t="s">
        <v>5</v>
      </c>
      <c r="B293" s="4">
        <v>292.0</v>
      </c>
      <c r="C293" s="21" t="s">
        <v>298</v>
      </c>
      <c r="D293" s="12">
        <v>17.0</v>
      </c>
      <c r="E293" s="12">
        <v>9.039721583E9</v>
      </c>
      <c r="F293" s="3"/>
      <c r="G293" s="3"/>
      <c r="H293" s="3"/>
      <c r="I293" s="3"/>
      <c r="J293" s="3"/>
      <c r="K293" s="3"/>
      <c r="L293" s="2"/>
      <c r="M293" s="2"/>
      <c r="N293" s="2"/>
      <c r="O293" s="2"/>
      <c r="P293" s="2"/>
      <c r="Q293" s="2"/>
      <c r="R293" s="2"/>
    </row>
    <row r="294">
      <c r="A294" s="3" t="s">
        <v>9</v>
      </c>
      <c r="B294" s="4">
        <v>293.0</v>
      </c>
      <c r="C294" s="3" t="s">
        <v>299</v>
      </c>
      <c r="D294" s="4">
        <v>25.0</v>
      </c>
      <c r="E294" s="4">
        <v>9.630403137E9</v>
      </c>
      <c r="F294" s="3"/>
      <c r="G294" s="3"/>
      <c r="H294" s="3"/>
      <c r="I294" s="3"/>
      <c r="J294" s="3"/>
      <c r="K294" s="3"/>
      <c r="L294" s="2"/>
      <c r="M294" s="2"/>
      <c r="N294" s="2"/>
      <c r="O294" s="2"/>
      <c r="P294" s="2"/>
      <c r="Q294" s="2"/>
      <c r="R294" s="2"/>
    </row>
    <row r="295">
      <c r="A295" s="3" t="s">
        <v>11</v>
      </c>
      <c r="B295" s="4">
        <v>294.0</v>
      </c>
      <c r="C295" s="19" t="s">
        <v>300</v>
      </c>
      <c r="D295" s="25">
        <v>16.0</v>
      </c>
      <c r="E295" s="25">
        <v>6.261547164E9</v>
      </c>
      <c r="F295" s="3"/>
      <c r="G295" s="3"/>
      <c r="H295" s="3"/>
      <c r="I295" s="3"/>
      <c r="J295" s="3"/>
      <c r="K295" s="3"/>
      <c r="L295" s="2"/>
      <c r="M295" s="2"/>
      <c r="N295" s="2"/>
      <c r="O295" s="2"/>
      <c r="P295" s="2"/>
      <c r="Q295" s="2"/>
      <c r="R295" s="2"/>
    </row>
    <row r="296">
      <c r="A296" s="3" t="s">
        <v>13</v>
      </c>
      <c r="B296" s="4">
        <v>295.0</v>
      </c>
      <c r="C296" s="3" t="s">
        <v>301</v>
      </c>
      <c r="D296" s="4">
        <v>36.0</v>
      </c>
      <c r="E296" s="4">
        <v>9.42857098E9</v>
      </c>
      <c r="F296" s="3"/>
      <c r="G296" s="3"/>
      <c r="H296" s="3"/>
      <c r="I296" s="3"/>
      <c r="J296" s="3"/>
      <c r="K296" s="3"/>
      <c r="L296" s="2"/>
      <c r="M296" s="2"/>
      <c r="N296" s="2"/>
      <c r="O296" s="2"/>
      <c r="P296" s="2"/>
      <c r="Q296" s="2"/>
      <c r="R296" s="2"/>
    </row>
    <row r="297">
      <c r="A297" s="3" t="s">
        <v>5</v>
      </c>
      <c r="B297" s="4">
        <v>296.0</v>
      </c>
      <c r="C297" s="24" t="s">
        <v>302</v>
      </c>
      <c r="D297" s="12">
        <v>20.0</v>
      </c>
      <c r="E297" s="12">
        <v>7.021786769E9</v>
      </c>
      <c r="F297" s="3"/>
      <c r="G297" s="3"/>
      <c r="H297" s="3"/>
      <c r="I297" s="3"/>
      <c r="J297" s="3"/>
      <c r="K297" s="3"/>
      <c r="L297" s="2"/>
      <c r="M297" s="2"/>
      <c r="N297" s="2"/>
      <c r="O297" s="2"/>
      <c r="P297" s="2"/>
      <c r="Q297" s="2"/>
      <c r="R297" s="2"/>
    </row>
    <row r="298">
      <c r="A298" s="3" t="s">
        <v>7</v>
      </c>
      <c r="B298" s="4">
        <v>297.0</v>
      </c>
      <c r="C298" s="14" t="s">
        <v>303</v>
      </c>
      <c r="D298" s="25">
        <v>35.0</v>
      </c>
      <c r="E298" s="15">
        <v>9.82027913E9</v>
      </c>
      <c r="F298" s="3"/>
      <c r="G298" s="3"/>
      <c r="H298" s="3"/>
      <c r="I298" s="3"/>
      <c r="J298" s="3"/>
      <c r="K298" s="3"/>
      <c r="L298" s="2"/>
      <c r="M298" s="2"/>
      <c r="N298" s="2"/>
      <c r="O298" s="2"/>
      <c r="P298" s="2"/>
      <c r="Q298" s="2"/>
      <c r="R298" s="2"/>
    </row>
    <row r="299">
      <c r="A299" s="3" t="s">
        <v>9</v>
      </c>
      <c r="B299" s="4">
        <v>298.0</v>
      </c>
      <c r="C299" s="3" t="s">
        <v>304</v>
      </c>
      <c r="D299" s="4">
        <v>26.0</v>
      </c>
      <c r="E299" s="4">
        <v>9.689245706E9</v>
      </c>
      <c r="F299" s="3"/>
      <c r="G299" s="3"/>
      <c r="H299" s="3"/>
      <c r="I299" s="3"/>
      <c r="J299" s="3"/>
      <c r="K299" s="3"/>
      <c r="L299" s="2"/>
      <c r="M299" s="2"/>
      <c r="N299" s="2"/>
      <c r="O299" s="2"/>
      <c r="P299" s="2"/>
      <c r="Q299" s="2"/>
      <c r="R299" s="2"/>
    </row>
    <row r="300">
      <c r="A300" s="3" t="s">
        <v>11</v>
      </c>
      <c r="B300" s="4">
        <v>299.0</v>
      </c>
      <c r="C300" s="3" t="s">
        <v>305</v>
      </c>
      <c r="D300" s="4">
        <v>19.0</v>
      </c>
      <c r="E300" s="4">
        <v>8.77947261E9</v>
      </c>
      <c r="F300" s="3"/>
      <c r="G300" s="3"/>
      <c r="H300" s="3"/>
      <c r="I300" s="3"/>
      <c r="J300" s="3"/>
      <c r="K300" s="3"/>
      <c r="L300" s="2"/>
      <c r="M300" s="2"/>
      <c r="N300" s="2"/>
      <c r="O300" s="2"/>
      <c r="P300" s="2"/>
      <c r="Q300" s="2"/>
      <c r="R300" s="2"/>
    </row>
    <row r="301">
      <c r="A301" s="3" t="s">
        <v>13</v>
      </c>
      <c r="B301" s="4">
        <v>300.0</v>
      </c>
      <c r="C301" s="6" t="s">
        <v>306</v>
      </c>
      <c r="D301" s="7">
        <v>20.0</v>
      </c>
      <c r="E301" s="7">
        <v>9.967730847E9</v>
      </c>
      <c r="F301" s="3"/>
      <c r="G301" s="3"/>
      <c r="H301" s="3"/>
      <c r="I301" s="3"/>
      <c r="J301" s="3"/>
      <c r="K301" s="3"/>
      <c r="L301" s="2"/>
      <c r="M301" s="2"/>
      <c r="N301" s="2"/>
      <c r="O301" s="2"/>
      <c r="P301" s="2"/>
      <c r="Q301" s="2"/>
      <c r="R301" s="2"/>
    </row>
    <row r="302">
      <c r="A302" s="3" t="s">
        <v>5</v>
      </c>
      <c r="B302" s="4">
        <v>301.0</v>
      </c>
      <c r="C302" s="3" t="s">
        <v>307</v>
      </c>
      <c r="D302" s="4">
        <v>19.0</v>
      </c>
      <c r="E302" s="4">
        <v>7.359656529E9</v>
      </c>
      <c r="F302" s="2"/>
      <c r="G302" s="2"/>
      <c r="H302" s="2"/>
      <c r="I302" s="2"/>
      <c r="J302" s="2"/>
      <c r="K302" s="2"/>
      <c r="L302" s="2"/>
      <c r="M302" s="2"/>
      <c r="N302" s="2"/>
      <c r="O302" s="2"/>
      <c r="P302" s="2"/>
      <c r="Q302" s="2"/>
      <c r="R302" s="2"/>
    </row>
    <row r="303">
      <c r="A303" s="3" t="s">
        <v>7</v>
      </c>
      <c r="B303" s="4">
        <v>302.0</v>
      </c>
      <c r="C303" s="3" t="s">
        <v>308</v>
      </c>
      <c r="D303" s="4">
        <v>23.0</v>
      </c>
      <c r="E303" s="4">
        <v>7.977416163E9</v>
      </c>
      <c r="F303" s="3"/>
      <c r="G303" s="3"/>
      <c r="H303" s="3"/>
      <c r="I303" s="3"/>
      <c r="J303" s="3"/>
      <c r="K303" s="3"/>
      <c r="L303" s="2"/>
      <c r="M303" s="2"/>
      <c r="N303" s="2"/>
      <c r="O303" s="2"/>
      <c r="P303" s="2"/>
      <c r="Q303" s="2"/>
      <c r="R303" s="2"/>
    </row>
    <row r="304">
      <c r="A304" s="3" t="s">
        <v>9</v>
      </c>
      <c r="B304" s="4">
        <v>303.0</v>
      </c>
      <c r="C304" s="3" t="s">
        <v>309</v>
      </c>
      <c r="D304" s="4">
        <v>20.0</v>
      </c>
      <c r="E304" s="4">
        <v>9.016598307E9</v>
      </c>
      <c r="F304" s="3"/>
      <c r="G304" s="3"/>
      <c r="H304" s="3"/>
      <c r="I304" s="3"/>
      <c r="J304" s="3"/>
      <c r="K304" s="3"/>
      <c r="L304" s="2"/>
      <c r="M304" s="2"/>
      <c r="N304" s="2"/>
      <c r="O304" s="2"/>
      <c r="P304" s="2"/>
      <c r="Q304" s="2"/>
      <c r="R304" s="2"/>
    </row>
    <row r="305">
      <c r="A305" s="3" t="s">
        <v>11</v>
      </c>
      <c r="B305" s="4">
        <v>304.0</v>
      </c>
      <c r="C305" s="3" t="s">
        <v>310</v>
      </c>
      <c r="D305" s="4">
        <v>19.0</v>
      </c>
      <c r="E305" s="4">
        <v>9.321436665E9</v>
      </c>
      <c r="F305" s="3"/>
      <c r="G305" s="3"/>
      <c r="H305" s="3"/>
      <c r="I305" s="3"/>
      <c r="J305" s="3"/>
      <c r="K305" s="3"/>
      <c r="L305" s="2"/>
      <c r="M305" s="2"/>
      <c r="N305" s="2"/>
      <c r="O305" s="2"/>
      <c r="P305" s="2"/>
      <c r="Q305" s="2"/>
      <c r="R305" s="2"/>
    </row>
    <row r="306">
      <c r="A306" s="3" t="s">
        <v>13</v>
      </c>
      <c r="B306" s="4">
        <v>305.0</v>
      </c>
      <c r="C306" s="3" t="s">
        <v>311</v>
      </c>
      <c r="D306" s="4">
        <v>21.0</v>
      </c>
      <c r="E306" s="4">
        <v>7.715078224E9</v>
      </c>
      <c r="F306" s="3"/>
      <c r="G306" s="3"/>
      <c r="H306" s="3"/>
      <c r="I306" s="3"/>
      <c r="J306" s="3"/>
      <c r="K306" s="3"/>
      <c r="L306" s="2"/>
      <c r="M306" s="2"/>
      <c r="N306" s="2"/>
      <c r="O306" s="2"/>
      <c r="P306" s="2"/>
      <c r="Q306" s="2"/>
      <c r="R306" s="2"/>
    </row>
    <row r="307">
      <c r="A307" s="3" t="s">
        <v>7</v>
      </c>
      <c r="B307" s="4">
        <v>306.0</v>
      </c>
      <c r="C307" s="3" t="s">
        <v>312</v>
      </c>
      <c r="D307" s="4">
        <v>35.0</v>
      </c>
      <c r="E307" s="4">
        <v>6.266556077E9</v>
      </c>
      <c r="F307" s="3"/>
      <c r="G307" s="3"/>
      <c r="H307" s="3"/>
      <c r="I307" s="3"/>
      <c r="J307" s="3"/>
      <c r="K307" s="3"/>
      <c r="L307" s="2"/>
      <c r="M307" s="2"/>
      <c r="N307" s="2"/>
      <c r="O307" s="2"/>
      <c r="P307" s="2"/>
      <c r="Q307" s="2"/>
      <c r="R307" s="2"/>
    </row>
    <row r="308">
      <c r="A308" s="3" t="s">
        <v>9</v>
      </c>
      <c r="B308" s="4">
        <v>307.0</v>
      </c>
      <c r="C308" s="6" t="s">
        <v>313</v>
      </c>
      <c r="D308" s="3"/>
      <c r="E308" s="7">
        <v>9.649566062E9</v>
      </c>
      <c r="F308" s="3"/>
      <c r="G308" s="3"/>
      <c r="H308" s="3"/>
      <c r="I308" s="3"/>
      <c r="J308" s="3"/>
      <c r="K308" s="3"/>
      <c r="L308" s="2"/>
      <c r="M308" s="2"/>
      <c r="N308" s="2"/>
      <c r="O308" s="2"/>
      <c r="P308" s="2"/>
      <c r="Q308" s="2"/>
      <c r="R308" s="2"/>
    </row>
    <row r="309">
      <c r="A309" s="3" t="s">
        <v>11</v>
      </c>
      <c r="B309" s="4">
        <v>308.0</v>
      </c>
      <c r="C309" s="6" t="s">
        <v>314</v>
      </c>
      <c r="D309" s="7">
        <v>17.0</v>
      </c>
      <c r="E309" s="7">
        <v>7.869495296E9</v>
      </c>
      <c r="F309" s="3"/>
      <c r="G309" s="3"/>
      <c r="H309" s="3"/>
      <c r="I309" s="3"/>
      <c r="J309" s="3"/>
      <c r="K309" s="3"/>
      <c r="L309" s="2"/>
      <c r="M309" s="2"/>
      <c r="N309" s="2"/>
      <c r="O309" s="2"/>
      <c r="P309" s="2"/>
      <c r="Q309" s="2"/>
      <c r="R309" s="2"/>
    </row>
    <row r="310">
      <c r="A310" s="3" t="s">
        <v>13</v>
      </c>
      <c r="B310" s="4">
        <v>309.0</v>
      </c>
      <c r="C310" s="3" t="s">
        <v>315</v>
      </c>
      <c r="D310" s="4">
        <v>18.0</v>
      </c>
      <c r="E310" s="4">
        <v>7.024325588E9</v>
      </c>
      <c r="F310" s="3"/>
      <c r="G310" s="3"/>
      <c r="H310" s="3"/>
      <c r="I310" s="3"/>
      <c r="J310" s="3"/>
      <c r="K310" s="3"/>
      <c r="L310" s="2"/>
      <c r="M310" s="2"/>
      <c r="N310" s="2"/>
      <c r="O310" s="2"/>
      <c r="P310" s="2"/>
      <c r="Q310" s="2"/>
      <c r="R310" s="2"/>
    </row>
    <row r="311">
      <c r="A311" s="3" t="s">
        <v>5</v>
      </c>
      <c r="B311" s="4">
        <v>310.0</v>
      </c>
      <c r="C311" s="3" t="s">
        <v>316</v>
      </c>
      <c r="D311" s="4">
        <v>18.0</v>
      </c>
      <c r="E311" s="9">
        <v>9.89294151E9</v>
      </c>
      <c r="F311" s="3"/>
      <c r="G311" s="3"/>
      <c r="H311" s="3"/>
      <c r="I311" s="3"/>
      <c r="J311" s="3"/>
      <c r="K311" s="3"/>
      <c r="L311" s="2"/>
      <c r="M311" s="2"/>
      <c r="N311" s="2"/>
      <c r="O311" s="2"/>
      <c r="P311" s="2"/>
      <c r="Q311" s="2"/>
      <c r="R311" s="2"/>
    </row>
    <row r="312">
      <c r="A312" s="3" t="s">
        <v>7</v>
      </c>
      <c r="B312" s="4">
        <v>311.0</v>
      </c>
      <c r="C312" s="3" t="s">
        <v>317</v>
      </c>
      <c r="D312" s="4">
        <v>20.0</v>
      </c>
      <c r="E312" s="4">
        <v>9.892796456E9</v>
      </c>
      <c r="F312" s="3"/>
      <c r="G312" s="3"/>
      <c r="H312" s="3"/>
      <c r="I312" s="3"/>
      <c r="J312" s="3"/>
      <c r="K312" s="3"/>
      <c r="L312" s="2"/>
      <c r="M312" s="2"/>
      <c r="N312" s="2"/>
      <c r="O312" s="2"/>
      <c r="P312" s="2"/>
      <c r="Q312" s="2"/>
      <c r="R312" s="2"/>
    </row>
    <row r="313">
      <c r="A313" s="3" t="s">
        <v>9</v>
      </c>
      <c r="B313" s="4">
        <v>312.0</v>
      </c>
      <c r="C313" s="3" t="s">
        <v>318</v>
      </c>
      <c r="D313" s="4">
        <v>22.0</v>
      </c>
      <c r="E313" s="4">
        <v>8.951027964E9</v>
      </c>
      <c r="F313" s="3"/>
      <c r="G313" s="3"/>
      <c r="H313" s="3"/>
      <c r="I313" s="3"/>
      <c r="J313" s="3"/>
      <c r="K313" s="3"/>
      <c r="L313" s="2"/>
      <c r="M313" s="2"/>
      <c r="N313" s="2"/>
      <c r="O313" s="2"/>
      <c r="P313" s="2"/>
      <c r="Q313" s="2"/>
      <c r="R313" s="2"/>
    </row>
    <row r="314">
      <c r="A314" s="3" t="s">
        <v>11</v>
      </c>
      <c r="B314" s="4">
        <v>313.0</v>
      </c>
      <c r="C314" s="6" t="s">
        <v>319</v>
      </c>
      <c r="D314" s="7">
        <v>22.0</v>
      </c>
      <c r="E314" s="7">
        <v>7.020776797E9</v>
      </c>
      <c r="F314" s="3"/>
      <c r="G314" s="3"/>
      <c r="H314" s="3"/>
      <c r="I314" s="3"/>
      <c r="J314" s="3"/>
      <c r="K314" s="3"/>
      <c r="L314" s="2"/>
      <c r="M314" s="2"/>
      <c r="N314" s="2"/>
      <c r="O314" s="2"/>
      <c r="P314" s="2"/>
      <c r="Q314" s="2"/>
      <c r="R314" s="2"/>
    </row>
    <row r="315">
      <c r="A315" s="3" t="s">
        <v>13</v>
      </c>
      <c r="B315" s="4">
        <v>314.0</v>
      </c>
      <c r="C315" s="3" t="s">
        <v>320</v>
      </c>
      <c r="D315" s="4">
        <v>16.0</v>
      </c>
      <c r="E315" s="4">
        <v>9.15283066E9</v>
      </c>
      <c r="F315" s="3"/>
      <c r="G315" s="3"/>
      <c r="H315" s="3"/>
      <c r="I315" s="3"/>
      <c r="J315" s="3"/>
      <c r="K315" s="3"/>
      <c r="L315" s="2"/>
      <c r="M315" s="2"/>
      <c r="N315" s="2"/>
      <c r="O315" s="2"/>
      <c r="P315" s="2"/>
      <c r="Q315" s="2"/>
      <c r="R315" s="2"/>
    </row>
    <row r="316">
      <c r="A316" s="3" t="s">
        <v>5</v>
      </c>
      <c r="B316" s="4">
        <v>315.0</v>
      </c>
      <c r="C316" s="6" t="s">
        <v>321</v>
      </c>
      <c r="D316" s="7">
        <v>20.0</v>
      </c>
      <c r="E316" s="7">
        <v>9.15277998E9</v>
      </c>
      <c r="F316" s="3"/>
      <c r="G316" s="3"/>
      <c r="H316" s="3"/>
      <c r="I316" s="3"/>
      <c r="J316" s="3"/>
      <c r="K316" s="3"/>
      <c r="L316" s="2"/>
      <c r="M316" s="2"/>
      <c r="N316" s="2"/>
      <c r="O316" s="2"/>
      <c r="P316" s="2"/>
      <c r="Q316" s="2"/>
      <c r="R316" s="2"/>
    </row>
    <row r="317">
      <c r="A317" s="3" t="s">
        <v>7</v>
      </c>
      <c r="B317" s="4">
        <v>316.0</v>
      </c>
      <c r="C317" s="3" t="s">
        <v>322</v>
      </c>
      <c r="D317" s="4">
        <v>16.0</v>
      </c>
      <c r="E317" s="4">
        <v>9.860750007E9</v>
      </c>
      <c r="F317" s="3"/>
      <c r="G317" s="3"/>
      <c r="H317" s="3"/>
      <c r="I317" s="3"/>
      <c r="J317" s="3"/>
      <c r="K317" s="3"/>
      <c r="L317" s="2"/>
      <c r="M317" s="2"/>
      <c r="N317" s="2"/>
      <c r="O317" s="2"/>
      <c r="P317" s="2"/>
      <c r="Q317" s="2"/>
      <c r="R317" s="2"/>
    </row>
    <row r="318">
      <c r="A318" s="3" t="s">
        <v>9</v>
      </c>
      <c r="B318" s="4">
        <v>317.0</v>
      </c>
      <c r="C318" s="3" t="s">
        <v>323</v>
      </c>
      <c r="D318" s="4">
        <v>23.0</v>
      </c>
      <c r="E318" s="4">
        <v>7.977757478E9</v>
      </c>
      <c r="F318" s="3"/>
      <c r="G318" s="3"/>
      <c r="H318" s="3"/>
      <c r="I318" s="3"/>
      <c r="J318" s="3"/>
      <c r="K318" s="3"/>
      <c r="L318" s="2"/>
      <c r="M318" s="2"/>
      <c r="N318" s="2"/>
      <c r="O318" s="2"/>
      <c r="P318" s="2"/>
      <c r="Q318" s="2"/>
      <c r="R318" s="2"/>
    </row>
    <row r="319">
      <c r="A319" s="3" t="s">
        <v>11</v>
      </c>
      <c r="B319" s="4">
        <v>318.0</v>
      </c>
      <c r="C319" s="6" t="s">
        <v>324</v>
      </c>
      <c r="D319" s="7">
        <v>21.0</v>
      </c>
      <c r="E319" s="7">
        <v>9.309875185E9</v>
      </c>
      <c r="F319" s="3"/>
      <c r="G319" s="3"/>
      <c r="H319" s="3"/>
      <c r="I319" s="3"/>
      <c r="J319" s="3"/>
      <c r="K319" s="3"/>
      <c r="L319" s="2"/>
      <c r="M319" s="2"/>
      <c r="N319" s="2"/>
      <c r="O319" s="2"/>
      <c r="P319" s="2"/>
      <c r="Q319" s="2"/>
      <c r="R319" s="2"/>
    </row>
    <row r="320">
      <c r="A320" s="3" t="s">
        <v>13</v>
      </c>
      <c r="B320" s="4">
        <v>319.0</v>
      </c>
      <c r="C320" s="6" t="s">
        <v>325</v>
      </c>
      <c r="D320" s="7">
        <v>19.0</v>
      </c>
      <c r="E320" s="7">
        <v>9.321454342E9</v>
      </c>
      <c r="F320" s="3"/>
      <c r="G320" s="3"/>
      <c r="H320" s="3"/>
      <c r="I320" s="3"/>
      <c r="J320" s="3"/>
      <c r="K320" s="3"/>
      <c r="L320" s="2"/>
      <c r="M320" s="2"/>
      <c r="N320" s="2"/>
      <c r="O320" s="2"/>
      <c r="P320" s="2"/>
      <c r="Q320" s="2"/>
      <c r="R320" s="2"/>
    </row>
    <row r="321">
      <c r="A321" s="3" t="s">
        <v>5</v>
      </c>
      <c r="B321" s="4">
        <v>320.0</v>
      </c>
      <c r="C321" s="3" t="s">
        <v>326</v>
      </c>
      <c r="D321" s="4">
        <v>35.0</v>
      </c>
      <c r="E321" s="4">
        <v>9.9781265E9</v>
      </c>
      <c r="F321" s="3"/>
      <c r="G321" s="3"/>
      <c r="H321" s="3"/>
      <c r="I321" s="3"/>
      <c r="J321" s="3"/>
      <c r="K321" s="3"/>
      <c r="L321" s="2"/>
      <c r="M321" s="2"/>
      <c r="N321" s="2"/>
      <c r="O321" s="2"/>
      <c r="P321" s="2"/>
      <c r="Q321" s="2"/>
      <c r="R321" s="2"/>
    </row>
    <row r="322">
      <c r="A322" s="3" t="s">
        <v>7</v>
      </c>
      <c r="B322" s="4">
        <v>321.0</v>
      </c>
      <c r="C322" s="3" t="s">
        <v>327</v>
      </c>
      <c r="D322" s="4">
        <v>33.0</v>
      </c>
      <c r="E322" s="9">
        <v>9.028422316E9</v>
      </c>
      <c r="F322" s="3"/>
      <c r="G322" s="3"/>
      <c r="H322" s="3"/>
      <c r="I322" s="3"/>
      <c r="J322" s="3"/>
      <c r="K322" s="3"/>
      <c r="L322" s="2"/>
      <c r="M322" s="2"/>
      <c r="N322" s="2"/>
      <c r="O322" s="2"/>
      <c r="P322" s="2"/>
      <c r="Q322" s="2"/>
      <c r="R322" s="2"/>
    </row>
    <row r="323">
      <c r="A323" s="3" t="s">
        <v>9</v>
      </c>
      <c r="B323" s="4">
        <v>322.0</v>
      </c>
      <c r="C323" s="3" t="s">
        <v>328</v>
      </c>
      <c r="D323" s="4">
        <v>41.0</v>
      </c>
      <c r="E323" s="4">
        <v>9.624818191E9</v>
      </c>
      <c r="F323" s="3"/>
      <c r="G323" s="3"/>
      <c r="H323" s="3"/>
      <c r="I323" s="3"/>
      <c r="J323" s="3"/>
      <c r="K323" s="3"/>
      <c r="L323" s="2"/>
      <c r="M323" s="2"/>
      <c r="N323" s="2"/>
      <c r="O323" s="2"/>
      <c r="P323" s="2"/>
      <c r="Q323" s="2"/>
      <c r="R323" s="2"/>
    </row>
    <row r="324">
      <c r="A324" s="3" t="s">
        <v>11</v>
      </c>
      <c r="B324" s="4">
        <v>323.0</v>
      </c>
      <c r="C324" s="6" t="s">
        <v>329</v>
      </c>
      <c r="D324" s="7">
        <v>24.0</v>
      </c>
      <c r="E324" s="7">
        <v>8.080541144E9</v>
      </c>
      <c r="F324" s="3"/>
      <c r="G324" s="3"/>
      <c r="H324" s="3"/>
      <c r="I324" s="3"/>
      <c r="J324" s="3"/>
      <c r="K324" s="3"/>
      <c r="L324" s="2"/>
      <c r="M324" s="2"/>
      <c r="N324" s="2"/>
      <c r="O324" s="2"/>
      <c r="P324" s="2"/>
      <c r="Q324" s="2"/>
      <c r="R324" s="2"/>
    </row>
    <row r="325">
      <c r="A325" s="3" t="s">
        <v>13</v>
      </c>
      <c r="B325" s="4">
        <v>324.0</v>
      </c>
      <c r="C325" s="3" t="s">
        <v>330</v>
      </c>
      <c r="D325" s="4">
        <v>23.0</v>
      </c>
      <c r="E325" s="4">
        <v>9.97811323E9</v>
      </c>
      <c r="F325" s="3"/>
      <c r="G325" s="3"/>
      <c r="H325" s="3"/>
      <c r="I325" s="3"/>
      <c r="J325" s="3"/>
      <c r="K325" s="3"/>
      <c r="L325" s="2"/>
      <c r="M325" s="2"/>
      <c r="N325" s="2"/>
      <c r="O325" s="2"/>
      <c r="P325" s="2"/>
      <c r="Q325" s="2"/>
      <c r="R325" s="2"/>
    </row>
    <row r="326">
      <c r="A326" s="3" t="s">
        <v>5</v>
      </c>
      <c r="B326" s="4">
        <v>325.0</v>
      </c>
      <c r="C326" s="3" t="s">
        <v>331</v>
      </c>
      <c r="D326" s="4">
        <v>20.0</v>
      </c>
      <c r="E326" s="4">
        <v>7.977142002E9</v>
      </c>
      <c r="F326" s="3"/>
      <c r="G326" s="3"/>
      <c r="H326" s="3"/>
      <c r="I326" s="3"/>
      <c r="J326" s="3"/>
      <c r="K326" s="3"/>
      <c r="L326" s="2"/>
      <c r="M326" s="2"/>
      <c r="N326" s="2"/>
      <c r="O326" s="2"/>
      <c r="P326" s="2"/>
      <c r="Q326" s="2"/>
      <c r="R326" s="2"/>
    </row>
    <row r="327">
      <c r="A327" s="3" t="s">
        <v>7</v>
      </c>
      <c r="B327" s="4">
        <v>326.0</v>
      </c>
      <c r="C327" s="6" t="s">
        <v>332</v>
      </c>
      <c r="D327" s="7">
        <v>19.0</v>
      </c>
      <c r="E327" s="7">
        <v>8.104169297E9</v>
      </c>
      <c r="F327" s="3"/>
      <c r="G327" s="3"/>
      <c r="H327" s="3"/>
      <c r="I327" s="3"/>
      <c r="J327" s="3"/>
      <c r="K327" s="3"/>
      <c r="L327" s="2"/>
      <c r="M327" s="2"/>
      <c r="N327" s="2"/>
      <c r="O327" s="2"/>
      <c r="P327" s="2"/>
      <c r="Q327" s="2"/>
      <c r="R327" s="2"/>
    </row>
    <row r="328">
      <c r="A328" s="3" t="s">
        <v>9</v>
      </c>
      <c r="B328" s="4">
        <v>327.0</v>
      </c>
      <c r="C328" s="3" t="s">
        <v>333</v>
      </c>
      <c r="D328" s="4">
        <v>28.0</v>
      </c>
      <c r="E328" s="4">
        <v>9.829178078E9</v>
      </c>
      <c r="F328" s="3"/>
      <c r="G328" s="3"/>
      <c r="H328" s="3"/>
      <c r="I328" s="3"/>
      <c r="J328" s="3"/>
      <c r="K328" s="3"/>
      <c r="L328" s="2"/>
      <c r="M328" s="2"/>
      <c r="N328" s="2"/>
      <c r="O328" s="2"/>
      <c r="P328" s="2"/>
      <c r="Q328" s="2"/>
      <c r="R328" s="2"/>
    </row>
    <row r="329">
      <c r="A329" s="3" t="s">
        <v>11</v>
      </c>
      <c r="B329" s="4">
        <v>328.0</v>
      </c>
      <c r="C329" s="3" t="s">
        <v>334</v>
      </c>
      <c r="D329" s="4">
        <v>18.0</v>
      </c>
      <c r="E329" s="4">
        <v>9.359542859E9</v>
      </c>
      <c r="F329" s="3"/>
      <c r="G329" s="3"/>
      <c r="H329" s="3"/>
      <c r="I329" s="3"/>
      <c r="J329" s="3"/>
      <c r="K329" s="3"/>
      <c r="L329" s="2"/>
      <c r="M329" s="2"/>
      <c r="N329" s="2"/>
      <c r="O329" s="2"/>
      <c r="P329" s="2"/>
      <c r="Q329" s="2"/>
      <c r="R329" s="2"/>
    </row>
    <row r="330">
      <c r="A330" s="3" t="s">
        <v>13</v>
      </c>
      <c r="B330" s="4">
        <v>329.0</v>
      </c>
      <c r="C330" s="3" t="s">
        <v>335</v>
      </c>
      <c r="D330" s="4">
        <v>24.0</v>
      </c>
      <c r="E330" s="4">
        <v>9.773447004E9</v>
      </c>
      <c r="F330" s="3"/>
      <c r="G330" s="3"/>
      <c r="H330" s="3"/>
      <c r="I330" s="3"/>
      <c r="J330" s="3"/>
      <c r="K330" s="3"/>
      <c r="L330" s="2"/>
      <c r="M330" s="2"/>
      <c r="N330" s="2"/>
      <c r="O330" s="2"/>
      <c r="P330" s="2"/>
      <c r="Q330" s="2"/>
      <c r="R330" s="2"/>
    </row>
    <row r="331">
      <c r="A331" s="3" t="s">
        <v>7</v>
      </c>
      <c r="B331" s="4">
        <v>330.0</v>
      </c>
      <c r="C331" s="3" t="s">
        <v>336</v>
      </c>
      <c r="D331" s="4">
        <v>18.0</v>
      </c>
      <c r="E331" s="4">
        <v>9.106879995E9</v>
      </c>
      <c r="F331" s="3"/>
      <c r="G331" s="3"/>
      <c r="H331" s="3"/>
      <c r="I331" s="3"/>
      <c r="J331" s="3"/>
      <c r="K331" s="3"/>
      <c r="L331" s="2"/>
      <c r="M331" s="2"/>
      <c r="N331" s="2"/>
      <c r="O331" s="2"/>
      <c r="P331" s="2"/>
      <c r="Q331" s="2"/>
      <c r="R331" s="2"/>
    </row>
    <row r="332">
      <c r="A332" s="3" t="s">
        <v>9</v>
      </c>
      <c r="B332" s="4">
        <v>331.0</v>
      </c>
      <c r="C332" s="3" t="s">
        <v>337</v>
      </c>
      <c r="D332" s="4">
        <v>21.0</v>
      </c>
      <c r="E332" s="4">
        <v>9.023810551E9</v>
      </c>
      <c r="F332" s="3"/>
      <c r="G332" s="3"/>
      <c r="H332" s="3"/>
      <c r="I332" s="3"/>
      <c r="J332" s="3"/>
      <c r="K332" s="3"/>
      <c r="L332" s="2"/>
      <c r="M332" s="2"/>
      <c r="N332" s="2"/>
      <c r="O332" s="2"/>
      <c r="P332" s="2"/>
      <c r="Q332" s="2"/>
      <c r="R332" s="2"/>
    </row>
    <row r="333">
      <c r="A333" s="3" t="s">
        <v>11</v>
      </c>
      <c r="B333" s="4">
        <v>332.0</v>
      </c>
      <c r="C333" s="3" t="s">
        <v>338</v>
      </c>
      <c r="D333" s="4">
        <v>16.0</v>
      </c>
      <c r="E333" s="4">
        <v>7.058053936E9</v>
      </c>
      <c r="F333" s="3"/>
      <c r="G333" s="3"/>
      <c r="H333" s="3"/>
      <c r="I333" s="3"/>
      <c r="J333" s="3"/>
      <c r="K333" s="3"/>
      <c r="L333" s="2"/>
      <c r="M333" s="2"/>
      <c r="N333" s="2"/>
      <c r="O333" s="2"/>
      <c r="P333" s="2"/>
      <c r="Q333" s="2"/>
      <c r="R333" s="2"/>
    </row>
    <row r="334">
      <c r="A334" s="2" t="s">
        <v>5</v>
      </c>
      <c r="B334" s="4">
        <v>333.0</v>
      </c>
      <c r="C334" s="2" t="s">
        <v>339</v>
      </c>
      <c r="D334" s="2"/>
      <c r="E334" s="39">
        <v>9.833554206E9</v>
      </c>
      <c r="F334" s="2"/>
      <c r="G334" s="2"/>
      <c r="H334" s="2"/>
      <c r="I334" s="2"/>
      <c r="J334" s="2"/>
      <c r="K334" s="2"/>
      <c r="L334" s="2"/>
      <c r="M334" s="2"/>
      <c r="N334" s="2"/>
      <c r="O334" s="2"/>
      <c r="P334" s="2"/>
      <c r="Q334" s="2"/>
      <c r="R334" s="2"/>
    </row>
    <row r="335">
      <c r="A335" s="2" t="s">
        <v>7</v>
      </c>
      <c r="B335" s="4">
        <v>334.0</v>
      </c>
      <c r="C335" s="2" t="s">
        <v>340</v>
      </c>
      <c r="D335" s="2"/>
      <c r="E335" s="39">
        <v>9.521514471E9</v>
      </c>
      <c r="F335" s="2"/>
      <c r="G335" s="2"/>
      <c r="H335" s="2"/>
      <c r="I335" s="2"/>
      <c r="J335" s="2"/>
      <c r="K335" s="2"/>
      <c r="L335" s="2"/>
      <c r="M335" s="2"/>
      <c r="N335" s="2"/>
      <c r="O335" s="2"/>
      <c r="P335" s="2"/>
      <c r="Q335" s="2"/>
      <c r="R335" s="2"/>
    </row>
    <row r="336">
      <c r="A336" s="2" t="s">
        <v>9</v>
      </c>
      <c r="B336" s="4">
        <v>335.0</v>
      </c>
      <c r="C336" s="2" t="s">
        <v>341</v>
      </c>
      <c r="D336" s="2"/>
      <c r="E336" s="39">
        <v>7.879379757E9</v>
      </c>
      <c r="F336" s="2"/>
      <c r="G336" s="2"/>
      <c r="H336" s="2"/>
      <c r="I336" s="2"/>
      <c r="J336" s="2"/>
      <c r="K336" s="2"/>
      <c r="L336" s="2"/>
      <c r="M336" s="2"/>
      <c r="N336" s="2"/>
      <c r="O336" s="2"/>
      <c r="P336" s="2"/>
      <c r="Q336" s="2"/>
      <c r="R336" s="2"/>
    </row>
    <row r="337">
      <c r="A337" s="2" t="s">
        <v>13</v>
      </c>
      <c r="B337" s="4">
        <v>336.0</v>
      </c>
      <c r="C337" s="2" t="s">
        <v>342</v>
      </c>
      <c r="D337" s="2"/>
      <c r="E337" s="39">
        <v>9.619402561E9</v>
      </c>
      <c r="F337" s="2"/>
      <c r="G337" s="2"/>
      <c r="H337" s="2"/>
      <c r="I337" s="2"/>
      <c r="J337" s="2"/>
      <c r="K337" s="2"/>
      <c r="L337" s="2"/>
      <c r="M337" s="2"/>
      <c r="N337" s="2"/>
      <c r="O337" s="2"/>
      <c r="P337" s="2"/>
      <c r="Q337" s="2"/>
      <c r="R337" s="2"/>
    </row>
    <row r="338">
      <c r="A338" s="2" t="s">
        <v>5</v>
      </c>
      <c r="B338" s="4">
        <v>337.0</v>
      </c>
      <c r="C338" s="2" t="s">
        <v>343</v>
      </c>
      <c r="D338" s="2"/>
      <c r="E338" s="39">
        <v>6.261629202E9</v>
      </c>
      <c r="F338" s="2"/>
      <c r="G338" s="2"/>
      <c r="H338" s="2"/>
      <c r="I338" s="2"/>
      <c r="J338" s="2"/>
      <c r="K338" s="2"/>
      <c r="L338" s="2"/>
      <c r="M338" s="2"/>
      <c r="N338" s="2"/>
      <c r="O338" s="2"/>
      <c r="P338" s="2"/>
      <c r="Q338" s="2"/>
      <c r="R338" s="2"/>
    </row>
    <row r="339">
      <c r="A339" s="2" t="s">
        <v>7</v>
      </c>
      <c r="B339" s="4">
        <v>338.0</v>
      </c>
      <c r="C339" s="2" t="s">
        <v>344</v>
      </c>
      <c r="D339" s="2"/>
      <c r="E339" s="39">
        <v>8.890820414E9</v>
      </c>
      <c r="F339" s="2"/>
      <c r="G339" s="2"/>
      <c r="H339" s="2"/>
      <c r="I339" s="2"/>
      <c r="J339" s="2"/>
      <c r="K339" s="2"/>
      <c r="L339" s="2"/>
      <c r="M339" s="2"/>
      <c r="N339" s="2"/>
      <c r="O339" s="2"/>
      <c r="P339" s="2"/>
      <c r="Q339" s="2"/>
      <c r="R339" s="2"/>
    </row>
    <row r="340">
      <c r="A340" s="2" t="s">
        <v>9</v>
      </c>
      <c r="B340" s="4">
        <v>339.0</v>
      </c>
      <c r="C340" s="40" t="s">
        <v>345</v>
      </c>
      <c r="D340" s="2"/>
      <c r="E340" s="41">
        <v>7.020649986E9</v>
      </c>
      <c r="F340" s="2"/>
      <c r="G340" s="2"/>
      <c r="H340" s="2"/>
      <c r="I340" s="2"/>
      <c r="J340" s="2"/>
      <c r="K340" s="2"/>
      <c r="L340" s="2"/>
      <c r="M340" s="2"/>
      <c r="N340" s="2"/>
      <c r="O340" s="2"/>
      <c r="P340" s="2"/>
      <c r="Q340" s="2"/>
      <c r="R340" s="2"/>
    </row>
    <row r="341">
      <c r="A341" s="2" t="s">
        <v>11</v>
      </c>
      <c r="B341" s="4">
        <v>340.0</v>
      </c>
      <c r="C341" s="42" t="s">
        <v>346</v>
      </c>
      <c r="D341" s="43"/>
      <c r="E341" s="39">
        <v>9.820972712E9</v>
      </c>
      <c r="F341" s="2"/>
      <c r="G341" s="2"/>
      <c r="H341" s="2"/>
      <c r="I341" s="2"/>
      <c r="J341" s="2"/>
      <c r="K341" s="2"/>
      <c r="L341" s="2"/>
      <c r="M341" s="2"/>
      <c r="N341" s="2"/>
      <c r="O341" s="2"/>
      <c r="P341" s="2"/>
      <c r="Q341" s="2"/>
      <c r="R341" s="2"/>
    </row>
    <row r="342">
      <c r="A342" s="2" t="s">
        <v>13</v>
      </c>
      <c r="B342" s="4">
        <v>341.0</v>
      </c>
      <c r="C342" s="8" t="s">
        <v>347</v>
      </c>
      <c r="D342" s="3"/>
      <c r="E342" s="39">
        <v>9.96997168E9</v>
      </c>
      <c r="F342" s="2"/>
      <c r="G342" s="2"/>
      <c r="H342" s="2"/>
      <c r="I342" s="2"/>
      <c r="J342" s="2"/>
      <c r="K342" s="2"/>
      <c r="L342" s="2"/>
      <c r="M342" s="2"/>
      <c r="N342" s="2"/>
      <c r="O342" s="2"/>
      <c r="P342" s="2"/>
      <c r="Q342" s="2"/>
      <c r="R342" s="2"/>
    </row>
    <row r="343">
      <c r="A343" s="2" t="s">
        <v>5</v>
      </c>
      <c r="B343" s="4">
        <v>342.0</v>
      </c>
      <c r="C343" s="42" t="s">
        <v>348</v>
      </c>
      <c r="D343" s="43"/>
      <c r="E343" s="39">
        <v>7.987411677E9</v>
      </c>
      <c r="F343" s="2"/>
      <c r="G343" s="2"/>
      <c r="H343" s="2"/>
      <c r="I343" s="2"/>
      <c r="J343" s="2"/>
      <c r="K343" s="2"/>
      <c r="L343" s="2"/>
      <c r="M343" s="2"/>
      <c r="N343" s="2"/>
      <c r="O343" s="2"/>
      <c r="P343" s="2"/>
      <c r="Q343" s="2"/>
      <c r="R343" s="2"/>
    </row>
    <row r="344">
      <c r="A344" s="2" t="s">
        <v>7</v>
      </c>
      <c r="B344" s="4">
        <v>343.0</v>
      </c>
      <c r="C344" s="8" t="s">
        <v>349</v>
      </c>
      <c r="D344" s="3"/>
      <c r="E344" s="39">
        <v>9.870901143E9</v>
      </c>
      <c r="F344" s="2"/>
      <c r="G344" s="2"/>
      <c r="H344" s="2"/>
      <c r="I344" s="2"/>
      <c r="J344" s="2"/>
      <c r="K344" s="2"/>
      <c r="L344" s="2"/>
      <c r="M344" s="2"/>
      <c r="N344" s="2"/>
      <c r="O344" s="2"/>
      <c r="P344" s="2"/>
      <c r="Q344" s="2"/>
      <c r="R344" s="2"/>
    </row>
    <row r="345">
      <c r="A345" s="2" t="s">
        <v>9</v>
      </c>
      <c r="B345" s="4">
        <v>344.0</v>
      </c>
      <c r="C345" s="42" t="s">
        <v>350</v>
      </c>
      <c r="D345" s="43"/>
      <c r="E345" s="39">
        <v>8.69287501E9</v>
      </c>
      <c r="F345" s="2"/>
      <c r="G345" s="2"/>
      <c r="H345" s="2"/>
      <c r="I345" s="2"/>
      <c r="J345" s="2"/>
      <c r="K345" s="2"/>
      <c r="L345" s="2"/>
      <c r="M345" s="2"/>
      <c r="N345" s="2"/>
      <c r="O345" s="2"/>
      <c r="P345" s="2"/>
      <c r="Q345" s="2"/>
      <c r="R345" s="2"/>
    </row>
    <row r="346">
      <c r="A346" s="2" t="s">
        <v>11</v>
      </c>
      <c r="B346" s="4">
        <v>345.0</v>
      </c>
      <c r="C346" s="8" t="s">
        <v>351</v>
      </c>
      <c r="D346" s="3"/>
      <c r="E346" s="44">
        <v>8.839742689E9</v>
      </c>
      <c r="F346" s="2"/>
      <c r="G346" s="2"/>
      <c r="H346" s="2"/>
      <c r="I346" s="2"/>
      <c r="J346" s="2"/>
      <c r="K346" s="2"/>
      <c r="L346" s="2"/>
      <c r="M346" s="2"/>
      <c r="N346" s="2"/>
      <c r="O346" s="2"/>
      <c r="P346" s="2"/>
      <c r="Q346" s="2"/>
      <c r="R346" s="2"/>
    </row>
    <row r="347">
      <c r="A347" s="2" t="s">
        <v>13</v>
      </c>
      <c r="B347" s="4">
        <v>346.0</v>
      </c>
      <c r="C347" s="42" t="s">
        <v>352</v>
      </c>
      <c r="D347" s="43"/>
      <c r="E347" s="44">
        <v>9.755410101E9</v>
      </c>
      <c r="F347" s="2"/>
      <c r="G347" s="2"/>
      <c r="H347" s="2"/>
      <c r="I347" s="2"/>
      <c r="J347" s="2"/>
      <c r="K347" s="2"/>
      <c r="L347" s="2"/>
      <c r="M347" s="2"/>
      <c r="N347" s="2"/>
      <c r="O347" s="2"/>
      <c r="P347" s="2"/>
      <c r="Q347" s="2"/>
      <c r="R347" s="2"/>
    </row>
    <row r="348">
      <c r="A348" s="2" t="s">
        <v>5</v>
      </c>
      <c r="B348" s="4">
        <v>347.0</v>
      </c>
      <c r="C348" s="8" t="s">
        <v>353</v>
      </c>
      <c r="D348" s="3"/>
      <c r="E348" s="39">
        <v>7.710839615E9</v>
      </c>
      <c r="F348" s="2"/>
      <c r="G348" s="2"/>
      <c r="H348" s="2"/>
      <c r="I348" s="2"/>
      <c r="J348" s="2"/>
      <c r="K348" s="2"/>
      <c r="L348" s="2"/>
      <c r="M348" s="2"/>
      <c r="N348" s="2"/>
      <c r="O348" s="2"/>
      <c r="P348" s="2"/>
      <c r="Q348" s="2"/>
      <c r="R348" s="2"/>
    </row>
    <row r="349">
      <c r="A349" s="2" t="s">
        <v>9</v>
      </c>
      <c r="B349" s="4">
        <v>348.0</v>
      </c>
      <c r="C349" s="42" t="s">
        <v>354</v>
      </c>
      <c r="D349" s="43"/>
      <c r="E349" s="39">
        <v>8.827135666E9</v>
      </c>
      <c r="F349" s="2"/>
      <c r="G349" s="2"/>
      <c r="H349" s="2"/>
      <c r="I349" s="2"/>
      <c r="J349" s="2"/>
      <c r="K349" s="2"/>
      <c r="L349" s="2"/>
      <c r="M349" s="2"/>
      <c r="N349" s="2"/>
      <c r="O349" s="2"/>
      <c r="P349" s="2"/>
      <c r="Q349" s="2"/>
      <c r="R349" s="2"/>
    </row>
    <row r="350">
      <c r="A350" s="2" t="s">
        <v>11</v>
      </c>
      <c r="B350" s="4">
        <v>349.0</v>
      </c>
      <c r="C350" s="8" t="s">
        <v>355</v>
      </c>
      <c r="D350" s="3"/>
      <c r="E350" s="39">
        <v>9.016044818E9</v>
      </c>
      <c r="F350" s="2"/>
      <c r="G350" s="2"/>
      <c r="H350" s="2"/>
      <c r="I350" s="2"/>
      <c r="J350" s="2"/>
      <c r="K350" s="2"/>
      <c r="L350" s="2"/>
      <c r="M350" s="2"/>
      <c r="N350" s="2"/>
      <c r="O350" s="2"/>
      <c r="P350" s="2"/>
      <c r="Q350" s="2"/>
      <c r="R350" s="2"/>
    </row>
    <row r="351">
      <c r="A351" s="2" t="s">
        <v>13</v>
      </c>
      <c r="B351" s="4">
        <v>350.0</v>
      </c>
      <c r="C351" s="42" t="s">
        <v>356</v>
      </c>
      <c r="D351" s="43"/>
      <c r="E351" s="39">
        <v>6.261254231E9</v>
      </c>
      <c r="F351" s="2"/>
      <c r="G351" s="2"/>
      <c r="H351" s="2"/>
      <c r="I351" s="2"/>
      <c r="J351" s="2"/>
      <c r="K351" s="2"/>
      <c r="L351" s="2"/>
      <c r="M351" s="2"/>
      <c r="N351" s="2"/>
      <c r="O351" s="2"/>
      <c r="P351" s="2"/>
      <c r="Q351" s="2"/>
      <c r="R351" s="2"/>
    </row>
    <row r="352">
      <c r="A352" s="2" t="s">
        <v>5</v>
      </c>
      <c r="B352" s="4">
        <v>351.0</v>
      </c>
      <c r="C352" s="8" t="s">
        <v>357</v>
      </c>
      <c r="D352" s="3"/>
      <c r="E352" s="39">
        <v>7.021614861E9</v>
      </c>
      <c r="F352" s="2"/>
      <c r="G352" s="2"/>
      <c r="H352" s="2"/>
      <c r="I352" s="2"/>
      <c r="J352" s="2"/>
      <c r="K352" s="2"/>
      <c r="L352" s="2"/>
      <c r="M352" s="2"/>
      <c r="N352" s="2"/>
      <c r="O352" s="2"/>
      <c r="P352" s="2"/>
      <c r="Q352" s="2"/>
      <c r="R352" s="2"/>
    </row>
    <row r="353">
      <c r="A353" s="2" t="s">
        <v>7</v>
      </c>
      <c r="B353" s="4">
        <v>352.0</v>
      </c>
      <c r="C353" s="42" t="s">
        <v>358</v>
      </c>
      <c r="D353" s="43"/>
      <c r="E353" s="39">
        <v>6.266164866E9</v>
      </c>
      <c r="F353" s="2"/>
      <c r="G353" s="2"/>
      <c r="H353" s="2"/>
      <c r="I353" s="2"/>
      <c r="J353" s="2"/>
      <c r="K353" s="2"/>
      <c r="L353" s="2"/>
      <c r="M353" s="2"/>
      <c r="N353" s="2"/>
      <c r="O353" s="2"/>
      <c r="P353" s="2"/>
      <c r="Q353" s="2"/>
      <c r="R353" s="2"/>
    </row>
    <row r="354">
      <c r="A354" s="2" t="s">
        <v>9</v>
      </c>
      <c r="B354" s="4">
        <v>353.0</v>
      </c>
      <c r="C354" s="8" t="s">
        <v>359</v>
      </c>
      <c r="D354" s="3"/>
      <c r="E354" s="39">
        <v>7.972936914E9</v>
      </c>
      <c r="F354" s="2"/>
      <c r="G354" s="2"/>
      <c r="H354" s="2"/>
      <c r="I354" s="2"/>
      <c r="J354" s="2"/>
      <c r="K354" s="2"/>
      <c r="L354" s="2"/>
      <c r="M354" s="2"/>
      <c r="N354" s="2"/>
      <c r="O354" s="2"/>
      <c r="P354" s="2"/>
      <c r="Q354" s="2"/>
      <c r="R354" s="2"/>
    </row>
    <row r="355">
      <c r="A355" s="2" t="s">
        <v>11</v>
      </c>
      <c r="B355" s="4">
        <v>354.0</v>
      </c>
      <c r="C355" s="42" t="s">
        <v>360</v>
      </c>
      <c r="D355" s="43"/>
      <c r="E355" s="41">
        <v>7.972234068E9</v>
      </c>
      <c r="F355" s="2"/>
      <c r="G355" s="2"/>
      <c r="H355" s="2"/>
      <c r="I355" s="2"/>
      <c r="J355" s="2"/>
      <c r="K355" s="2"/>
      <c r="L355" s="2"/>
      <c r="M355" s="2"/>
      <c r="N355" s="2"/>
      <c r="O355" s="2"/>
      <c r="P355" s="2"/>
      <c r="Q355" s="2"/>
      <c r="R355" s="2"/>
    </row>
    <row r="356">
      <c r="A356" s="2" t="s">
        <v>13</v>
      </c>
      <c r="B356" s="4">
        <v>355.0</v>
      </c>
      <c r="C356" s="8" t="s">
        <v>254</v>
      </c>
      <c r="D356" s="3"/>
      <c r="E356" s="39">
        <v>9.409480931E9</v>
      </c>
      <c r="F356" s="2"/>
      <c r="G356" s="2"/>
      <c r="H356" s="2"/>
      <c r="I356" s="2"/>
      <c r="J356" s="2"/>
      <c r="K356" s="2"/>
      <c r="L356" s="2"/>
      <c r="M356" s="2"/>
      <c r="N356" s="2"/>
      <c r="O356" s="2"/>
      <c r="P356" s="2"/>
      <c r="Q356" s="2"/>
      <c r="R356" s="2"/>
    </row>
    <row r="357">
      <c r="A357" s="2" t="s">
        <v>5</v>
      </c>
      <c r="B357" s="4">
        <v>356.0</v>
      </c>
      <c r="C357" s="42" t="s">
        <v>361</v>
      </c>
      <c r="D357" s="43"/>
      <c r="E357" s="41">
        <v>6.353644233E9</v>
      </c>
      <c r="F357" s="2"/>
      <c r="G357" s="2"/>
      <c r="H357" s="2"/>
      <c r="I357" s="2"/>
      <c r="J357" s="2"/>
      <c r="K357" s="2"/>
      <c r="L357" s="2"/>
      <c r="M357" s="2"/>
      <c r="N357" s="2"/>
      <c r="O357" s="2"/>
      <c r="P357" s="2"/>
      <c r="Q357" s="2"/>
      <c r="R357" s="2"/>
    </row>
    <row r="358">
      <c r="A358" s="2" t="s">
        <v>7</v>
      </c>
      <c r="B358" s="4">
        <v>357.0</v>
      </c>
      <c r="C358" s="8" t="s">
        <v>362</v>
      </c>
      <c r="D358" s="3"/>
      <c r="E358" s="45">
        <v>7.859805309E9</v>
      </c>
      <c r="F358" s="2"/>
      <c r="G358" s="2"/>
      <c r="H358" s="2"/>
      <c r="I358" s="2"/>
      <c r="J358" s="2"/>
      <c r="K358" s="2"/>
      <c r="L358" s="2"/>
      <c r="M358" s="2"/>
      <c r="N358" s="2"/>
      <c r="O358" s="2"/>
      <c r="P358" s="2"/>
      <c r="Q358" s="2"/>
      <c r="R358" s="2"/>
    </row>
    <row r="359">
      <c r="A359" s="2" t="s">
        <v>9</v>
      </c>
      <c r="B359" s="4">
        <v>358.0</v>
      </c>
      <c r="C359" s="42" t="s">
        <v>363</v>
      </c>
      <c r="D359" s="43"/>
      <c r="E359" s="39">
        <v>9.6995123E9</v>
      </c>
      <c r="F359" s="2"/>
      <c r="G359" s="2"/>
      <c r="H359" s="2"/>
      <c r="I359" s="2"/>
      <c r="J359" s="2"/>
      <c r="K359" s="2"/>
      <c r="L359" s="2"/>
      <c r="M359" s="2"/>
      <c r="N359" s="2"/>
      <c r="O359" s="2"/>
      <c r="P359" s="2"/>
      <c r="Q359" s="2"/>
      <c r="R359" s="2"/>
    </row>
    <row r="360">
      <c r="A360" s="2" t="s">
        <v>11</v>
      </c>
      <c r="B360" s="4">
        <v>359.0</v>
      </c>
      <c r="C360" s="8" t="s">
        <v>364</v>
      </c>
      <c r="D360" s="3"/>
      <c r="E360" s="39">
        <v>8.080300157E9</v>
      </c>
      <c r="F360" s="2"/>
      <c r="G360" s="2"/>
      <c r="H360" s="2"/>
      <c r="I360" s="2"/>
      <c r="J360" s="2"/>
      <c r="K360" s="2"/>
      <c r="L360" s="2"/>
      <c r="M360" s="2"/>
      <c r="N360" s="2"/>
      <c r="O360" s="2"/>
      <c r="P360" s="2"/>
      <c r="Q360" s="2"/>
      <c r="R360" s="2"/>
    </row>
    <row r="361">
      <c r="A361" s="2" t="s">
        <v>13</v>
      </c>
      <c r="B361" s="4">
        <v>360.0</v>
      </c>
      <c r="C361" s="42" t="s">
        <v>365</v>
      </c>
      <c r="D361" s="43"/>
      <c r="E361" s="39">
        <v>9.328845368E9</v>
      </c>
      <c r="F361" s="2"/>
      <c r="G361" s="2"/>
      <c r="H361" s="2"/>
      <c r="I361" s="2"/>
      <c r="J361" s="2"/>
      <c r="K361" s="2"/>
      <c r="L361" s="2"/>
      <c r="M361" s="2"/>
      <c r="N361" s="2"/>
      <c r="O361" s="2"/>
      <c r="P361" s="2"/>
      <c r="Q361" s="2"/>
      <c r="R361" s="2"/>
    </row>
    <row r="362">
      <c r="A362" s="2" t="s">
        <v>5</v>
      </c>
      <c r="B362" s="4">
        <v>361.0</v>
      </c>
      <c r="C362" s="8" t="s">
        <v>366</v>
      </c>
      <c r="D362" s="3"/>
      <c r="E362" s="39">
        <v>8.879138436E9</v>
      </c>
      <c r="F362" s="2"/>
      <c r="G362" s="2"/>
      <c r="H362" s="2"/>
      <c r="I362" s="2"/>
      <c r="J362" s="2"/>
      <c r="K362" s="2"/>
      <c r="L362" s="2"/>
      <c r="M362" s="2"/>
      <c r="N362" s="2"/>
      <c r="O362" s="2"/>
      <c r="P362" s="2"/>
      <c r="Q362" s="2"/>
      <c r="R362" s="2"/>
    </row>
    <row r="363">
      <c r="A363" s="2" t="s">
        <v>7</v>
      </c>
      <c r="B363" s="4">
        <v>362.0</v>
      </c>
      <c r="C363" s="42" t="s">
        <v>367</v>
      </c>
      <c r="D363" s="43"/>
      <c r="E363" s="39">
        <v>8.08713502E9</v>
      </c>
      <c r="F363" s="2"/>
      <c r="G363" s="2"/>
      <c r="H363" s="2"/>
      <c r="I363" s="2"/>
      <c r="J363" s="2"/>
      <c r="K363" s="2"/>
      <c r="L363" s="2"/>
      <c r="M363" s="2"/>
      <c r="N363" s="2"/>
      <c r="O363" s="2"/>
      <c r="P363" s="2"/>
      <c r="Q363" s="2"/>
      <c r="R363" s="2"/>
    </row>
    <row r="364">
      <c r="A364" s="2" t="s">
        <v>9</v>
      </c>
      <c r="B364" s="4">
        <v>363.0</v>
      </c>
      <c r="C364" s="8" t="s">
        <v>368</v>
      </c>
      <c r="D364" s="3"/>
      <c r="E364" s="39">
        <v>9.243438779E9</v>
      </c>
      <c r="F364" s="2"/>
      <c r="G364" s="2"/>
      <c r="H364" s="2"/>
      <c r="I364" s="2"/>
      <c r="J364" s="2"/>
      <c r="K364" s="2"/>
      <c r="L364" s="2"/>
      <c r="M364" s="2"/>
      <c r="N364" s="2"/>
      <c r="O364" s="2"/>
      <c r="P364" s="2"/>
      <c r="Q364" s="2"/>
      <c r="R364" s="2"/>
    </row>
    <row r="365">
      <c r="A365" s="2" t="s">
        <v>11</v>
      </c>
      <c r="B365" s="4">
        <v>364.0</v>
      </c>
      <c r="C365" s="42" t="s">
        <v>369</v>
      </c>
      <c r="D365" s="43"/>
      <c r="E365" s="39">
        <v>9.902930191E9</v>
      </c>
      <c r="F365" s="2"/>
      <c r="G365" s="2"/>
      <c r="H365" s="2"/>
      <c r="I365" s="2"/>
      <c r="J365" s="2"/>
      <c r="K365" s="2"/>
      <c r="L365" s="2"/>
      <c r="M365" s="2"/>
      <c r="N365" s="2"/>
      <c r="O365" s="2"/>
      <c r="P365" s="2"/>
      <c r="Q365" s="2"/>
      <c r="R365" s="2"/>
    </row>
    <row r="366">
      <c r="A366" s="2" t="s">
        <v>13</v>
      </c>
      <c r="B366" s="4">
        <v>365.0</v>
      </c>
      <c r="C366" s="8" t="s">
        <v>370</v>
      </c>
      <c r="D366" s="3"/>
      <c r="E366" s="39">
        <v>9.220225997E9</v>
      </c>
      <c r="F366" s="2"/>
      <c r="G366" s="2"/>
      <c r="H366" s="2"/>
      <c r="I366" s="2"/>
      <c r="J366" s="2"/>
      <c r="K366" s="2"/>
      <c r="L366" s="2"/>
      <c r="M366" s="2"/>
      <c r="N366" s="2"/>
      <c r="O366" s="2"/>
      <c r="P366" s="2"/>
      <c r="Q366" s="2"/>
      <c r="R366" s="2"/>
    </row>
    <row r="367">
      <c r="A367" s="2" t="s">
        <v>5</v>
      </c>
      <c r="B367" s="4">
        <v>366.0</v>
      </c>
      <c r="C367" s="42" t="s">
        <v>371</v>
      </c>
      <c r="D367" s="43"/>
      <c r="E367" s="39">
        <v>9.537492999E9</v>
      </c>
      <c r="F367" s="2"/>
      <c r="G367" s="2"/>
      <c r="H367" s="2"/>
      <c r="I367" s="2"/>
      <c r="J367" s="2"/>
      <c r="K367" s="2"/>
      <c r="L367" s="2"/>
      <c r="M367" s="2"/>
      <c r="N367" s="2"/>
      <c r="O367" s="2"/>
      <c r="P367" s="2"/>
      <c r="Q367" s="2"/>
      <c r="R367" s="2"/>
    </row>
    <row r="368">
      <c r="A368" s="2" t="s">
        <v>7</v>
      </c>
      <c r="B368" s="4">
        <v>367.0</v>
      </c>
      <c r="C368" s="8" t="s">
        <v>372</v>
      </c>
      <c r="D368" s="3"/>
      <c r="E368" s="39">
        <v>9.029907634E9</v>
      </c>
      <c r="F368" s="2"/>
      <c r="G368" s="2"/>
      <c r="H368" s="2"/>
      <c r="I368" s="2"/>
      <c r="J368" s="2"/>
      <c r="K368" s="2"/>
      <c r="L368" s="2"/>
      <c r="M368" s="2"/>
      <c r="N368" s="2"/>
      <c r="O368" s="2"/>
      <c r="P368" s="2"/>
      <c r="Q368" s="2"/>
      <c r="R368" s="2"/>
    </row>
    <row r="369">
      <c r="A369" s="2" t="s">
        <v>5</v>
      </c>
      <c r="B369" s="4">
        <v>368.0</v>
      </c>
      <c r="C369" s="42" t="s">
        <v>373</v>
      </c>
      <c r="D369" s="43"/>
      <c r="E369" s="39">
        <v>7.666868225E9</v>
      </c>
      <c r="F369" s="2"/>
      <c r="G369" s="2"/>
      <c r="H369" s="2"/>
      <c r="I369" s="2"/>
      <c r="J369" s="2"/>
      <c r="K369" s="2"/>
      <c r="L369" s="2"/>
      <c r="M369" s="2"/>
      <c r="N369" s="2"/>
      <c r="O369" s="2"/>
      <c r="P369" s="2"/>
      <c r="Q369" s="2"/>
      <c r="R369" s="2"/>
    </row>
    <row r="370">
      <c r="A370" s="2" t="s">
        <v>7</v>
      </c>
      <c r="B370" s="4">
        <v>369.0</v>
      </c>
      <c r="C370" s="3" t="s">
        <v>374</v>
      </c>
      <c r="D370" s="3"/>
      <c r="E370" s="45">
        <v>9.408284474E9</v>
      </c>
      <c r="F370" s="2"/>
      <c r="G370" s="2"/>
      <c r="H370" s="2"/>
      <c r="I370" s="2"/>
      <c r="J370" s="2"/>
      <c r="K370" s="2"/>
      <c r="L370" s="2"/>
      <c r="M370" s="2"/>
      <c r="N370" s="2"/>
      <c r="O370" s="2"/>
      <c r="P370" s="2"/>
      <c r="Q370" s="2"/>
      <c r="R370" s="2"/>
    </row>
    <row r="371">
      <c r="A371" s="2" t="s">
        <v>9</v>
      </c>
      <c r="B371" s="4">
        <v>370.0</v>
      </c>
      <c r="C371" s="43" t="s">
        <v>375</v>
      </c>
      <c r="D371" s="43"/>
      <c r="E371" s="45">
        <v>9.429061267E9</v>
      </c>
      <c r="F371" s="2"/>
      <c r="G371" s="2"/>
      <c r="H371" s="2"/>
      <c r="I371" s="2"/>
      <c r="J371" s="2"/>
      <c r="K371" s="2"/>
      <c r="L371" s="2"/>
      <c r="M371" s="2"/>
      <c r="N371" s="2"/>
      <c r="O371" s="2"/>
      <c r="P371" s="2"/>
      <c r="Q371" s="2"/>
      <c r="R371" s="2"/>
    </row>
    <row r="372">
      <c r="A372" s="2" t="s">
        <v>11</v>
      </c>
      <c r="B372" s="4">
        <v>371.0</v>
      </c>
      <c r="C372" s="3" t="s">
        <v>376</v>
      </c>
      <c r="D372" s="3"/>
      <c r="E372" s="45">
        <v>9.665179539E9</v>
      </c>
      <c r="F372" s="2"/>
      <c r="G372" s="2"/>
      <c r="H372" s="2"/>
      <c r="I372" s="2"/>
      <c r="J372" s="2"/>
      <c r="K372" s="2"/>
      <c r="L372" s="2"/>
      <c r="M372" s="2"/>
      <c r="N372" s="2"/>
      <c r="O372" s="2"/>
      <c r="P372" s="2"/>
      <c r="Q372" s="2"/>
      <c r="R372" s="2"/>
    </row>
    <row r="373">
      <c r="A373" s="2" t="s">
        <v>13</v>
      </c>
      <c r="B373" s="4">
        <v>372.0</v>
      </c>
      <c r="C373" s="43" t="s">
        <v>377</v>
      </c>
      <c r="D373" s="43"/>
      <c r="E373" s="39">
        <v>8.32021587E9</v>
      </c>
      <c r="F373" s="2"/>
      <c r="G373" s="2"/>
      <c r="H373" s="2"/>
      <c r="I373" s="2"/>
      <c r="J373" s="2"/>
      <c r="K373" s="2"/>
      <c r="L373" s="2"/>
      <c r="M373" s="2"/>
      <c r="N373" s="2"/>
      <c r="O373" s="2"/>
      <c r="P373" s="2"/>
      <c r="Q373" s="2"/>
      <c r="R373" s="2"/>
    </row>
    <row r="374">
      <c r="A374" s="2" t="s">
        <v>7</v>
      </c>
      <c r="B374" s="4">
        <v>373.0</v>
      </c>
      <c r="C374" s="3" t="s">
        <v>378</v>
      </c>
      <c r="D374" s="3"/>
      <c r="E374" s="45">
        <v>6.352539935E9</v>
      </c>
      <c r="F374" s="2"/>
      <c r="G374" s="2"/>
      <c r="H374" s="2"/>
      <c r="I374" s="2"/>
      <c r="J374" s="2"/>
      <c r="K374" s="2"/>
      <c r="L374" s="2"/>
      <c r="M374" s="2"/>
      <c r="N374" s="2"/>
      <c r="O374" s="2"/>
      <c r="P374" s="2"/>
      <c r="Q374" s="2"/>
      <c r="R374" s="2"/>
    </row>
    <row r="375">
      <c r="A375" s="2" t="s">
        <v>9</v>
      </c>
      <c r="B375" s="4">
        <v>374.0</v>
      </c>
      <c r="C375" s="43" t="s">
        <v>379</v>
      </c>
      <c r="D375" s="43"/>
      <c r="E375" s="39">
        <v>6.354503433E9</v>
      </c>
      <c r="F375" s="2"/>
      <c r="G375" s="2"/>
      <c r="H375" s="2"/>
      <c r="I375" s="2"/>
      <c r="J375" s="2"/>
      <c r="K375" s="2"/>
      <c r="L375" s="2"/>
      <c r="M375" s="2"/>
      <c r="N375" s="2"/>
      <c r="O375" s="2"/>
      <c r="P375" s="2"/>
      <c r="Q375" s="2"/>
      <c r="R375" s="2"/>
    </row>
    <row r="376">
      <c r="A376" s="2" t="s">
        <v>11</v>
      </c>
      <c r="B376" s="4">
        <v>375.0</v>
      </c>
      <c r="C376" s="3" t="s">
        <v>380</v>
      </c>
      <c r="D376" s="3"/>
      <c r="E376" s="39">
        <v>9.926652838E9</v>
      </c>
      <c r="F376" s="2"/>
      <c r="G376" s="2"/>
      <c r="H376" s="2"/>
      <c r="I376" s="2"/>
      <c r="J376" s="2"/>
      <c r="K376" s="2"/>
      <c r="L376" s="2"/>
      <c r="M376" s="2"/>
      <c r="N376" s="2"/>
      <c r="O376" s="2"/>
      <c r="P376" s="2"/>
      <c r="Q376" s="2"/>
      <c r="R376" s="2"/>
    </row>
    <row r="377">
      <c r="A377" s="2" t="s">
        <v>13</v>
      </c>
      <c r="B377" s="4">
        <v>376.0</v>
      </c>
      <c r="C377" s="43" t="s">
        <v>381</v>
      </c>
      <c r="D377" s="43"/>
      <c r="E377" s="39">
        <v>7.861988616E9</v>
      </c>
      <c r="F377" s="2"/>
      <c r="G377" s="2"/>
      <c r="H377" s="2"/>
      <c r="I377" s="2"/>
      <c r="J377" s="2"/>
      <c r="K377" s="2"/>
      <c r="L377" s="2"/>
      <c r="M377" s="2"/>
      <c r="N377" s="2"/>
      <c r="O377" s="2"/>
      <c r="P377" s="2"/>
      <c r="Q377" s="2"/>
      <c r="R377" s="2"/>
    </row>
    <row r="378">
      <c r="A378" s="2" t="s">
        <v>5</v>
      </c>
      <c r="B378" s="4">
        <v>377.0</v>
      </c>
      <c r="C378" s="3" t="s">
        <v>382</v>
      </c>
      <c r="D378" s="3"/>
      <c r="E378" s="39">
        <v>7.016262814E9</v>
      </c>
      <c r="F378" s="2"/>
      <c r="G378" s="2"/>
      <c r="H378" s="2"/>
      <c r="I378" s="2"/>
      <c r="J378" s="2"/>
      <c r="K378" s="2"/>
      <c r="L378" s="2"/>
      <c r="M378" s="2"/>
      <c r="N378" s="2"/>
      <c r="O378" s="2"/>
      <c r="P378" s="2"/>
      <c r="Q378" s="2"/>
      <c r="R378" s="2"/>
    </row>
    <row r="379">
      <c r="A379" s="2" t="s">
        <v>7</v>
      </c>
      <c r="B379" s="4">
        <v>378.0</v>
      </c>
      <c r="C379" s="43" t="s">
        <v>383</v>
      </c>
      <c r="D379" s="43"/>
      <c r="E379" s="45">
        <v>9.322516964E9</v>
      </c>
      <c r="F379" s="2"/>
      <c r="G379" s="2"/>
      <c r="H379" s="2"/>
      <c r="I379" s="2"/>
      <c r="J379" s="2"/>
      <c r="K379" s="2"/>
      <c r="L379" s="2"/>
      <c r="M379" s="2"/>
      <c r="N379" s="2"/>
      <c r="O379" s="2"/>
      <c r="P379" s="2"/>
      <c r="Q379" s="2"/>
      <c r="R379" s="2"/>
    </row>
    <row r="380">
      <c r="A380" s="2" t="s">
        <v>9</v>
      </c>
      <c r="B380" s="4">
        <v>379.0</v>
      </c>
      <c r="C380" s="3" t="s">
        <v>384</v>
      </c>
      <c r="D380" s="3"/>
      <c r="E380" s="39">
        <v>9.833047489E9</v>
      </c>
      <c r="F380" s="2"/>
      <c r="G380" s="2"/>
      <c r="H380" s="2"/>
      <c r="I380" s="2"/>
      <c r="J380" s="2"/>
      <c r="K380" s="2"/>
      <c r="L380" s="2"/>
      <c r="M380" s="2"/>
      <c r="N380" s="2"/>
      <c r="O380" s="2"/>
      <c r="P380" s="2"/>
      <c r="Q380" s="2"/>
      <c r="R380" s="2"/>
    </row>
    <row r="381">
      <c r="A381" s="2" t="s">
        <v>11</v>
      </c>
      <c r="B381" s="4">
        <v>380.0</v>
      </c>
      <c r="C381" s="43" t="s">
        <v>385</v>
      </c>
      <c r="D381" s="43"/>
      <c r="E381" s="39">
        <v>9.820154441E9</v>
      </c>
      <c r="F381" s="2"/>
      <c r="G381" s="2"/>
      <c r="H381" s="2"/>
      <c r="I381" s="2"/>
      <c r="J381" s="2"/>
      <c r="K381" s="2"/>
      <c r="L381" s="2"/>
      <c r="M381" s="2"/>
      <c r="N381" s="2"/>
      <c r="O381" s="2"/>
      <c r="P381" s="2"/>
      <c r="Q381" s="2"/>
      <c r="R381" s="2"/>
    </row>
    <row r="382">
      <c r="A382" s="2" t="s">
        <v>13</v>
      </c>
      <c r="B382" s="4">
        <v>381.0</v>
      </c>
      <c r="C382" s="3" t="s">
        <v>386</v>
      </c>
      <c r="D382" s="3"/>
      <c r="E382" s="39">
        <v>8.817004734E9</v>
      </c>
      <c r="F382" s="2"/>
      <c r="G382" s="2"/>
      <c r="H382" s="2"/>
      <c r="I382" s="2"/>
      <c r="J382" s="2"/>
      <c r="K382" s="2"/>
      <c r="L382" s="2"/>
      <c r="M382" s="2"/>
      <c r="N382" s="2"/>
      <c r="O382" s="2"/>
      <c r="P382" s="2"/>
      <c r="Q382" s="2"/>
      <c r="R382" s="2"/>
    </row>
    <row r="383">
      <c r="A383" s="2" t="s">
        <v>5</v>
      </c>
      <c r="B383" s="4">
        <v>382.0</v>
      </c>
      <c r="C383" s="43" t="s">
        <v>387</v>
      </c>
      <c r="D383" s="43"/>
      <c r="E383" s="39">
        <v>9.653253372E9</v>
      </c>
      <c r="F383" s="2"/>
      <c r="G383" s="2"/>
      <c r="H383" s="2"/>
      <c r="I383" s="2"/>
      <c r="J383" s="2"/>
      <c r="K383" s="2"/>
      <c r="L383" s="2"/>
      <c r="M383" s="2"/>
      <c r="N383" s="2"/>
      <c r="O383" s="2"/>
      <c r="P383" s="2"/>
      <c r="Q383" s="2"/>
      <c r="R383" s="2"/>
    </row>
    <row r="384">
      <c r="A384" s="2" t="s">
        <v>7</v>
      </c>
      <c r="B384" s="4">
        <v>383.0</v>
      </c>
      <c r="C384" s="3" t="s">
        <v>388</v>
      </c>
      <c r="D384" s="3"/>
      <c r="E384" s="45">
        <v>9.773635256E9</v>
      </c>
      <c r="F384" s="2"/>
      <c r="G384" s="2"/>
      <c r="H384" s="2"/>
      <c r="I384" s="2"/>
      <c r="J384" s="2"/>
      <c r="K384" s="2"/>
      <c r="L384" s="2"/>
      <c r="M384" s="2"/>
      <c r="N384" s="2"/>
      <c r="O384" s="2"/>
      <c r="P384" s="2"/>
      <c r="Q384" s="2"/>
      <c r="R384" s="2"/>
    </row>
    <row r="385">
      <c r="A385" s="2" t="s">
        <v>9</v>
      </c>
      <c r="B385" s="4">
        <v>384.0</v>
      </c>
      <c r="C385" s="43" t="s">
        <v>389</v>
      </c>
      <c r="D385" s="43"/>
      <c r="E385" s="39">
        <v>9.111347172E9</v>
      </c>
      <c r="F385" s="2"/>
      <c r="G385" s="2"/>
      <c r="H385" s="2"/>
      <c r="I385" s="2"/>
      <c r="J385" s="2"/>
      <c r="K385" s="2"/>
      <c r="L385" s="2"/>
      <c r="M385" s="2"/>
      <c r="N385" s="2"/>
      <c r="O385" s="2"/>
      <c r="P385" s="2"/>
      <c r="Q385" s="2"/>
      <c r="R385" s="2"/>
    </row>
    <row r="386">
      <c r="A386" s="2" t="s">
        <v>11</v>
      </c>
      <c r="B386" s="4">
        <v>385.0</v>
      </c>
      <c r="C386" s="3" t="s">
        <v>390</v>
      </c>
      <c r="D386" s="3"/>
      <c r="E386" s="39">
        <v>9.909887762E9</v>
      </c>
      <c r="F386" s="2"/>
      <c r="G386" s="2"/>
      <c r="H386" s="2"/>
      <c r="I386" s="2"/>
      <c r="J386" s="2"/>
      <c r="K386" s="2"/>
      <c r="L386" s="2"/>
      <c r="M386" s="2"/>
      <c r="N386" s="2"/>
      <c r="O386" s="2"/>
      <c r="P386" s="2"/>
      <c r="Q386" s="2"/>
      <c r="R386" s="2"/>
    </row>
    <row r="387">
      <c r="A387" s="2" t="s">
        <v>13</v>
      </c>
      <c r="B387" s="4">
        <v>386.0</v>
      </c>
      <c r="C387" s="42" t="s">
        <v>391</v>
      </c>
      <c r="D387" s="3"/>
      <c r="E387" s="39">
        <v>9.824277791E9</v>
      </c>
      <c r="F387" s="2"/>
      <c r="G387" s="2"/>
      <c r="H387" s="2"/>
      <c r="I387" s="2"/>
      <c r="J387" s="2"/>
      <c r="K387" s="2"/>
      <c r="L387" s="2"/>
      <c r="M387" s="2"/>
      <c r="N387" s="2"/>
      <c r="O387" s="2"/>
      <c r="P387" s="2"/>
      <c r="Q387" s="2"/>
      <c r="R387" s="2"/>
    </row>
    <row r="388">
      <c r="A388" s="2" t="s">
        <v>5</v>
      </c>
      <c r="B388" s="4">
        <v>387.0</v>
      </c>
      <c r="C388" s="3" t="s">
        <v>392</v>
      </c>
      <c r="D388" s="3"/>
      <c r="E388" s="45">
        <v>9.977892424E9</v>
      </c>
      <c r="F388" s="2"/>
      <c r="G388" s="2"/>
      <c r="H388" s="2"/>
      <c r="I388" s="2"/>
      <c r="J388" s="2"/>
      <c r="K388" s="2"/>
      <c r="L388" s="2"/>
      <c r="M388" s="2"/>
      <c r="N388" s="2"/>
      <c r="O388" s="2"/>
      <c r="P388" s="2"/>
      <c r="Q388" s="2"/>
      <c r="R388" s="2"/>
    </row>
    <row r="389">
      <c r="A389" s="2" t="s">
        <v>7</v>
      </c>
      <c r="B389" s="4">
        <v>388.0</v>
      </c>
      <c r="C389" s="43" t="s">
        <v>355</v>
      </c>
      <c r="D389" s="43"/>
      <c r="E389" s="45">
        <v>8.983021828E9</v>
      </c>
      <c r="F389" s="2"/>
      <c r="G389" s="2"/>
      <c r="H389" s="2"/>
      <c r="I389" s="2"/>
      <c r="J389" s="2"/>
      <c r="K389" s="2"/>
      <c r="L389" s="2"/>
      <c r="M389" s="2"/>
      <c r="N389" s="2"/>
      <c r="O389" s="2"/>
      <c r="P389" s="2"/>
      <c r="Q389" s="2"/>
      <c r="R389" s="2"/>
    </row>
    <row r="390">
      <c r="A390" s="2" t="s">
        <v>9</v>
      </c>
      <c r="B390" s="4">
        <v>389.0</v>
      </c>
      <c r="C390" s="8" t="s">
        <v>343</v>
      </c>
      <c r="D390" s="3"/>
      <c r="E390" s="44">
        <v>9.977003919E9</v>
      </c>
      <c r="F390" s="2"/>
      <c r="G390" s="2"/>
      <c r="H390" s="2"/>
      <c r="I390" s="2"/>
      <c r="J390" s="2"/>
      <c r="K390" s="2"/>
      <c r="L390" s="2"/>
      <c r="M390" s="2"/>
      <c r="N390" s="2"/>
      <c r="O390" s="2"/>
      <c r="P390" s="2"/>
      <c r="Q390" s="2"/>
      <c r="R390" s="2"/>
    </row>
    <row r="391">
      <c r="A391" s="2" t="s">
        <v>5</v>
      </c>
      <c r="B391" s="4">
        <v>390.0</v>
      </c>
      <c r="C391" s="42" t="s">
        <v>393</v>
      </c>
      <c r="D391" s="43"/>
      <c r="E391" s="39">
        <v>7.898717647E9</v>
      </c>
      <c r="F391" s="2"/>
      <c r="G391" s="2"/>
      <c r="H391" s="2"/>
      <c r="I391" s="2"/>
      <c r="J391" s="2"/>
      <c r="K391" s="2"/>
      <c r="L391" s="2"/>
      <c r="M391" s="2"/>
      <c r="N391" s="2"/>
      <c r="O391" s="2"/>
      <c r="P391" s="2"/>
      <c r="Q391" s="2"/>
      <c r="R391" s="2"/>
    </row>
    <row r="392">
      <c r="A392" s="2" t="s">
        <v>7</v>
      </c>
      <c r="B392" s="4">
        <v>391.0</v>
      </c>
      <c r="C392" s="8" t="s">
        <v>394</v>
      </c>
      <c r="D392" s="3"/>
      <c r="E392" s="39">
        <v>2.135477336E9</v>
      </c>
      <c r="F392" s="2"/>
      <c r="G392" s="2"/>
      <c r="H392" s="2"/>
      <c r="I392" s="2"/>
      <c r="J392" s="2"/>
      <c r="K392" s="2"/>
      <c r="L392" s="2"/>
      <c r="M392" s="2"/>
      <c r="N392" s="2"/>
      <c r="O392" s="2"/>
      <c r="P392" s="2"/>
      <c r="Q392" s="2"/>
      <c r="R392" s="2"/>
    </row>
    <row r="393">
      <c r="A393" s="2" t="s">
        <v>9</v>
      </c>
      <c r="B393" s="4">
        <v>392.0</v>
      </c>
      <c r="C393" s="42" t="s">
        <v>395</v>
      </c>
      <c r="D393" s="43"/>
      <c r="E393" s="39">
        <v>8.866084392E9</v>
      </c>
      <c r="F393" s="2"/>
      <c r="G393" s="2"/>
      <c r="H393" s="2"/>
      <c r="I393" s="2"/>
      <c r="J393" s="2"/>
      <c r="K393" s="2"/>
      <c r="L393" s="2"/>
      <c r="M393" s="2"/>
      <c r="N393" s="2"/>
      <c r="O393" s="2"/>
      <c r="P393" s="2"/>
      <c r="Q393" s="2"/>
      <c r="R393" s="2"/>
    </row>
    <row r="394">
      <c r="A394" s="2" t="s">
        <v>11</v>
      </c>
      <c r="B394" s="4">
        <v>393.0</v>
      </c>
      <c r="C394" s="46" t="s">
        <v>396</v>
      </c>
      <c r="D394" s="2"/>
      <c r="E394" s="39">
        <v>9.981000715E9</v>
      </c>
      <c r="F394" s="2"/>
      <c r="G394" s="2"/>
      <c r="H394" s="2"/>
      <c r="I394" s="2"/>
      <c r="J394" s="2"/>
      <c r="K394" s="2"/>
      <c r="L394" s="2"/>
      <c r="M394" s="2"/>
      <c r="N394" s="2"/>
      <c r="O394" s="2"/>
      <c r="P394" s="2"/>
      <c r="Q394" s="2"/>
      <c r="R394" s="2"/>
    </row>
    <row r="395">
      <c r="A395" s="3" t="s">
        <v>13</v>
      </c>
      <c r="B395" s="4">
        <v>394.0</v>
      </c>
      <c r="C395" s="42" t="s">
        <v>397</v>
      </c>
      <c r="D395" s="3"/>
      <c r="E395" s="4">
        <v>9.981000715E9</v>
      </c>
      <c r="F395" s="3"/>
      <c r="G395" s="3"/>
      <c r="H395" s="3"/>
      <c r="I395" s="3"/>
      <c r="J395" s="3"/>
      <c r="K395" s="3"/>
      <c r="L395" s="2"/>
      <c r="M395" s="2"/>
      <c r="N395" s="2"/>
      <c r="O395" s="2"/>
      <c r="P395" s="2"/>
      <c r="Q395" s="2"/>
      <c r="R395" s="2"/>
    </row>
    <row r="396">
      <c r="A396" s="3" t="s">
        <v>5</v>
      </c>
      <c r="B396" s="4">
        <v>395.0</v>
      </c>
      <c r="C396" s="3" t="s">
        <v>398</v>
      </c>
      <c r="D396" s="3"/>
      <c r="E396" s="4">
        <v>9.036980953E9</v>
      </c>
      <c r="F396" s="3"/>
      <c r="G396" s="3"/>
      <c r="H396" s="3"/>
      <c r="I396" s="3"/>
      <c r="J396" s="3"/>
      <c r="K396" s="3"/>
      <c r="L396" s="2"/>
      <c r="M396" s="2"/>
      <c r="N396" s="2"/>
      <c r="O396" s="2"/>
      <c r="P396" s="2"/>
      <c r="Q396" s="2"/>
      <c r="R396" s="2"/>
    </row>
    <row r="397">
      <c r="A397" s="3" t="s">
        <v>7</v>
      </c>
      <c r="B397" s="4">
        <v>396.0</v>
      </c>
      <c r="C397" s="3" t="s">
        <v>399</v>
      </c>
      <c r="D397" s="3"/>
      <c r="E397" s="4">
        <v>7.70987325E9</v>
      </c>
      <c r="F397" s="3"/>
      <c r="G397" s="3"/>
      <c r="H397" s="3"/>
      <c r="I397" s="3"/>
      <c r="J397" s="3"/>
      <c r="K397" s="3"/>
      <c r="L397" s="2"/>
      <c r="M397" s="2"/>
      <c r="N397" s="2"/>
      <c r="O397" s="2"/>
      <c r="P397" s="2"/>
      <c r="Q397" s="2"/>
      <c r="R397" s="2"/>
    </row>
    <row r="398">
      <c r="A398" s="2" t="s">
        <v>9</v>
      </c>
      <c r="B398" s="4">
        <v>397.0</v>
      </c>
      <c r="C398" s="2" t="s">
        <v>400</v>
      </c>
      <c r="D398" s="2"/>
      <c r="E398" s="39">
        <v>8.200395936E9</v>
      </c>
      <c r="F398" s="2"/>
      <c r="G398" s="2"/>
      <c r="H398" s="2"/>
      <c r="I398" s="2"/>
      <c r="J398" s="2"/>
      <c r="K398" s="2"/>
      <c r="L398" s="2"/>
      <c r="M398" s="2"/>
      <c r="N398" s="2"/>
      <c r="O398" s="2"/>
      <c r="P398" s="2"/>
      <c r="Q398" s="2"/>
      <c r="R398" s="2"/>
    </row>
    <row r="399">
      <c r="A399" s="2" t="s">
        <v>11</v>
      </c>
      <c r="B399" s="4">
        <v>398.0</v>
      </c>
      <c r="C399" s="2" t="s">
        <v>401</v>
      </c>
      <c r="D399" s="2"/>
      <c r="E399" s="39">
        <v>9.893967854E9</v>
      </c>
      <c r="F399" s="2"/>
      <c r="G399" s="2"/>
      <c r="H399" s="2"/>
      <c r="I399" s="2"/>
      <c r="J399" s="2"/>
      <c r="K399" s="2"/>
      <c r="L399" s="2"/>
      <c r="M399" s="2"/>
      <c r="N399" s="2"/>
      <c r="O399" s="2"/>
      <c r="P399" s="2"/>
      <c r="Q399" s="2"/>
      <c r="R399" s="2"/>
    </row>
    <row r="400">
      <c r="A400" s="2" t="s">
        <v>13</v>
      </c>
      <c r="B400" s="4">
        <v>399.0</v>
      </c>
      <c r="C400" s="2" t="s">
        <v>402</v>
      </c>
      <c r="D400" s="2"/>
      <c r="E400" s="39">
        <v>6.260188588E9</v>
      </c>
      <c r="F400" s="2"/>
      <c r="G400" s="2"/>
      <c r="H400" s="2"/>
      <c r="I400" s="2"/>
      <c r="J400" s="2"/>
      <c r="K400" s="2"/>
      <c r="L400" s="2"/>
      <c r="M400" s="2"/>
      <c r="N400" s="2"/>
      <c r="O400" s="2"/>
      <c r="P400" s="2"/>
      <c r="Q400" s="2"/>
      <c r="R400" s="2"/>
    </row>
    <row r="401">
      <c r="A401" s="2" t="s">
        <v>5</v>
      </c>
      <c r="B401" s="4">
        <v>400.0</v>
      </c>
      <c r="C401" s="2" t="s">
        <v>403</v>
      </c>
      <c r="D401" s="2"/>
      <c r="E401" s="39">
        <v>9.893267239E9</v>
      </c>
      <c r="F401" s="2"/>
      <c r="G401" s="2"/>
      <c r="H401" s="2"/>
      <c r="I401" s="2"/>
      <c r="J401" s="2"/>
      <c r="K401" s="2"/>
      <c r="L401" s="2"/>
      <c r="M401" s="2"/>
      <c r="N401" s="2"/>
      <c r="O401" s="2"/>
      <c r="P401" s="2"/>
      <c r="Q401" s="2"/>
      <c r="R401" s="2"/>
    </row>
    <row r="402">
      <c r="A402" s="2" t="s">
        <v>7</v>
      </c>
      <c r="B402" s="4">
        <v>401.0</v>
      </c>
      <c r="C402" s="2" t="s">
        <v>404</v>
      </c>
      <c r="D402" s="2"/>
      <c r="E402" s="39">
        <v>9.92393692E9</v>
      </c>
      <c r="F402" s="2"/>
      <c r="G402" s="2"/>
      <c r="H402" s="2"/>
      <c r="I402" s="2"/>
      <c r="J402" s="2"/>
      <c r="K402" s="2"/>
      <c r="L402" s="2"/>
      <c r="M402" s="2"/>
      <c r="N402" s="2"/>
      <c r="O402" s="2"/>
      <c r="P402" s="2"/>
      <c r="Q402" s="2"/>
      <c r="R402" s="2"/>
    </row>
    <row r="403">
      <c r="A403" s="2" t="s">
        <v>9</v>
      </c>
      <c r="B403" s="4">
        <v>402.0</v>
      </c>
      <c r="C403" s="2" t="s">
        <v>405</v>
      </c>
      <c r="D403" s="2"/>
      <c r="E403" s="39">
        <v>8.421277997E9</v>
      </c>
      <c r="F403" s="2"/>
      <c r="G403" s="2"/>
      <c r="H403" s="2"/>
      <c r="I403" s="2"/>
      <c r="J403" s="2"/>
      <c r="K403" s="2"/>
      <c r="L403" s="2"/>
      <c r="M403" s="2"/>
      <c r="N403" s="2"/>
      <c r="O403" s="2"/>
      <c r="P403" s="2"/>
      <c r="Q403" s="2"/>
      <c r="R403" s="2"/>
    </row>
    <row r="404">
      <c r="A404" s="2" t="s">
        <v>11</v>
      </c>
      <c r="B404" s="4">
        <v>403.0</v>
      </c>
      <c r="C404" s="2" t="s">
        <v>406</v>
      </c>
      <c r="D404" s="2"/>
      <c r="E404" s="39">
        <v>9.325702528E9</v>
      </c>
      <c r="F404" s="2"/>
      <c r="G404" s="2"/>
      <c r="H404" s="2"/>
      <c r="I404" s="2"/>
      <c r="J404" s="2"/>
      <c r="K404" s="2"/>
      <c r="L404" s="2"/>
      <c r="M404" s="2"/>
      <c r="N404" s="2"/>
      <c r="O404" s="2"/>
      <c r="P404" s="2"/>
      <c r="Q404" s="2"/>
      <c r="R404" s="2"/>
    </row>
    <row r="405">
      <c r="A405" s="2" t="s">
        <v>13</v>
      </c>
      <c r="B405" s="4">
        <v>404.0</v>
      </c>
      <c r="C405" s="2" t="s">
        <v>407</v>
      </c>
      <c r="D405" s="2"/>
      <c r="E405" s="39">
        <v>9.049038089E9</v>
      </c>
      <c r="F405" s="2"/>
      <c r="G405" s="2"/>
      <c r="H405" s="2"/>
      <c r="I405" s="2"/>
      <c r="J405" s="2"/>
      <c r="K405" s="2"/>
      <c r="L405" s="2"/>
      <c r="M405" s="2"/>
      <c r="N405" s="2"/>
      <c r="O405" s="2"/>
      <c r="P405" s="2"/>
      <c r="Q405" s="2"/>
      <c r="R405" s="2"/>
    </row>
    <row r="406">
      <c r="A406" s="2" t="s">
        <v>5</v>
      </c>
      <c r="B406" s="4">
        <v>405.0</v>
      </c>
      <c r="C406" s="2" t="s">
        <v>408</v>
      </c>
      <c r="D406" s="2"/>
      <c r="E406" s="39">
        <v>9.201696457E9</v>
      </c>
      <c r="F406" s="2"/>
      <c r="G406" s="2"/>
      <c r="H406" s="2"/>
      <c r="I406" s="2"/>
      <c r="J406" s="2"/>
      <c r="K406" s="2"/>
      <c r="L406" s="2"/>
      <c r="M406" s="2"/>
      <c r="N406" s="2"/>
      <c r="O406" s="2"/>
      <c r="P406" s="2"/>
      <c r="Q406" s="2"/>
      <c r="R406" s="2"/>
    </row>
    <row r="407">
      <c r="A407" s="2" t="s">
        <v>7</v>
      </c>
      <c r="B407" s="4">
        <v>406.0</v>
      </c>
      <c r="C407" s="2" t="s">
        <v>409</v>
      </c>
      <c r="D407" s="2"/>
      <c r="E407" s="39">
        <v>9.834083806E9</v>
      </c>
      <c r="F407" s="2"/>
      <c r="G407" s="2"/>
      <c r="H407" s="2"/>
      <c r="I407" s="2"/>
      <c r="J407" s="2"/>
      <c r="K407" s="2"/>
      <c r="L407" s="2"/>
      <c r="M407" s="2"/>
      <c r="N407" s="2"/>
      <c r="O407" s="2"/>
      <c r="P407" s="2"/>
      <c r="Q407" s="2"/>
      <c r="R407" s="2"/>
    </row>
    <row r="408">
      <c r="A408" s="2" t="s">
        <v>9</v>
      </c>
      <c r="B408" s="4">
        <v>407.0</v>
      </c>
      <c r="C408" s="2" t="s">
        <v>410</v>
      </c>
      <c r="D408" s="2"/>
      <c r="E408" s="39">
        <v>8.734839993E9</v>
      </c>
      <c r="F408" s="2"/>
      <c r="G408" s="2"/>
      <c r="H408" s="2"/>
      <c r="I408" s="2"/>
      <c r="J408" s="2"/>
      <c r="K408" s="2"/>
      <c r="L408" s="2"/>
      <c r="M408" s="2"/>
      <c r="N408" s="2"/>
      <c r="O408" s="2"/>
      <c r="P408" s="2"/>
      <c r="Q408" s="2"/>
      <c r="R408" s="2"/>
    </row>
    <row r="409">
      <c r="A409" s="2" t="s">
        <v>11</v>
      </c>
      <c r="B409" s="4">
        <v>408.0</v>
      </c>
      <c r="C409" s="2" t="s">
        <v>411</v>
      </c>
      <c r="D409" s="2"/>
      <c r="E409" s="39">
        <v>7.62204382E9</v>
      </c>
      <c r="F409" s="2"/>
      <c r="G409" s="2"/>
      <c r="H409" s="2"/>
      <c r="I409" s="2"/>
      <c r="J409" s="2"/>
      <c r="K409" s="2"/>
      <c r="L409" s="2"/>
      <c r="M409" s="2"/>
      <c r="N409" s="2"/>
      <c r="O409" s="2"/>
      <c r="P409" s="2"/>
      <c r="Q409" s="2"/>
      <c r="R409" s="2"/>
    </row>
    <row r="410">
      <c r="A410" s="2" t="s">
        <v>13</v>
      </c>
      <c r="B410" s="4">
        <v>409.0</v>
      </c>
      <c r="C410" s="2" t="s">
        <v>412</v>
      </c>
      <c r="D410" s="2"/>
      <c r="E410" s="39">
        <v>9.712146398E9</v>
      </c>
      <c r="F410" s="2"/>
      <c r="G410" s="2"/>
      <c r="H410" s="2"/>
      <c r="I410" s="2"/>
      <c r="J410" s="2"/>
      <c r="K410" s="2"/>
      <c r="L410" s="2"/>
      <c r="M410" s="2"/>
      <c r="N410" s="2"/>
      <c r="O410" s="2"/>
      <c r="P410" s="2"/>
      <c r="Q410" s="2"/>
      <c r="R410" s="2"/>
    </row>
    <row r="411">
      <c r="A411" s="2" t="s">
        <v>5</v>
      </c>
      <c r="B411" s="4">
        <v>410.0</v>
      </c>
      <c r="C411" s="2" t="s">
        <v>413</v>
      </c>
      <c r="D411" s="2"/>
      <c r="E411" s="39">
        <v>9.426172768E9</v>
      </c>
      <c r="F411" s="2"/>
      <c r="G411" s="2"/>
      <c r="H411" s="2"/>
      <c r="I411" s="2"/>
      <c r="J411" s="2"/>
      <c r="K411" s="2"/>
      <c r="L411" s="2"/>
      <c r="M411" s="2"/>
      <c r="N411" s="2"/>
      <c r="O411" s="2"/>
      <c r="P411" s="2"/>
      <c r="Q411" s="2"/>
      <c r="R411" s="2"/>
    </row>
    <row r="412">
      <c r="A412" s="2" t="s">
        <v>7</v>
      </c>
      <c r="B412" s="4">
        <v>411.0</v>
      </c>
      <c r="C412" s="2" t="s">
        <v>414</v>
      </c>
      <c r="D412" s="2"/>
      <c r="E412" s="39">
        <v>8.971996137E9</v>
      </c>
      <c r="F412" s="2"/>
      <c r="G412" s="2"/>
      <c r="H412" s="2"/>
      <c r="I412" s="2"/>
      <c r="J412" s="2"/>
      <c r="K412" s="2"/>
      <c r="L412" s="2"/>
      <c r="M412" s="2"/>
      <c r="N412" s="2"/>
      <c r="O412" s="2"/>
      <c r="P412" s="2"/>
      <c r="Q412" s="2"/>
      <c r="R412" s="2"/>
    </row>
    <row r="413">
      <c r="A413" s="2" t="s">
        <v>9</v>
      </c>
      <c r="B413" s="4">
        <v>412.0</v>
      </c>
      <c r="C413" s="2" t="s">
        <v>415</v>
      </c>
      <c r="D413" s="2"/>
      <c r="E413" s="39">
        <v>9.714233768E9</v>
      </c>
      <c r="F413" s="2"/>
      <c r="G413" s="2"/>
      <c r="H413" s="2"/>
      <c r="I413" s="2"/>
      <c r="J413" s="2"/>
      <c r="K413" s="2"/>
      <c r="L413" s="2"/>
      <c r="M413" s="2"/>
      <c r="N413" s="2"/>
      <c r="O413" s="2"/>
      <c r="P413" s="2"/>
      <c r="Q413" s="2"/>
      <c r="R413" s="2"/>
    </row>
    <row r="414">
      <c r="A414" s="2" t="s">
        <v>11</v>
      </c>
      <c r="B414" s="4">
        <v>413.0</v>
      </c>
      <c r="C414" s="2" t="s">
        <v>416</v>
      </c>
      <c r="D414" s="2"/>
      <c r="E414" s="39">
        <v>8.780627901E9</v>
      </c>
      <c r="F414" s="2"/>
      <c r="G414" s="2"/>
      <c r="H414" s="2"/>
      <c r="I414" s="2"/>
      <c r="J414" s="2"/>
      <c r="K414" s="2"/>
      <c r="L414" s="2"/>
      <c r="M414" s="2"/>
      <c r="N414" s="2"/>
      <c r="O414" s="2"/>
      <c r="P414" s="2"/>
      <c r="Q414" s="2"/>
      <c r="R414" s="2"/>
    </row>
    <row r="415">
      <c r="A415" s="2" t="s">
        <v>13</v>
      </c>
      <c r="B415" s="4">
        <v>414.0</v>
      </c>
      <c r="C415" s="2" t="s">
        <v>417</v>
      </c>
      <c r="D415" s="2"/>
      <c r="E415" s="39">
        <v>9.755283303E9</v>
      </c>
      <c r="F415" s="2"/>
      <c r="G415" s="2"/>
      <c r="H415" s="2"/>
      <c r="I415" s="2"/>
      <c r="J415" s="2"/>
      <c r="K415" s="2"/>
      <c r="L415" s="2"/>
      <c r="M415" s="2"/>
      <c r="N415" s="2"/>
      <c r="O415" s="2"/>
      <c r="P415" s="2"/>
      <c r="Q415" s="2"/>
      <c r="R415" s="2"/>
    </row>
    <row r="416">
      <c r="A416" s="2" t="s">
        <v>5</v>
      </c>
      <c r="B416" s="4">
        <v>415.0</v>
      </c>
      <c r="C416" s="2" t="s">
        <v>418</v>
      </c>
      <c r="D416" s="2"/>
      <c r="E416" s="39">
        <v>7.974433972E9</v>
      </c>
      <c r="F416" s="2"/>
      <c r="G416" s="2"/>
      <c r="H416" s="2"/>
      <c r="I416" s="2"/>
      <c r="J416" s="2"/>
      <c r="K416" s="2"/>
      <c r="L416" s="2"/>
      <c r="M416" s="2"/>
      <c r="N416" s="2"/>
      <c r="O416" s="2"/>
      <c r="P416" s="2"/>
      <c r="Q416" s="2"/>
      <c r="R416" s="2"/>
    </row>
    <row r="417">
      <c r="A417" s="2" t="s">
        <v>7</v>
      </c>
      <c r="B417" s="4">
        <v>416.0</v>
      </c>
      <c r="C417" s="2" t="s">
        <v>419</v>
      </c>
      <c r="D417" s="2"/>
      <c r="E417" s="39">
        <v>9.17362393E9</v>
      </c>
      <c r="F417" s="2"/>
      <c r="G417" s="2"/>
      <c r="H417" s="2"/>
      <c r="I417" s="2"/>
      <c r="J417" s="2"/>
      <c r="K417" s="2"/>
      <c r="L417" s="2"/>
      <c r="M417" s="2"/>
      <c r="N417" s="2"/>
      <c r="O417" s="2"/>
      <c r="P417" s="2"/>
      <c r="Q417" s="2"/>
      <c r="R417" s="2"/>
    </row>
    <row r="418">
      <c r="A418" s="2" t="s">
        <v>9</v>
      </c>
      <c r="B418" s="4">
        <v>417.0</v>
      </c>
      <c r="C418" s="2" t="s">
        <v>420</v>
      </c>
      <c r="D418" s="2"/>
      <c r="E418" s="39">
        <v>4.084205253E9</v>
      </c>
      <c r="F418" s="2"/>
      <c r="G418" s="2"/>
      <c r="H418" s="2"/>
      <c r="I418" s="2"/>
      <c r="J418" s="2"/>
      <c r="K418" s="2"/>
      <c r="L418" s="2"/>
      <c r="M418" s="2"/>
      <c r="N418" s="2"/>
      <c r="O418" s="2"/>
      <c r="P418" s="2"/>
      <c r="Q418" s="2"/>
      <c r="R418" s="2"/>
    </row>
    <row r="419">
      <c r="A419" s="2"/>
      <c r="B419" s="2"/>
      <c r="C419" s="2"/>
      <c r="D419" s="2"/>
      <c r="E419" s="2"/>
      <c r="F419" s="2"/>
      <c r="G419" s="2"/>
      <c r="H419" s="2"/>
      <c r="I419" s="2"/>
      <c r="J419" s="2"/>
      <c r="K419" s="2"/>
      <c r="L419" s="2"/>
      <c r="M419" s="2"/>
      <c r="N419" s="2"/>
      <c r="O419" s="2"/>
      <c r="P419" s="2"/>
      <c r="Q419" s="2"/>
      <c r="R419" s="2"/>
    </row>
    <row r="420">
      <c r="A420" s="2"/>
      <c r="B420" s="2"/>
      <c r="C420" s="2"/>
      <c r="D420" s="2"/>
      <c r="E420" s="2"/>
      <c r="F420" s="2"/>
      <c r="G420" s="2"/>
      <c r="H420" s="2"/>
      <c r="I420" s="2"/>
      <c r="J420" s="2"/>
      <c r="K420" s="2"/>
      <c r="L420" s="2"/>
      <c r="M420" s="2"/>
      <c r="N420" s="2"/>
      <c r="O420" s="2"/>
      <c r="P420" s="2"/>
      <c r="Q420" s="2"/>
      <c r="R420" s="2"/>
    </row>
    <row r="421">
      <c r="A421" s="2"/>
      <c r="B421" s="2"/>
      <c r="C421" s="2"/>
      <c r="D421" s="2"/>
      <c r="E421" s="2"/>
      <c r="F421" s="2"/>
      <c r="G421" s="2"/>
      <c r="H421" s="2"/>
      <c r="I421" s="2"/>
      <c r="J421" s="2"/>
      <c r="K421" s="2"/>
      <c r="L421" s="2"/>
      <c r="M421" s="2"/>
      <c r="N421" s="2"/>
      <c r="O421" s="2"/>
      <c r="P421" s="2"/>
      <c r="Q421" s="2"/>
      <c r="R421" s="2"/>
    </row>
    <row r="422">
      <c r="A422" s="2"/>
      <c r="B422" s="2"/>
      <c r="C422" s="2"/>
      <c r="D422" s="2"/>
      <c r="E422" s="2"/>
      <c r="F422" s="2"/>
      <c r="G422" s="2"/>
      <c r="H422" s="2"/>
      <c r="I422" s="2"/>
      <c r="J422" s="2"/>
      <c r="K422" s="2"/>
      <c r="L422" s="2"/>
      <c r="M422" s="2"/>
      <c r="N422" s="2"/>
      <c r="O422" s="2"/>
      <c r="P422" s="2"/>
      <c r="Q422" s="2"/>
      <c r="R422" s="2"/>
    </row>
    <row r="423">
      <c r="A423" s="2"/>
      <c r="B423" s="2"/>
      <c r="C423" s="2"/>
      <c r="D423" s="2"/>
      <c r="E423" s="2"/>
      <c r="F423" s="2"/>
      <c r="G423" s="2"/>
      <c r="H423" s="2"/>
      <c r="I423" s="2"/>
      <c r="J423" s="2"/>
      <c r="K423" s="2"/>
      <c r="L423" s="2"/>
      <c r="M423" s="2"/>
      <c r="N423" s="2"/>
      <c r="O423" s="2"/>
      <c r="P423" s="2"/>
      <c r="Q423" s="2"/>
      <c r="R423" s="2"/>
    </row>
    <row r="424">
      <c r="A424" s="2"/>
      <c r="B424" s="2"/>
      <c r="C424" s="2"/>
      <c r="D424" s="2"/>
      <c r="E424" s="2"/>
      <c r="F424" s="2"/>
      <c r="G424" s="2"/>
      <c r="H424" s="2"/>
      <c r="I424" s="2"/>
      <c r="J424" s="2"/>
      <c r="K424" s="2"/>
      <c r="L424" s="2"/>
      <c r="M424" s="2"/>
      <c r="N424" s="2"/>
      <c r="O424" s="2"/>
      <c r="P424" s="2"/>
      <c r="Q424" s="2"/>
      <c r="R424" s="2"/>
    </row>
    <row r="425">
      <c r="A425" s="2"/>
      <c r="B425" s="2"/>
      <c r="C425" s="2"/>
      <c r="D425" s="2"/>
      <c r="E425" s="2"/>
      <c r="F425" s="2"/>
      <c r="G425" s="2"/>
      <c r="H425" s="2"/>
      <c r="I425" s="2"/>
      <c r="J425" s="2"/>
      <c r="K425" s="2"/>
      <c r="L425" s="2"/>
      <c r="M425" s="2"/>
      <c r="N425" s="2"/>
      <c r="O425" s="2"/>
      <c r="P425" s="2"/>
      <c r="Q425" s="2"/>
      <c r="R425" s="2"/>
    </row>
    <row r="426">
      <c r="A426" s="2"/>
      <c r="B426" s="2"/>
      <c r="C426" s="2"/>
      <c r="D426" s="2"/>
      <c r="E426" s="2"/>
      <c r="F426" s="2"/>
      <c r="G426" s="2"/>
      <c r="H426" s="2"/>
      <c r="I426" s="2"/>
      <c r="J426" s="2"/>
      <c r="K426" s="2"/>
      <c r="L426" s="2"/>
      <c r="M426" s="2"/>
      <c r="N426" s="2"/>
      <c r="O426" s="2"/>
      <c r="P426" s="2"/>
      <c r="Q426" s="2"/>
      <c r="R426" s="2"/>
    </row>
    <row r="427">
      <c r="A427" s="2"/>
      <c r="B427" s="2"/>
      <c r="C427" s="2"/>
      <c r="D427" s="2"/>
      <c r="E427" s="2"/>
      <c r="F427" s="2"/>
      <c r="G427" s="2"/>
      <c r="H427" s="2"/>
      <c r="I427" s="2"/>
      <c r="J427" s="2"/>
      <c r="K427" s="2"/>
      <c r="L427" s="2"/>
      <c r="M427" s="2"/>
      <c r="N427" s="2"/>
      <c r="O427" s="2"/>
      <c r="P427" s="2"/>
      <c r="Q427" s="2"/>
      <c r="R427" s="2"/>
    </row>
    <row r="428">
      <c r="A428" s="2"/>
      <c r="B428" s="2"/>
      <c r="C428" s="2"/>
      <c r="D428" s="2"/>
      <c r="E428" s="2"/>
      <c r="F428" s="2"/>
      <c r="G428" s="2"/>
      <c r="H428" s="2"/>
      <c r="I428" s="2"/>
      <c r="J428" s="2"/>
      <c r="K428" s="2"/>
      <c r="L428" s="2"/>
      <c r="M428" s="2"/>
      <c r="N428" s="2"/>
      <c r="O428" s="2"/>
      <c r="P428" s="2"/>
      <c r="Q428" s="2"/>
      <c r="R428" s="2"/>
    </row>
    <row r="429">
      <c r="A429" s="2"/>
      <c r="B429" s="2"/>
      <c r="C429" s="2"/>
      <c r="D429" s="2"/>
      <c r="E429" s="2"/>
      <c r="F429" s="2"/>
      <c r="G429" s="2"/>
      <c r="H429" s="2"/>
      <c r="I429" s="2"/>
      <c r="J429" s="2"/>
      <c r="K429" s="2"/>
      <c r="L429" s="2"/>
      <c r="M429" s="2"/>
      <c r="N429" s="2"/>
      <c r="O429" s="2"/>
      <c r="P429" s="2"/>
      <c r="Q429" s="2"/>
      <c r="R429" s="2"/>
    </row>
    <row r="430">
      <c r="A430" s="2"/>
      <c r="B430" s="2"/>
      <c r="C430" s="2"/>
      <c r="D430" s="2"/>
      <c r="E430" s="2"/>
      <c r="F430" s="2"/>
      <c r="G430" s="2"/>
      <c r="H430" s="2"/>
      <c r="I430" s="2"/>
      <c r="J430" s="2"/>
      <c r="K430" s="2"/>
      <c r="L430" s="2"/>
      <c r="M430" s="2"/>
      <c r="N430" s="2"/>
      <c r="O430" s="2"/>
      <c r="P430" s="2"/>
      <c r="Q430" s="2"/>
      <c r="R430" s="2"/>
    </row>
    <row r="431">
      <c r="A431" s="2"/>
      <c r="B431" s="2"/>
      <c r="C431" s="2"/>
      <c r="D431" s="2"/>
      <c r="E431" s="2"/>
      <c r="F431" s="2"/>
      <c r="G431" s="2"/>
      <c r="H431" s="2"/>
      <c r="I431" s="2"/>
      <c r="J431" s="2"/>
      <c r="K431" s="2"/>
      <c r="L431" s="2"/>
      <c r="M431" s="2"/>
      <c r="N431" s="2"/>
      <c r="O431" s="2"/>
      <c r="P431" s="2"/>
      <c r="Q431" s="2"/>
      <c r="R431" s="2"/>
    </row>
    <row r="432">
      <c r="A432" s="2"/>
      <c r="B432" s="2"/>
      <c r="C432" s="2"/>
      <c r="D432" s="2"/>
      <c r="E432" s="2"/>
      <c r="F432" s="2"/>
      <c r="G432" s="2"/>
      <c r="H432" s="2"/>
      <c r="I432" s="2"/>
      <c r="J432" s="2"/>
      <c r="K432" s="2"/>
      <c r="L432" s="2"/>
      <c r="M432" s="2"/>
      <c r="N432" s="2"/>
      <c r="O432" s="2"/>
      <c r="P432" s="2"/>
      <c r="Q432" s="2"/>
      <c r="R432" s="2"/>
    </row>
    <row r="433">
      <c r="A433" s="2"/>
      <c r="B433" s="2"/>
      <c r="C433" s="2"/>
      <c r="D433" s="2"/>
      <c r="E433" s="2"/>
      <c r="F433" s="2"/>
      <c r="G433" s="2"/>
      <c r="H433" s="2"/>
      <c r="I433" s="2"/>
      <c r="J433" s="2"/>
      <c r="K433" s="2"/>
      <c r="L433" s="2"/>
      <c r="M433" s="2"/>
      <c r="N433" s="2"/>
      <c r="O433" s="2"/>
      <c r="P433" s="2"/>
      <c r="Q433" s="2"/>
      <c r="R433" s="2"/>
    </row>
    <row r="434">
      <c r="A434" s="2"/>
      <c r="B434" s="2"/>
      <c r="C434" s="2"/>
      <c r="D434" s="2"/>
      <c r="E434" s="2"/>
      <c r="F434" s="2"/>
      <c r="G434" s="2"/>
      <c r="H434" s="2"/>
      <c r="I434" s="2"/>
      <c r="J434" s="2"/>
      <c r="K434" s="2"/>
      <c r="L434" s="2"/>
      <c r="M434" s="2"/>
      <c r="N434" s="2"/>
      <c r="O434" s="2"/>
      <c r="P434" s="2"/>
      <c r="Q434" s="2"/>
      <c r="R434" s="2"/>
    </row>
    <row r="435">
      <c r="A435" s="2"/>
      <c r="B435" s="2"/>
      <c r="C435" s="2"/>
      <c r="D435" s="2"/>
      <c r="E435" s="2"/>
      <c r="F435" s="2"/>
      <c r="G435" s="2"/>
      <c r="H435" s="2"/>
      <c r="I435" s="2"/>
      <c r="J435" s="2"/>
      <c r="K435" s="2"/>
      <c r="L435" s="2"/>
      <c r="M435" s="2"/>
      <c r="N435" s="2"/>
      <c r="O435" s="2"/>
      <c r="P435" s="2"/>
      <c r="Q435" s="2"/>
      <c r="R435" s="2"/>
    </row>
    <row r="436">
      <c r="A436" s="2"/>
      <c r="B436" s="2"/>
      <c r="C436" s="2"/>
      <c r="D436" s="2"/>
      <c r="E436" s="2"/>
      <c r="F436" s="2"/>
      <c r="G436" s="2"/>
      <c r="H436" s="2"/>
      <c r="I436" s="2"/>
      <c r="J436" s="2"/>
      <c r="K436" s="2"/>
      <c r="L436" s="2"/>
      <c r="M436" s="2"/>
      <c r="N436" s="2"/>
      <c r="O436" s="2"/>
      <c r="P436" s="2"/>
      <c r="Q436" s="2"/>
      <c r="R436" s="2"/>
    </row>
    <row r="437">
      <c r="A437" s="2"/>
      <c r="B437" s="2"/>
      <c r="C437" s="2"/>
      <c r="D437" s="2"/>
      <c r="E437" s="2"/>
      <c r="F437" s="2"/>
      <c r="G437" s="2"/>
      <c r="H437" s="2"/>
      <c r="I437" s="2"/>
      <c r="J437" s="2"/>
      <c r="K437" s="2"/>
      <c r="L437" s="2"/>
      <c r="M437" s="2"/>
      <c r="N437" s="2"/>
      <c r="O437" s="2"/>
      <c r="P437" s="2"/>
      <c r="Q437" s="2"/>
      <c r="R437" s="2"/>
    </row>
    <row r="438">
      <c r="A438" s="2"/>
      <c r="B438" s="2"/>
      <c r="C438" s="2"/>
      <c r="D438" s="2"/>
      <c r="E438" s="2"/>
      <c r="F438" s="2"/>
      <c r="G438" s="2"/>
      <c r="H438" s="2"/>
      <c r="I438" s="2"/>
      <c r="J438" s="2"/>
      <c r="K438" s="2"/>
      <c r="L438" s="2"/>
      <c r="M438" s="2"/>
      <c r="N438" s="2"/>
      <c r="O438" s="2"/>
      <c r="P438" s="2"/>
      <c r="Q438" s="2"/>
      <c r="R438" s="2"/>
    </row>
    <row r="439">
      <c r="A439" s="2"/>
      <c r="B439" s="2"/>
      <c r="C439" s="2"/>
      <c r="D439" s="2"/>
      <c r="E439" s="2"/>
      <c r="F439" s="2"/>
      <c r="G439" s="2"/>
      <c r="H439" s="2"/>
      <c r="I439" s="2"/>
      <c r="J439" s="2"/>
      <c r="K439" s="2"/>
      <c r="L439" s="2"/>
      <c r="M439" s="2"/>
      <c r="N439" s="2"/>
      <c r="O439" s="2"/>
      <c r="P439" s="2"/>
      <c r="Q439" s="2"/>
      <c r="R439" s="2"/>
    </row>
    <row r="440">
      <c r="A440" s="2"/>
      <c r="B440" s="2"/>
      <c r="C440" s="2"/>
      <c r="D440" s="2"/>
      <c r="E440" s="2"/>
      <c r="F440" s="2"/>
      <c r="G440" s="2"/>
      <c r="H440" s="2"/>
      <c r="I440" s="2"/>
      <c r="J440" s="2"/>
      <c r="K440" s="2"/>
      <c r="L440" s="2"/>
      <c r="M440" s="2"/>
      <c r="N440" s="2"/>
      <c r="O440" s="2"/>
      <c r="P440" s="2"/>
      <c r="Q440" s="2"/>
      <c r="R440" s="2"/>
    </row>
    <row r="441">
      <c r="A441" s="2"/>
      <c r="B441" s="2"/>
      <c r="C441" s="2"/>
      <c r="D441" s="2"/>
      <c r="E441" s="2"/>
      <c r="F441" s="2"/>
      <c r="G441" s="2"/>
      <c r="H441" s="2"/>
      <c r="I441" s="2"/>
      <c r="J441" s="2"/>
      <c r="K441" s="2"/>
      <c r="L441" s="2"/>
      <c r="M441" s="2"/>
      <c r="N441" s="2"/>
      <c r="O441" s="2"/>
      <c r="P441" s="2"/>
      <c r="Q441" s="2"/>
      <c r="R441" s="2"/>
    </row>
    <row r="442">
      <c r="A442" s="2"/>
      <c r="B442" s="2"/>
      <c r="C442" s="2"/>
      <c r="D442" s="2"/>
      <c r="E442" s="2"/>
      <c r="F442" s="2"/>
      <c r="G442" s="2"/>
      <c r="H442" s="2"/>
      <c r="I442" s="2"/>
      <c r="J442" s="2"/>
      <c r="K442" s="2"/>
      <c r="L442" s="2"/>
      <c r="M442" s="2"/>
      <c r="N442" s="2"/>
      <c r="O442" s="2"/>
      <c r="P442" s="2"/>
      <c r="Q442" s="2"/>
      <c r="R442" s="2"/>
    </row>
    <row r="443">
      <c r="A443" s="2"/>
      <c r="B443" s="2"/>
      <c r="C443" s="2"/>
      <c r="D443" s="2"/>
      <c r="E443" s="2"/>
      <c r="F443" s="2"/>
      <c r="G443" s="2"/>
      <c r="H443" s="2"/>
      <c r="I443" s="2"/>
      <c r="J443" s="2"/>
      <c r="K443" s="2"/>
      <c r="L443" s="2"/>
      <c r="M443" s="2"/>
      <c r="N443" s="2"/>
      <c r="O443" s="2"/>
      <c r="P443" s="2"/>
      <c r="Q443" s="2"/>
      <c r="R443" s="2"/>
    </row>
    <row r="444">
      <c r="A444" s="2"/>
      <c r="B444" s="2"/>
      <c r="C444" s="2"/>
      <c r="D444" s="2"/>
      <c r="E444" s="2"/>
      <c r="F444" s="2"/>
      <c r="G444" s="2"/>
      <c r="H444" s="2"/>
      <c r="I444" s="2"/>
      <c r="J444" s="2"/>
      <c r="K444" s="2"/>
      <c r="L444" s="2"/>
      <c r="M444" s="2"/>
      <c r="N444" s="2"/>
      <c r="O444" s="2"/>
      <c r="P444" s="2"/>
      <c r="Q444" s="2"/>
      <c r="R444" s="2"/>
    </row>
    <row r="445">
      <c r="A445" s="2"/>
      <c r="B445" s="2"/>
      <c r="C445" s="2"/>
      <c r="D445" s="2"/>
      <c r="E445" s="2"/>
      <c r="F445" s="2"/>
      <c r="G445" s="2"/>
      <c r="H445" s="2"/>
      <c r="I445" s="2"/>
      <c r="J445" s="2"/>
      <c r="K445" s="2"/>
      <c r="L445" s="2"/>
      <c r="M445" s="2"/>
      <c r="N445" s="2"/>
      <c r="O445" s="2"/>
      <c r="P445" s="2"/>
      <c r="Q445" s="2"/>
      <c r="R445" s="2"/>
    </row>
    <row r="446">
      <c r="A446" s="2"/>
      <c r="B446" s="2"/>
      <c r="C446" s="2"/>
      <c r="D446" s="2"/>
      <c r="E446" s="2"/>
      <c r="F446" s="2"/>
      <c r="G446" s="2"/>
      <c r="H446" s="2"/>
      <c r="I446" s="2"/>
      <c r="J446" s="2"/>
      <c r="K446" s="2"/>
      <c r="L446" s="2"/>
      <c r="M446" s="2"/>
      <c r="N446" s="2"/>
      <c r="O446" s="2"/>
      <c r="P446" s="2"/>
      <c r="Q446" s="2"/>
      <c r="R446" s="2"/>
    </row>
    <row r="447">
      <c r="A447" s="2"/>
      <c r="B447" s="2"/>
      <c r="C447" s="2"/>
      <c r="D447" s="2"/>
      <c r="E447" s="2"/>
      <c r="F447" s="2"/>
      <c r="G447" s="2"/>
      <c r="H447" s="2"/>
      <c r="I447" s="2"/>
      <c r="J447" s="2"/>
      <c r="K447" s="2"/>
      <c r="L447" s="2"/>
      <c r="M447" s="2"/>
      <c r="N447" s="2"/>
      <c r="O447" s="2"/>
      <c r="P447" s="2"/>
      <c r="Q447" s="2"/>
      <c r="R447" s="2"/>
    </row>
    <row r="448">
      <c r="A448" s="2"/>
      <c r="B448" s="2"/>
      <c r="C448" s="2"/>
      <c r="D448" s="2"/>
      <c r="E448" s="2"/>
      <c r="F448" s="2"/>
      <c r="G448" s="2"/>
      <c r="H448" s="2"/>
      <c r="I448" s="2"/>
      <c r="J448" s="2"/>
      <c r="K448" s="2"/>
      <c r="L448" s="2"/>
      <c r="M448" s="2"/>
      <c r="N448" s="2"/>
      <c r="O448" s="2"/>
      <c r="P448" s="2"/>
      <c r="Q448" s="2"/>
      <c r="R448" s="2"/>
    </row>
    <row r="449">
      <c r="A449" s="2"/>
      <c r="B449" s="2"/>
      <c r="C449" s="2"/>
      <c r="D449" s="2"/>
      <c r="E449" s="2"/>
      <c r="F449" s="2"/>
      <c r="G449" s="2"/>
      <c r="H449" s="2"/>
      <c r="I449" s="2"/>
      <c r="J449" s="2"/>
      <c r="K449" s="2"/>
      <c r="L449" s="2"/>
      <c r="M449" s="2"/>
      <c r="N449" s="2"/>
      <c r="O449" s="2"/>
      <c r="P449" s="2"/>
      <c r="Q449" s="2"/>
      <c r="R449" s="2"/>
    </row>
    <row r="450">
      <c r="A450" s="2"/>
      <c r="B450" s="2"/>
      <c r="C450" s="2"/>
      <c r="D450" s="2"/>
      <c r="E450" s="2"/>
      <c r="F450" s="2"/>
      <c r="G450" s="2"/>
      <c r="H450" s="2"/>
      <c r="I450" s="2"/>
      <c r="J450" s="2"/>
      <c r="K450" s="2"/>
      <c r="L450" s="2"/>
      <c r="M450" s="2"/>
      <c r="N450" s="2"/>
      <c r="O450" s="2"/>
      <c r="P450" s="2"/>
      <c r="Q450" s="2"/>
      <c r="R450" s="2"/>
    </row>
    <row r="451">
      <c r="A451" s="2"/>
      <c r="B451" s="2"/>
      <c r="C451" s="2"/>
      <c r="D451" s="2"/>
      <c r="E451" s="2"/>
      <c r="F451" s="2"/>
      <c r="G451" s="2"/>
      <c r="H451" s="2"/>
      <c r="I451" s="2"/>
      <c r="J451" s="2"/>
      <c r="K451" s="2"/>
      <c r="L451" s="2"/>
      <c r="M451" s="2"/>
      <c r="N451" s="2"/>
      <c r="O451" s="2"/>
      <c r="P451" s="2"/>
      <c r="Q451" s="2"/>
      <c r="R451" s="2"/>
    </row>
    <row r="452">
      <c r="A452" s="2"/>
      <c r="B452" s="2"/>
      <c r="C452" s="2"/>
      <c r="D452" s="2"/>
      <c r="E452" s="2"/>
      <c r="F452" s="2"/>
      <c r="G452" s="2"/>
      <c r="H452" s="2"/>
      <c r="I452" s="2"/>
      <c r="J452" s="2"/>
      <c r="K452" s="2"/>
      <c r="L452" s="2"/>
      <c r="M452" s="2"/>
      <c r="N452" s="2"/>
      <c r="O452" s="2"/>
      <c r="P452" s="2"/>
      <c r="Q452" s="2"/>
      <c r="R452" s="2"/>
    </row>
    <row r="453">
      <c r="A453" s="2"/>
      <c r="B453" s="2"/>
      <c r="C453" s="2"/>
      <c r="D453" s="2"/>
      <c r="E453" s="2"/>
      <c r="F453" s="2"/>
      <c r="G453" s="2"/>
      <c r="H453" s="2"/>
      <c r="I453" s="2"/>
      <c r="J453" s="2"/>
      <c r="K453" s="2"/>
      <c r="L453" s="2"/>
      <c r="M453" s="2"/>
      <c r="N453" s="2"/>
      <c r="O453" s="2"/>
      <c r="P453" s="2"/>
      <c r="Q453" s="2"/>
      <c r="R453" s="2"/>
    </row>
    <row r="454">
      <c r="A454" s="2"/>
      <c r="B454" s="2"/>
      <c r="C454" s="2"/>
      <c r="D454" s="2"/>
      <c r="E454" s="2"/>
      <c r="F454" s="2"/>
      <c r="G454" s="2"/>
      <c r="H454" s="2"/>
      <c r="I454" s="2"/>
      <c r="J454" s="2"/>
      <c r="K454" s="2"/>
      <c r="L454" s="2"/>
      <c r="M454" s="2"/>
      <c r="N454" s="2"/>
      <c r="O454" s="2"/>
      <c r="P454" s="2"/>
      <c r="Q454" s="2"/>
      <c r="R454" s="2"/>
    </row>
    <row r="455">
      <c r="A455" s="2"/>
      <c r="B455" s="2"/>
      <c r="C455" s="2"/>
      <c r="D455" s="2"/>
      <c r="E455" s="2"/>
      <c r="F455" s="2"/>
      <c r="G455" s="2"/>
      <c r="H455" s="2"/>
      <c r="I455" s="2"/>
      <c r="J455" s="2"/>
      <c r="K455" s="2"/>
      <c r="L455" s="2"/>
      <c r="M455" s="2"/>
      <c r="N455" s="2"/>
      <c r="O455" s="2"/>
      <c r="P455" s="2"/>
      <c r="Q455" s="2"/>
      <c r="R455" s="2"/>
    </row>
    <row r="456">
      <c r="A456" s="2"/>
      <c r="B456" s="2"/>
      <c r="C456" s="2"/>
      <c r="D456" s="2"/>
      <c r="E456" s="2"/>
      <c r="F456" s="2"/>
      <c r="G456" s="2"/>
      <c r="H456" s="2"/>
      <c r="I456" s="2"/>
      <c r="J456" s="2"/>
      <c r="K456" s="2"/>
      <c r="L456" s="2"/>
      <c r="M456" s="2"/>
      <c r="N456" s="2"/>
      <c r="O456" s="2"/>
      <c r="P456" s="2"/>
      <c r="Q456" s="2"/>
      <c r="R456" s="2"/>
    </row>
    <row r="457">
      <c r="A457" s="2"/>
      <c r="B457" s="2"/>
      <c r="C457" s="2"/>
      <c r="D457" s="2"/>
      <c r="E457" s="2"/>
      <c r="F457" s="2"/>
      <c r="G457" s="2"/>
      <c r="H457" s="2"/>
      <c r="I457" s="2"/>
      <c r="J457" s="2"/>
      <c r="K457" s="2"/>
      <c r="L457" s="2"/>
      <c r="M457" s="2"/>
      <c r="N457" s="2"/>
      <c r="O457" s="2"/>
      <c r="P457" s="2"/>
      <c r="Q457" s="2"/>
      <c r="R457" s="2"/>
    </row>
    <row r="458">
      <c r="A458" s="2"/>
      <c r="B458" s="2"/>
      <c r="C458" s="2"/>
      <c r="D458" s="2"/>
      <c r="E458" s="2"/>
      <c r="F458" s="2"/>
      <c r="G458" s="2"/>
      <c r="H458" s="2"/>
      <c r="I458" s="2"/>
      <c r="J458" s="2"/>
      <c r="K458" s="2"/>
      <c r="L458" s="2"/>
      <c r="M458" s="2"/>
      <c r="N458" s="2"/>
      <c r="O458" s="2"/>
      <c r="P458" s="2"/>
      <c r="Q458" s="2"/>
      <c r="R458" s="2"/>
    </row>
    <row r="459">
      <c r="A459" s="2"/>
      <c r="B459" s="2"/>
      <c r="C459" s="2"/>
      <c r="D459" s="2"/>
      <c r="E459" s="2"/>
      <c r="F459" s="2"/>
      <c r="G459" s="2"/>
      <c r="H459" s="2"/>
      <c r="I459" s="2"/>
      <c r="J459" s="2"/>
      <c r="K459" s="2"/>
      <c r="L459" s="2"/>
      <c r="M459" s="2"/>
      <c r="N459" s="2"/>
      <c r="O459" s="2"/>
      <c r="P459" s="2"/>
      <c r="Q459" s="2"/>
      <c r="R459" s="2"/>
    </row>
    <row r="460">
      <c r="A460" s="2"/>
      <c r="B460" s="2"/>
      <c r="C460" s="2"/>
      <c r="D460" s="2"/>
      <c r="E460" s="2"/>
      <c r="F460" s="2"/>
      <c r="G460" s="2"/>
      <c r="H460" s="2"/>
      <c r="I460" s="2"/>
      <c r="J460" s="2"/>
      <c r="K460" s="2"/>
      <c r="L460" s="2"/>
      <c r="M460" s="2"/>
      <c r="N460" s="2"/>
      <c r="O460" s="2"/>
      <c r="P460" s="2"/>
      <c r="Q460" s="2"/>
      <c r="R460" s="2"/>
    </row>
    <row r="461">
      <c r="A461" s="2"/>
      <c r="B461" s="2"/>
      <c r="C461" s="2"/>
      <c r="D461" s="2"/>
      <c r="E461" s="2"/>
      <c r="F461" s="2"/>
      <c r="G461" s="2"/>
      <c r="H461" s="2"/>
      <c r="I461" s="2"/>
      <c r="J461" s="2"/>
      <c r="K461" s="2"/>
      <c r="L461" s="2"/>
      <c r="M461" s="2"/>
      <c r="N461" s="2"/>
      <c r="O461" s="2"/>
      <c r="P461" s="2"/>
      <c r="Q461" s="2"/>
      <c r="R461" s="2"/>
    </row>
    <row r="462">
      <c r="A462" s="2"/>
      <c r="B462" s="2"/>
      <c r="C462" s="2"/>
      <c r="D462" s="2"/>
      <c r="E462" s="2"/>
      <c r="F462" s="2"/>
      <c r="G462" s="2"/>
      <c r="H462" s="2"/>
      <c r="I462" s="2"/>
      <c r="J462" s="2"/>
      <c r="K462" s="2"/>
      <c r="L462" s="2"/>
      <c r="M462" s="2"/>
      <c r="N462" s="2"/>
      <c r="O462" s="2"/>
      <c r="P462" s="2"/>
      <c r="Q462" s="2"/>
      <c r="R462" s="2"/>
    </row>
    <row r="463">
      <c r="A463" s="2"/>
      <c r="B463" s="2"/>
      <c r="C463" s="2"/>
      <c r="D463" s="2"/>
      <c r="E463" s="2"/>
      <c r="F463" s="2"/>
      <c r="G463" s="2"/>
      <c r="H463" s="2"/>
      <c r="I463" s="2"/>
      <c r="J463" s="2"/>
      <c r="K463" s="2"/>
      <c r="L463" s="2"/>
      <c r="M463" s="2"/>
      <c r="N463" s="2"/>
      <c r="O463" s="2"/>
      <c r="P463" s="2"/>
      <c r="Q463" s="2"/>
      <c r="R463" s="2"/>
    </row>
    <row r="464">
      <c r="A464" s="2"/>
      <c r="B464" s="2"/>
      <c r="C464" s="2"/>
      <c r="D464" s="2"/>
      <c r="E464" s="2"/>
      <c r="F464" s="2"/>
      <c r="G464" s="2"/>
      <c r="H464" s="2"/>
      <c r="I464" s="2"/>
      <c r="J464" s="2"/>
      <c r="K464" s="2"/>
      <c r="L464" s="2"/>
      <c r="M464" s="2"/>
      <c r="N464" s="2"/>
      <c r="O464" s="2"/>
      <c r="P464" s="2"/>
      <c r="Q464" s="2"/>
      <c r="R464" s="2"/>
    </row>
    <row r="465">
      <c r="A465" s="2"/>
      <c r="B465" s="2"/>
      <c r="C465" s="2"/>
      <c r="D465" s="2"/>
      <c r="E465" s="2"/>
      <c r="F465" s="2"/>
      <c r="G465" s="2"/>
      <c r="H465" s="2"/>
      <c r="I465" s="2"/>
      <c r="J465" s="2"/>
      <c r="K465" s="2"/>
      <c r="L465" s="2"/>
      <c r="M465" s="2"/>
      <c r="N465" s="2"/>
      <c r="O465" s="2"/>
      <c r="P465" s="2"/>
      <c r="Q465" s="2"/>
      <c r="R465" s="2"/>
    </row>
    <row r="466">
      <c r="A466" s="2"/>
      <c r="B466" s="2"/>
      <c r="C466" s="2"/>
      <c r="D466" s="2"/>
      <c r="E466" s="2"/>
      <c r="F466" s="2"/>
      <c r="G466" s="2"/>
      <c r="H466" s="2"/>
      <c r="I466" s="2"/>
      <c r="J466" s="2"/>
      <c r="K466" s="2"/>
      <c r="L466" s="2"/>
      <c r="M466" s="2"/>
      <c r="N466" s="2"/>
      <c r="O466" s="2"/>
      <c r="P466" s="2"/>
      <c r="Q466" s="2"/>
      <c r="R466" s="2"/>
    </row>
    <row r="467">
      <c r="A467" s="2"/>
      <c r="B467" s="2"/>
      <c r="C467" s="2"/>
      <c r="D467" s="2"/>
      <c r="E467" s="2"/>
      <c r="F467" s="2"/>
      <c r="G467" s="2"/>
      <c r="H467" s="2"/>
      <c r="I467" s="2"/>
      <c r="J467" s="2"/>
      <c r="K467" s="2"/>
      <c r="L467" s="2"/>
      <c r="M467" s="2"/>
      <c r="N467" s="2"/>
      <c r="O467" s="2"/>
      <c r="P467" s="2"/>
      <c r="Q467" s="2"/>
      <c r="R467" s="2"/>
    </row>
    <row r="468">
      <c r="A468" s="2"/>
      <c r="B468" s="2"/>
      <c r="C468" s="2"/>
      <c r="D468" s="2"/>
      <c r="E468" s="2"/>
      <c r="F468" s="2"/>
      <c r="G468" s="2"/>
      <c r="H468" s="2"/>
      <c r="I468" s="2"/>
      <c r="J468" s="2"/>
      <c r="K468" s="2"/>
      <c r="L468" s="2"/>
      <c r="M468" s="2"/>
      <c r="N468" s="2"/>
      <c r="O468" s="2"/>
      <c r="P468" s="2"/>
      <c r="Q468" s="2"/>
      <c r="R468" s="2"/>
    </row>
    <row r="469">
      <c r="A469" s="2"/>
      <c r="B469" s="2"/>
      <c r="C469" s="2"/>
      <c r="D469" s="2"/>
      <c r="E469" s="2"/>
      <c r="F469" s="2"/>
      <c r="G469" s="2"/>
      <c r="H469" s="2"/>
      <c r="I469" s="2"/>
      <c r="J469" s="2"/>
      <c r="K469" s="2"/>
      <c r="L469" s="2"/>
      <c r="M469" s="2"/>
      <c r="N469" s="2"/>
      <c r="O469" s="2"/>
      <c r="P469" s="2"/>
      <c r="Q469" s="2"/>
      <c r="R469" s="2"/>
    </row>
    <row r="470">
      <c r="A470" s="2"/>
      <c r="B470" s="2"/>
      <c r="C470" s="2"/>
      <c r="D470" s="2"/>
      <c r="E470" s="2"/>
      <c r="F470" s="2"/>
      <c r="G470" s="2"/>
      <c r="H470" s="2"/>
      <c r="I470" s="2"/>
      <c r="J470" s="2"/>
      <c r="K470" s="2"/>
      <c r="L470" s="2"/>
      <c r="M470" s="2"/>
      <c r="N470" s="2"/>
      <c r="O470" s="2"/>
      <c r="P470" s="2"/>
      <c r="Q470" s="2"/>
      <c r="R470" s="2"/>
    </row>
    <row r="471">
      <c r="A471" s="2"/>
      <c r="B471" s="2"/>
      <c r="C471" s="2"/>
      <c r="D471" s="2"/>
      <c r="E471" s="2"/>
      <c r="F471" s="2"/>
      <c r="G471" s="2"/>
      <c r="H471" s="2"/>
      <c r="I471" s="2"/>
      <c r="J471" s="2"/>
      <c r="K471" s="2"/>
      <c r="L471" s="2"/>
      <c r="M471" s="2"/>
      <c r="N471" s="2"/>
      <c r="O471" s="2"/>
      <c r="P471" s="2"/>
      <c r="Q471" s="2"/>
      <c r="R471" s="2"/>
    </row>
    <row r="472">
      <c r="A472" s="2"/>
      <c r="B472" s="2"/>
      <c r="C472" s="2"/>
      <c r="D472" s="2"/>
      <c r="E472" s="2"/>
      <c r="F472" s="2"/>
      <c r="G472" s="2"/>
      <c r="H472" s="2"/>
      <c r="I472" s="2"/>
      <c r="J472" s="2"/>
      <c r="K472" s="2"/>
      <c r="L472" s="2"/>
      <c r="M472" s="2"/>
      <c r="N472" s="2"/>
      <c r="O472" s="2"/>
      <c r="P472" s="2"/>
      <c r="Q472" s="2"/>
      <c r="R472" s="2"/>
    </row>
    <row r="473">
      <c r="A473" s="2"/>
      <c r="B473" s="2"/>
      <c r="C473" s="2"/>
      <c r="D473" s="2"/>
      <c r="E473" s="2"/>
      <c r="F473" s="2"/>
      <c r="G473" s="2"/>
      <c r="H473" s="2"/>
      <c r="I473" s="2"/>
      <c r="J473" s="2"/>
      <c r="K473" s="2"/>
      <c r="L473" s="2"/>
      <c r="M473" s="2"/>
      <c r="N473" s="2"/>
      <c r="O473" s="2"/>
      <c r="P473" s="2"/>
      <c r="Q473" s="2"/>
      <c r="R473" s="2"/>
    </row>
    <row r="474">
      <c r="A474" s="2"/>
      <c r="B474" s="2"/>
      <c r="C474" s="2"/>
      <c r="D474" s="2"/>
      <c r="E474" s="2"/>
      <c r="F474" s="2"/>
      <c r="G474" s="2"/>
      <c r="H474" s="2"/>
      <c r="I474" s="2"/>
      <c r="J474" s="2"/>
      <c r="K474" s="2"/>
      <c r="L474" s="2"/>
      <c r="M474" s="2"/>
      <c r="N474" s="2"/>
      <c r="O474" s="2"/>
      <c r="P474" s="2"/>
      <c r="Q474" s="2"/>
      <c r="R474" s="2"/>
    </row>
    <row r="475">
      <c r="A475" s="2"/>
      <c r="B475" s="2"/>
      <c r="C475" s="2"/>
      <c r="D475" s="2"/>
      <c r="E475" s="2"/>
      <c r="F475" s="2"/>
      <c r="G475" s="2"/>
      <c r="H475" s="2"/>
      <c r="I475" s="2"/>
      <c r="J475" s="2"/>
      <c r="K475" s="2"/>
      <c r="L475" s="2"/>
      <c r="M475" s="2"/>
      <c r="N475" s="2"/>
      <c r="O475" s="2"/>
      <c r="P475" s="2"/>
      <c r="Q475" s="2"/>
      <c r="R475" s="2"/>
    </row>
    <row r="476">
      <c r="A476" s="2"/>
      <c r="B476" s="2"/>
      <c r="C476" s="2"/>
      <c r="D476" s="2"/>
      <c r="E476" s="2"/>
      <c r="F476" s="2"/>
      <c r="G476" s="2"/>
      <c r="H476" s="2"/>
      <c r="I476" s="2"/>
      <c r="J476" s="2"/>
      <c r="K476" s="2"/>
      <c r="L476" s="2"/>
      <c r="M476" s="2"/>
      <c r="N476" s="2"/>
      <c r="O476" s="2"/>
      <c r="P476" s="2"/>
      <c r="Q476" s="2"/>
      <c r="R476" s="2"/>
    </row>
    <row r="477">
      <c r="A477" s="2"/>
      <c r="B477" s="2"/>
      <c r="C477" s="2"/>
      <c r="D477" s="2"/>
      <c r="E477" s="2"/>
      <c r="F477" s="2"/>
      <c r="G477" s="2"/>
      <c r="H477" s="2"/>
      <c r="I477" s="2"/>
      <c r="J477" s="2"/>
      <c r="K477" s="2"/>
      <c r="L477" s="2"/>
      <c r="M477" s="2"/>
      <c r="N477" s="2"/>
      <c r="O477" s="2"/>
      <c r="P477" s="2"/>
      <c r="Q477" s="2"/>
      <c r="R477" s="2"/>
    </row>
    <row r="478">
      <c r="A478" s="2"/>
      <c r="B478" s="2"/>
      <c r="C478" s="2"/>
      <c r="D478" s="2"/>
      <c r="E478" s="2"/>
      <c r="F478" s="2"/>
      <c r="G478" s="2"/>
      <c r="H478" s="2"/>
      <c r="I478" s="2"/>
      <c r="J478" s="2"/>
      <c r="K478" s="2"/>
      <c r="L478" s="2"/>
      <c r="M478" s="2"/>
      <c r="N478" s="2"/>
      <c r="O478" s="2"/>
      <c r="P478" s="2"/>
      <c r="Q478" s="2"/>
      <c r="R478" s="2"/>
    </row>
    <row r="479">
      <c r="A479" s="2"/>
      <c r="B479" s="2"/>
      <c r="C479" s="2"/>
      <c r="D479" s="2"/>
      <c r="E479" s="2"/>
      <c r="F479" s="2"/>
      <c r="G479" s="2"/>
      <c r="H479" s="2"/>
      <c r="I479" s="2"/>
      <c r="J479" s="2"/>
      <c r="K479" s="2"/>
      <c r="L479" s="2"/>
      <c r="M479" s="2"/>
      <c r="N479" s="2"/>
      <c r="O479" s="2"/>
      <c r="P479" s="2"/>
      <c r="Q479" s="2"/>
      <c r="R479" s="2"/>
    </row>
    <row r="480">
      <c r="A480" s="2"/>
      <c r="B480" s="2"/>
      <c r="C480" s="2"/>
      <c r="D480" s="2"/>
      <c r="E480" s="2"/>
      <c r="F480" s="2"/>
      <c r="G480" s="2"/>
      <c r="H480" s="2"/>
      <c r="I480" s="2"/>
      <c r="J480" s="2"/>
      <c r="K480" s="2"/>
      <c r="L480" s="2"/>
      <c r="M480" s="2"/>
      <c r="N480" s="2"/>
      <c r="O480" s="2"/>
      <c r="P480" s="2"/>
      <c r="Q480" s="2"/>
      <c r="R480" s="2"/>
    </row>
    <row r="481">
      <c r="A481" s="2"/>
      <c r="B481" s="2"/>
      <c r="C481" s="2"/>
      <c r="D481" s="2"/>
      <c r="E481" s="2"/>
      <c r="F481" s="2"/>
      <c r="G481" s="2"/>
      <c r="H481" s="2"/>
      <c r="I481" s="2"/>
      <c r="J481" s="2"/>
      <c r="K481" s="2"/>
      <c r="L481" s="2"/>
      <c r="M481" s="2"/>
      <c r="N481" s="2"/>
      <c r="O481" s="2"/>
      <c r="P481" s="2"/>
      <c r="Q481" s="2"/>
      <c r="R481" s="2"/>
    </row>
    <row r="482">
      <c r="A482" s="2"/>
      <c r="B482" s="2"/>
      <c r="C482" s="2"/>
      <c r="D482" s="2"/>
      <c r="E482" s="2"/>
      <c r="F482" s="2"/>
      <c r="G482" s="2"/>
      <c r="H482" s="2"/>
      <c r="I482" s="2"/>
      <c r="J482" s="2"/>
      <c r="K482" s="2"/>
      <c r="L482" s="2"/>
      <c r="M482" s="2"/>
      <c r="N482" s="2"/>
      <c r="O482" s="2"/>
      <c r="P482" s="2"/>
      <c r="Q482" s="2"/>
      <c r="R482" s="2"/>
    </row>
    <row r="483">
      <c r="A483" s="2"/>
      <c r="B483" s="2"/>
      <c r="C483" s="2"/>
      <c r="D483" s="2"/>
      <c r="E483" s="2"/>
      <c r="F483" s="2"/>
      <c r="G483" s="2"/>
      <c r="H483" s="2"/>
      <c r="I483" s="2"/>
      <c r="J483" s="2"/>
      <c r="K483" s="2"/>
      <c r="L483" s="2"/>
      <c r="M483" s="2"/>
      <c r="N483" s="2"/>
      <c r="O483" s="2"/>
      <c r="P483" s="2"/>
      <c r="Q483" s="2"/>
      <c r="R483" s="2"/>
    </row>
    <row r="484">
      <c r="A484" s="2"/>
      <c r="B484" s="2"/>
      <c r="C484" s="2"/>
      <c r="D484" s="2"/>
      <c r="E484" s="2"/>
      <c r="F484" s="2"/>
      <c r="G484" s="2"/>
      <c r="H484" s="2"/>
      <c r="I484" s="2"/>
      <c r="J484" s="2"/>
      <c r="K484" s="2"/>
      <c r="L484" s="2"/>
      <c r="M484" s="2"/>
      <c r="N484" s="2"/>
      <c r="O484" s="2"/>
      <c r="P484" s="2"/>
      <c r="Q484" s="2"/>
      <c r="R484" s="2"/>
    </row>
    <row r="485">
      <c r="A485" s="2"/>
      <c r="B485" s="2"/>
      <c r="C485" s="2"/>
      <c r="D485" s="2"/>
      <c r="E485" s="2"/>
      <c r="F485" s="2"/>
      <c r="G485" s="2"/>
      <c r="H485" s="2"/>
      <c r="I485" s="2"/>
      <c r="J485" s="2"/>
      <c r="K485" s="2"/>
      <c r="L485" s="2"/>
      <c r="M485" s="2"/>
      <c r="N485" s="2"/>
      <c r="O485" s="2"/>
      <c r="P485" s="2"/>
      <c r="Q485" s="2"/>
      <c r="R485" s="2"/>
    </row>
    <row r="486">
      <c r="A486" s="2"/>
      <c r="B486" s="2"/>
      <c r="C486" s="2"/>
      <c r="D486" s="2"/>
      <c r="E486" s="2"/>
      <c r="F486" s="2"/>
      <c r="G486" s="2"/>
      <c r="H486" s="2"/>
      <c r="I486" s="2"/>
      <c r="J486" s="2"/>
      <c r="K486" s="2"/>
      <c r="L486" s="2"/>
      <c r="M486" s="2"/>
      <c r="N486" s="2"/>
      <c r="O486" s="2"/>
      <c r="P486" s="2"/>
      <c r="Q486" s="2"/>
      <c r="R486" s="2"/>
    </row>
    <row r="487">
      <c r="A487" s="2"/>
      <c r="B487" s="2"/>
      <c r="C487" s="2"/>
      <c r="D487" s="2"/>
      <c r="E487" s="2"/>
      <c r="F487" s="2"/>
      <c r="G487" s="2"/>
      <c r="H487" s="2"/>
      <c r="I487" s="2"/>
      <c r="J487" s="2"/>
      <c r="K487" s="2"/>
      <c r="L487" s="2"/>
      <c r="M487" s="2"/>
      <c r="N487" s="2"/>
      <c r="O487" s="2"/>
      <c r="P487" s="2"/>
      <c r="Q487" s="2"/>
      <c r="R487" s="2"/>
    </row>
    <row r="488">
      <c r="A488" s="2"/>
      <c r="B488" s="2"/>
      <c r="C488" s="2"/>
      <c r="D488" s="2"/>
      <c r="E488" s="2"/>
      <c r="F488" s="2"/>
      <c r="G488" s="2"/>
      <c r="H488" s="2"/>
      <c r="I488" s="2"/>
      <c r="J488" s="2"/>
      <c r="K488" s="2"/>
      <c r="L488" s="2"/>
      <c r="M488" s="2"/>
      <c r="N488" s="2"/>
      <c r="O488" s="2"/>
      <c r="P488" s="2"/>
      <c r="Q488" s="2"/>
      <c r="R488" s="2"/>
    </row>
    <row r="489">
      <c r="A489" s="2"/>
      <c r="B489" s="2"/>
      <c r="C489" s="2"/>
      <c r="D489" s="2"/>
      <c r="E489" s="2"/>
      <c r="F489" s="2"/>
      <c r="G489" s="2"/>
      <c r="H489" s="2"/>
      <c r="I489" s="2"/>
      <c r="J489" s="2"/>
      <c r="K489" s="2"/>
      <c r="L489" s="2"/>
      <c r="M489" s="2"/>
      <c r="N489" s="2"/>
      <c r="O489" s="2"/>
      <c r="P489" s="2"/>
      <c r="Q489" s="2"/>
      <c r="R489" s="2"/>
    </row>
    <row r="490">
      <c r="A490" s="2"/>
      <c r="B490" s="2"/>
      <c r="C490" s="2"/>
      <c r="D490" s="2"/>
      <c r="E490" s="2"/>
      <c r="F490" s="2"/>
      <c r="G490" s="2"/>
      <c r="H490" s="2"/>
      <c r="I490" s="2"/>
      <c r="J490" s="2"/>
      <c r="K490" s="2"/>
      <c r="L490" s="2"/>
      <c r="M490" s="2"/>
      <c r="N490" s="2"/>
      <c r="O490" s="2"/>
      <c r="P490" s="2"/>
      <c r="Q490" s="2"/>
      <c r="R490" s="2"/>
    </row>
    <row r="491">
      <c r="A491" s="2"/>
      <c r="B491" s="2"/>
      <c r="C491" s="2"/>
      <c r="D491" s="2"/>
      <c r="E491" s="2"/>
      <c r="F491" s="2"/>
      <c r="G491" s="2"/>
      <c r="H491" s="2"/>
      <c r="I491" s="2"/>
      <c r="J491" s="2"/>
      <c r="K491" s="2"/>
      <c r="L491" s="2"/>
      <c r="M491" s="2"/>
      <c r="N491" s="2"/>
      <c r="O491" s="2"/>
      <c r="P491" s="2"/>
      <c r="Q491" s="2"/>
      <c r="R491" s="2"/>
    </row>
    <row r="492">
      <c r="A492" s="2"/>
      <c r="B492" s="2"/>
      <c r="C492" s="2"/>
      <c r="D492" s="2"/>
      <c r="E492" s="2"/>
      <c r="F492" s="2"/>
      <c r="G492" s="2"/>
      <c r="H492" s="2"/>
      <c r="I492" s="2"/>
      <c r="J492" s="2"/>
      <c r="K492" s="2"/>
      <c r="L492" s="2"/>
      <c r="M492" s="2"/>
      <c r="N492" s="2"/>
      <c r="O492" s="2"/>
      <c r="P492" s="2"/>
      <c r="Q492" s="2"/>
      <c r="R492" s="2"/>
    </row>
    <row r="493">
      <c r="A493" s="2"/>
      <c r="B493" s="2"/>
      <c r="C493" s="2"/>
      <c r="D493" s="2"/>
      <c r="E493" s="2"/>
      <c r="F493" s="2"/>
      <c r="G493" s="2"/>
      <c r="H493" s="2"/>
      <c r="I493" s="2"/>
      <c r="J493" s="2"/>
      <c r="K493" s="2"/>
      <c r="L493" s="2"/>
      <c r="M493" s="2"/>
      <c r="N493" s="2"/>
      <c r="O493" s="2"/>
      <c r="P493" s="2"/>
      <c r="Q493" s="2"/>
      <c r="R493" s="2"/>
    </row>
    <row r="494">
      <c r="A494" s="2"/>
      <c r="B494" s="2"/>
      <c r="C494" s="2"/>
      <c r="D494" s="2"/>
      <c r="E494" s="2"/>
      <c r="F494" s="2"/>
      <c r="G494" s="2"/>
      <c r="H494" s="2"/>
      <c r="I494" s="2"/>
      <c r="J494" s="2"/>
      <c r="K494" s="2"/>
      <c r="L494" s="2"/>
      <c r="M494" s="2"/>
      <c r="N494" s="2"/>
      <c r="O494" s="2"/>
      <c r="P494" s="2"/>
      <c r="Q494" s="2"/>
      <c r="R494" s="2"/>
    </row>
    <row r="495">
      <c r="A495" s="2"/>
      <c r="B495" s="2"/>
      <c r="C495" s="2"/>
      <c r="D495" s="2"/>
      <c r="E495" s="2"/>
      <c r="F495" s="2"/>
      <c r="G495" s="2"/>
      <c r="H495" s="2"/>
      <c r="I495" s="2"/>
      <c r="J495" s="2"/>
      <c r="K495" s="2"/>
      <c r="L495" s="2"/>
      <c r="M495" s="2"/>
      <c r="N495" s="2"/>
      <c r="O495" s="2"/>
      <c r="P495" s="2"/>
      <c r="Q495" s="2"/>
      <c r="R495" s="2"/>
    </row>
    <row r="496">
      <c r="A496" s="2"/>
      <c r="B496" s="2"/>
      <c r="C496" s="2"/>
      <c r="D496" s="2"/>
      <c r="E496" s="2"/>
      <c r="F496" s="2"/>
      <c r="G496" s="2"/>
      <c r="H496" s="2"/>
      <c r="I496" s="2"/>
      <c r="J496" s="2"/>
      <c r="K496" s="2"/>
      <c r="L496" s="2"/>
      <c r="M496" s="2"/>
      <c r="N496" s="2"/>
      <c r="O496" s="2"/>
      <c r="P496" s="2"/>
      <c r="Q496" s="2"/>
      <c r="R496" s="2"/>
    </row>
    <row r="497">
      <c r="A497" s="2"/>
      <c r="B497" s="2"/>
      <c r="C497" s="2"/>
      <c r="D497" s="2"/>
      <c r="E497" s="2"/>
      <c r="F497" s="2"/>
      <c r="G497" s="2"/>
      <c r="H497" s="2"/>
      <c r="I497" s="2"/>
      <c r="J497" s="2"/>
      <c r="K497" s="2"/>
      <c r="L497" s="2"/>
      <c r="M497" s="2"/>
      <c r="N497" s="2"/>
      <c r="O497" s="2"/>
      <c r="P497" s="2"/>
      <c r="Q497" s="2"/>
      <c r="R497" s="2"/>
    </row>
    <row r="498">
      <c r="A498" s="2"/>
      <c r="B498" s="2"/>
      <c r="C498" s="2"/>
      <c r="D498" s="2"/>
      <c r="E498" s="2"/>
      <c r="F498" s="2"/>
      <c r="G498" s="2"/>
      <c r="H498" s="2"/>
      <c r="I498" s="2"/>
      <c r="J498" s="2"/>
      <c r="K498" s="2"/>
      <c r="L498" s="2"/>
      <c r="M498" s="2"/>
      <c r="N498" s="2"/>
      <c r="O498" s="2"/>
      <c r="P498" s="2"/>
      <c r="Q498" s="2"/>
      <c r="R498" s="2"/>
    </row>
    <row r="499">
      <c r="A499" s="2"/>
      <c r="B499" s="2"/>
      <c r="C499" s="2"/>
      <c r="D499" s="2"/>
      <c r="E499" s="2"/>
      <c r="F499" s="2"/>
      <c r="G499" s="2"/>
      <c r="H499" s="2"/>
      <c r="I499" s="2"/>
      <c r="J499" s="2"/>
      <c r="K499" s="2"/>
      <c r="L499" s="2"/>
      <c r="M499" s="2"/>
      <c r="N499" s="2"/>
      <c r="O499" s="2"/>
      <c r="P499" s="2"/>
      <c r="Q499" s="2"/>
      <c r="R499" s="2"/>
    </row>
    <row r="500">
      <c r="A500" s="2"/>
      <c r="B500" s="2"/>
      <c r="C500" s="2"/>
      <c r="D500" s="2"/>
      <c r="E500" s="2"/>
      <c r="F500" s="2"/>
      <c r="G500" s="2"/>
      <c r="H500" s="2"/>
      <c r="I500" s="2"/>
      <c r="J500" s="2"/>
      <c r="K500" s="2"/>
      <c r="L500" s="2"/>
      <c r="M500" s="2"/>
      <c r="N500" s="2"/>
      <c r="O500" s="2"/>
      <c r="P500" s="2"/>
      <c r="Q500" s="2"/>
      <c r="R500" s="2"/>
    </row>
    <row r="501">
      <c r="A501" s="2"/>
      <c r="B501" s="2"/>
      <c r="C501" s="2"/>
      <c r="D501" s="2"/>
      <c r="E501" s="2"/>
      <c r="F501" s="2"/>
      <c r="G501" s="2"/>
      <c r="H501" s="2"/>
      <c r="I501" s="2"/>
      <c r="J501" s="2"/>
      <c r="K501" s="2"/>
      <c r="L501" s="2"/>
      <c r="M501" s="2"/>
      <c r="N501" s="2"/>
      <c r="O501" s="2"/>
      <c r="P501" s="2"/>
      <c r="Q501" s="2"/>
      <c r="R501" s="2"/>
    </row>
    <row r="502">
      <c r="A502" s="2"/>
      <c r="B502" s="2"/>
      <c r="C502" s="2"/>
      <c r="D502" s="2"/>
      <c r="E502" s="2"/>
      <c r="F502" s="2"/>
      <c r="G502" s="2"/>
      <c r="H502" s="2"/>
      <c r="I502" s="2"/>
      <c r="J502" s="2"/>
      <c r="K502" s="2"/>
      <c r="L502" s="2"/>
      <c r="M502" s="2"/>
      <c r="N502" s="2"/>
      <c r="O502" s="2"/>
      <c r="P502" s="2"/>
      <c r="Q502" s="2"/>
      <c r="R502" s="2"/>
    </row>
    <row r="503">
      <c r="A503" s="2"/>
      <c r="B503" s="2"/>
      <c r="C503" s="2"/>
      <c r="D503" s="2"/>
      <c r="E503" s="2"/>
      <c r="F503" s="2"/>
      <c r="G503" s="2"/>
      <c r="H503" s="2"/>
      <c r="I503" s="2"/>
      <c r="J503" s="2"/>
      <c r="K503" s="2"/>
      <c r="L503" s="2"/>
      <c r="M503" s="2"/>
      <c r="N503" s="2"/>
      <c r="O503" s="2"/>
      <c r="P503" s="2"/>
      <c r="Q503" s="2"/>
      <c r="R503" s="2"/>
    </row>
    <row r="504">
      <c r="A504" s="2"/>
      <c r="B504" s="2"/>
      <c r="C504" s="2"/>
      <c r="D504" s="2"/>
      <c r="E504" s="2"/>
      <c r="F504" s="2"/>
      <c r="G504" s="2"/>
      <c r="H504" s="2"/>
      <c r="I504" s="2"/>
      <c r="J504" s="2"/>
      <c r="K504" s="2"/>
      <c r="L504" s="2"/>
      <c r="M504" s="2"/>
      <c r="N504" s="2"/>
      <c r="O504" s="2"/>
      <c r="P504" s="2"/>
      <c r="Q504" s="2"/>
      <c r="R504" s="2"/>
    </row>
    <row r="505">
      <c r="A505" s="2"/>
      <c r="B505" s="2"/>
      <c r="C505" s="2"/>
      <c r="D505" s="2"/>
      <c r="E505" s="2"/>
      <c r="F505" s="2"/>
      <c r="G505" s="2"/>
      <c r="H505" s="2"/>
      <c r="I505" s="2"/>
      <c r="J505" s="2"/>
      <c r="K505" s="2"/>
      <c r="L505" s="2"/>
      <c r="M505" s="2"/>
      <c r="N505" s="2"/>
      <c r="O505" s="2"/>
      <c r="P505" s="2"/>
      <c r="Q505" s="2"/>
      <c r="R505" s="2"/>
    </row>
    <row r="506">
      <c r="A506" s="2"/>
      <c r="B506" s="2"/>
      <c r="C506" s="2"/>
      <c r="D506" s="2"/>
      <c r="E506" s="2"/>
      <c r="F506" s="2"/>
      <c r="G506" s="2"/>
      <c r="H506" s="2"/>
      <c r="I506" s="2"/>
      <c r="J506" s="2"/>
      <c r="K506" s="2"/>
      <c r="L506" s="2"/>
      <c r="M506" s="2"/>
      <c r="N506" s="2"/>
      <c r="O506" s="2"/>
      <c r="P506" s="2"/>
      <c r="Q506" s="2"/>
      <c r="R506" s="2"/>
    </row>
    <row r="507">
      <c r="A507" s="2"/>
      <c r="B507" s="2"/>
      <c r="C507" s="2"/>
      <c r="D507" s="2"/>
      <c r="E507" s="2"/>
      <c r="F507" s="2"/>
      <c r="G507" s="2"/>
      <c r="H507" s="2"/>
      <c r="I507" s="2"/>
      <c r="J507" s="2"/>
      <c r="K507" s="2"/>
      <c r="L507" s="2"/>
      <c r="M507" s="2"/>
      <c r="N507" s="2"/>
      <c r="O507" s="2"/>
      <c r="P507" s="2"/>
      <c r="Q507" s="2"/>
      <c r="R507" s="2"/>
    </row>
    <row r="508">
      <c r="A508" s="2"/>
      <c r="B508" s="2"/>
      <c r="C508" s="2"/>
      <c r="D508" s="2"/>
      <c r="E508" s="2"/>
      <c r="F508" s="2"/>
      <c r="G508" s="2"/>
      <c r="H508" s="2"/>
      <c r="I508" s="2"/>
      <c r="J508" s="2"/>
      <c r="K508" s="2"/>
      <c r="L508" s="2"/>
      <c r="M508" s="2"/>
      <c r="N508" s="2"/>
      <c r="O508" s="2"/>
      <c r="P508" s="2"/>
      <c r="Q508" s="2"/>
      <c r="R508" s="2"/>
    </row>
    <row r="509">
      <c r="A509" s="2"/>
      <c r="B509" s="2"/>
      <c r="C509" s="2"/>
      <c r="D509" s="2"/>
      <c r="E509" s="2"/>
      <c r="F509" s="2"/>
      <c r="G509" s="2"/>
      <c r="H509" s="2"/>
      <c r="I509" s="2"/>
      <c r="J509" s="2"/>
      <c r="K509" s="2"/>
      <c r="L509" s="2"/>
      <c r="M509" s="2"/>
      <c r="N509" s="2"/>
      <c r="O509" s="2"/>
      <c r="P509" s="2"/>
      <c r="Q509" s="2"/>
      <c r="R509" s="2"/>
    </row>
    <row r="510">
      <c r="A510" s="2"/>
      <c r="B510" s="2"/>
      <c r="C510" s="2"/>
      <c r="D510" s="2"/>
      <c r="E510" s="2"/>
      <c r="F510" s="2"/>
      <c r="G510" s="2"/>
      <c r="H510" s="2"/>
      <c r="I510" s="2"/>
      <c r="J510" s="2"/>
      <c r="K510" s="2"/>
      <c r="L510" s="2"/>
      <c r="M510" s="2"/>
      <c r="N510" s="2"/>
      <c r="O510" s="2"/>
      <c r="P510" s="2"/>
      <c r="Q510" s="2"/>
      <c r="R510" s="2"/>
    </row>
    <row r="511">
      <c r="A511" s="2"/>
      <c r="B511" s="2"/>
      <c r="C511" s="2"/>
      <c r="D511" s="2"/>
      <c r="E511" s="2"/>
      <c r="F511" s="2"/>
      <c r="G511" s="2"/>
      <c r="H511" s="2"/>
      <c r="I511" s="2"/>
      <c r="J511" s="2"/>
      <c r="K511" s="2"/>
      <c r="L511" s="2"/>
      <c r="M511" s="2"/>
      <c r="N511" s="2"/>
      <c r="O511" s="2"/>
      <c r="P511" s="2"/>
      <c r="Q511" s="2"/>
      <c r="R511" s="2"/>
    </row>
    <row r="512">
      <c r="A512" s="2"/>
      <c r="B512" s="2"/>
      <c r="C512" s="2"/>
      <c r="D512" s="2"/>
      <c r="E512" s="2"/>
      <c r="F512" s="2"/>
      <c r="G512" s="2"/>
      <c r="H512" s="2"/>
      <c r="I512" s="2"/>
      <c r="J512" s="2"/>
      <c r="K512" s="2"/>
      <c r="L512" s="2"/>
      <c r="M512" s="2"/>
      <c r="N512" s="2"/>
      <c r="O512" s="2"/>
      <c r="P512" s="2"/>
      <c r="Q512" s="2"/>
      <c r="R512" s="2"/>
    </row>
    <row r="513">
      <c r="A513" s="2"/>
      <c r="B513" s="2"/>
      <c r="C513" s="2"/>
      <c r="D513" s="2"/>
      <c r="E513" s="2"/>
      <c r="F513" s="2"/>
      <c r="G513" s="2"/>
      <c r="H513" s="2"/>
      <c r="I513" s="2"/>
      <c r="J513" s="2"/>
      <c r="K513" s="2"/>
      <c r="L513" s="2"/>
      <c r="M513" s="2"/>
      <c r="N513" s="2"/>
      <c r="O513" s="2"/>
      <c r="P513" s="2"/>
      <c r="Q513" s="2"/>
      <c r="R513" s="2"/>
    </row>
    <row r="514">
      <c r="A514" s="2"/>
      <c r="B514" s="2"/>
      <c r="C514" s="2"/>
      <c r="D514" s="2"/>
      <c r="E514" s="2"/>
      <c r="F514" s="2"/>
      <c r="G514" s="2"/>
      <c r="H514" s="2"/>
      <c r="I514" s="2"/>
      <c r="J514" s="2"/>
      <c r="K514" s="2"/>
      <c r="L514" s="2"/>
      <c r="M514" s="2"/>
      <c r="N514" s="2"/>
      <c r="O514" s="2"/>
      <c r="P514" s="2"/>
      <c r="Q514" s="2"/>
      <c r="R514" s="2"/>
    </row>
    <row r="515">
      <c r="A515" s="2"/>
      <c r="B515" s="2"/>
      <c r="C515" s="2"/>
      <c r="D515" s="2"/>
      <c r="E515" s="2"/>
      <c r="F515" s="2"/>
      <c r="G515" s="2"/>
      <c r="H515" s="2"/>
      <c r="I515" s="2"/>
      <c r="J515" s="2"/>
      <c r="K515" s="2"/>
      <c r="L515" s="2"/>
      <c r="M515" s="2"/>
      <c r="N515" s="2"/>
      <c r="O515" s="2"/>
      <c r="P515" s="2"/>
      <c r="Q515" s="2"/>
      <c r="R515" s="2"/>
    </row>
    <row r="516">
      <c r="A516" s="2"/>
      <c r="B516" s="2"/>
      <c r="C516" s="2"/>
      <c r="D516" s="2"/>
      <c r="E516" s="2"/>
      <c r="F516" s="2"/>
      <c r="G516" s="2"/>
      <c r="H516" s="2"/>
      <c r="I516" s="2"/>
      <c r="J516" s="2"/>
      <c r="K516" s="2"/>
      <c r="L516" s="2"/>
      <c r="M516" s="2"/>
      <c r="N516" s="2"/>
      <c r="O516" s="2"/>
      <c r="P516" s="2"/>
      <c r="Q516" s="2"/>
      <c r="R516" s="2"/>
    </row>
    <row r="517">
      <c r="A517" s="2"/>
      <c r="B517" s="2"/>
      <c r="C517" s="2"/>
      <c r="D517" s="2"/>
      <c r="E517" s="2"/>
      <c r="F517" s="2"/>
      <c r="G517" s="2"/>
      <c r="H517" s="2"/>
      <c r="I517" s="2"/>
      <c r="J517" s="2"/>
      <c r="K517" s="2"/>
      <c r="L517" s="2"/>
      <c r="M517" s="2"/>
      <c r="N517" s="2"/>
      <c r="O517" s="2"/>
      <c r="P517" s="2"/>
      <c r="Q517" s="2"/>
      <c r="R517" s="2"/>
    </row>
    <row r="518">
      <c r="A518" s="2"/>
      <c r="B518" s="2"/>
      <c r="C518" s="2"/>
      <c r="D518" s="2"/>
      <c r="E518" s="2"/>
      <c r="F518" s="2"/>
      <c r="G518" s="2"/>
      <c r="H518" s="2"/>
      <c r="I518" s="2"/>
      <c r="J518" s="2"/>
      <c r="K518" s="2"/>
      <c r="L518" s="2"/>
      <c r="M518" s="2"/>
      <c r="N518" s="2"/>
      <c r="O518" s="2"/>
      <c r="P518" s="2"/>
      <c r="Q518" s="2"/>
      <c r="R518" s="2"/>
    </row>
    <row r="519">
      <c r="A519" s="2"/>
      <c r="B519" s="2"/>
      <c r="C519" s="2"/>
      <c r="D519" s="2"/>
      <c r="E519" s="2"/>
      <c r="F519" s="2"/>
      <c r="G519" s="2"/>
      <c r="H519" s="2"/>
      <c r="I519" s="2"/>
      <c r="J519" s="2"/>
      <c r="K519" s="2"/>
      <c r="L519" s="2"/>
      <c r="M519" s="2"/>
      <c r="N519" s="2"/>
      <c r="O519" s="2"/>
      <c r="P519" s="2"/>
      <c r="Q519" s="2"/>
      <c r="R519" s="2"/>
    </row>
    <row r="520">
      <c r="A520" s="2"/>
      <c r="B520" s="2"/>
      <c r="C520" s="2"/>
      <c r="D520" s="2"/>
      <c r="E520" s="2"/>
      <c r="F520" s="2"/>
      <c r="G520" s="2"/>
      <c r="H520" s="2"/>
      <c r="I520" s="2"/>
      <c r="J520" s="2"/>
      <c r="K520" s="2"/>
      <c r="L520" s="2"/>
      <c r="M520" s="2"/>
      <c r="N520" s="2"/>
      <c r="O520" s="2"/>
      <c r="P520" s="2"/>
      <c r="Q520" s="2"/>
      <c r="R520" s="2"/>
    </row>
    <row r="521">
      <c r="A521" s="2"/>
      <c r="B521" s="2"/>
      <c r="C521" s="2"/>
      <c r="D521" s="2"/>
      <c r="E521" s="2"/>
      <c r="F521" s="2"/>
      <c r="G521" s="2"/>
      <c r="H521" s="2"/>
      <c r="I521" s="2"/>
      <c r="J521" s="2"/>
      <c r="K521" s="2"/>
      <c r="L521" s="2"/>
      <c r="M521" s="2"/>
      <c r="N521" s="2"/>
      <c r="O521" s="2"/>
      <c r="P521" s="2"/>
      <c r="Q521" s="2"/>
      <c r="R521" s="2"/>
    </row>
    <row r="522">
      <c r="A522" s="2"/>
      <c r="B522" s="2"/>
      <c r="C522" s="2"/>
      <c r="D522" s="2"/>
      <c r="E522" s="2"/>
      <c r="F522" s="2"/>
      <c r="G522" s="2"/>
      <c r="H522" s="2"/>
      <c r="I522" s="2"/>
      <c r="J522" s="2"/>
      <c r="K522" s="2"/>
      <c r="L522" s="2"/>
      <c r="M522" s="2"/>
      <c r="N522" s="2"/>
      <c r="O522" s="2"/>
      <c r="P522" s="2"/>
      <c r="Q522" s="2"/>
      <c r="R522" s="2"/>
    </row>
    <row r="523">
      <c r="A523" s="2"/>
      <c r="B523" s="2"/>
      <c r="C523" s="2"/>
      <c r="D523" s="2"/>
      <c r="E523" s="2"/>
      <c r="F523" s="2"/>
      <c r="G523" s="2"/>
      <c r="H523" s="2"/>
      <c r="I523" s="2"/>
      <c r="J523" s="2"/>
      <c r="K523" s="2"/>
      <c r="L523" s="2"/>
      <c r="M523" s="2"/>
      <c r="N523" s="2"/>
      <c r="O523" s="2"/>
      <c r="P523" s="2"/>
      <c r="Q523" s="2"/>
      <c r="R523" s="2"/>
    </row>
    <row r="524">
      <c r="A524" s="2"/>
      <c r="B524" s="2"/>
      <c r="C524" s="2"/>
      <c r="D524" s="2"/>
      <c r="E524" s="2"/>
      <c r="F524" s="2"/>
      <c r="G524" s="2"/>
      <c r="H524" s="2"/>
      <c r="I524" s="2"/>
      <c r="J524" s="2"/>
      <c r="K524" s="2"/>
      <c r="L524" s="2"/>
      <c r="M524" s="2"/>
      <c r="N524" s="2"/>
      <c r="O524" s="2"/>
      <c r="P524" s="2"/>
      <c r="Q524" s="2"/>
      <c r="R524" s="2"/>
    </row>
    <row r="525">
      <c r="A525" s="2"/>
      <c r="B525" s="2"/>
      <c r="C525" s="2"/>
      <c r="D525" s="2"/>
      <c r="E525" s="2"/>
      <c r="F525" s="2"/>
      <c r="G525" s="2"/>
      <c r="H525" s="2"/>
      <c r="I525" s="2"/>
      <c r="J525" s="2"/>
      <c r="K525" s="2"/>
      <c r="L525" s="2"/>
      <c r="M525" s="2"/>
      <c r="N525" s="2"/>
      <c r="O525" s="2"/>
      <c r="P525" s="2"/>
      <c r="Q525" s="2"/>
      <c r="R525" s="2"/>
    </row>
    <row r="526">
      <c r="A526" s="2"/>
      <c r="B526" s="2"/>
      <c r="C526" s="2"/>
      <c r="D526" s="2"/>
      <c r="E526" s="2"/>
      <c r="F526" s="2"/>
      <c r="G526" s="2"/>
      <c r="H526" s="2"/>
      <c r="I526" s="2"/>
      <c r="J526" s="2"/>
      <c r="K526" s="2"/>
      <c r="L526" s="2"/>
      <c r="M526" s="2"/>
      <c r="N526" s="2"/>
      <c r="O526" s="2"/>
      <c r="P526" s="2"/>
      <c r="Q526" s="2"/>
      <c r="R526" s="2"/>
    </row>
    <row r="527">
      <c r="A527" s="2"/>
      <c r="B527" s="2"/>
      <c r="C527" s="2"/>
      <c r="D527" s="2"/>
      <c r="E527" s="2"/>
      <c r="F527" s="2"/>
      <c r="G527" s="2"/>
      <c r="H527" s="2"/>
      <c r="I527" s="2"/>
      <c r="J527" s="2"/>
      <c r="K527" s="2"/>
      <c r="L527" s="2"/>
      <c r="M527" s="2"/>
      <c r="N527" s="2"/>
      <c r="O527" s="2"/>
      <c r="P527" s="2"/>
      <c r="Q527" s="2"/>
      <c r="R527" s="2"/>
    </row>
    <row r="528">
      <c r="A528" s="2"/>
      <c r="B528" s="2"/>
      <c r="C528" s="2"/>
      <c r="D528" s="2"/>
      <c r="E528" s="2"/>
      <c r="F528" s="2"/>
      <c r="G528" s="2"/>
      <c r="H528" s="2"/>
      <c r="I528" s="2"/>
      <c r="J528" s="2"/>
      <c r="K528" s="2"/>
      <c r="L528" s="2"/>
      <c r="M528" s="2"/>
      <c r="N528" s="2"/>
      <c r="O528" s="2"/>
      <c r="P528" s="2"/>
      <c r="Q528" s="2"/>
      <c r="R528" s="2"/>
    </row>
    <row r="529">
      <c r="A529" s="2"/>
      <c r="B529" s="2"/>
      <c r="C529" s="2"/>
      <c r="D529" s="2"/>
      <c r="E529" s="2"/>
      <c r="F529" s="2"/>
      <c r="G529" s="2"/>
      <c r="H529" s="2"/>
      <c r="I529" s="2"/>
      <c r="J529" s="2"/>
      <c r="K529" s="2"/>
      <c r="L529" s="2"/>
      <c r="M529" s="2"/>
      <c r="N529" s="2"/>
      <c r="O529" s="2"/>
      <c r="P529" s="2"/>
      <c r="Q529" s="2"/>
      <c r="R529" s="2"/>
    </row>
    <row r="530">
      <c r="A530" s="2"/>
      <c r="B530" s="2"/>
      <c r="C530" s="2"/>
      <c r="D530" s="2"/>
      <c r="E530" s="2"/>
      <c r="F530" s="2"/>
      <c r="G530" s="2"/>
      <c r="H530" s="2"/>
      <c r="I530" s="2"/>
      <c r="J530" s="2"/>
      <c r="K530" s="2"/>
      <c r="L530" s="2"/>
      <c r="M530" s="2"/>
      <c r="N530" s="2"/>
      <c r="O530" s="2"/>
      <c r="P530" s="2"/>
      <c r="Q530" s="2"/>
      <c r="R530" s="2"/>
    </row>
    <row r="531">
      <c r="A531" s="2"/>
      <c r="B531" s="2"/>
      <c r="C531" s="2"/>
      <c r="D531" s="2"/>
      <c r="E531" s="2"/>
      <c r="F531" s="2"/>
      <c r="G531" s="2"/>
      <c r="H531" s="2"/>
      <c r="I531" s="2"/>
      <c r="J531" s="2"/>
      <c r="K531" s="2"/>
      <c r="L531" s="2"/>
      <c r="M531" s="2"/>
      <c r="N531" s="2"/>
      <c r="O531" s="2"/>
      <c r="P531" s="2"/>
      <c r="Q531" s="2"/>
      <c r="R531" s="2"/>
    </row>
    <row r="532">
      <c r="A532" s="2"/>
      <c r="B532" s="2"/>
      <c r="C532" s="2"/>
      <c r="D532" s="2"/>
      <c r="E532" s="2"/>
      <c r="F532" s="2"/>
      <c r="G532" s="2"/>
      <c r="H532" s="2"/>
      <c r="I532" s="2"/>
      <c r="J532" s="2"/>
      <c r="K532" s="2"/>
      <c r="L532" s="2"/>
      <c r="M532" s="2"/>
      <c r="N532" s="2"/>
      <c r="O532" s="2"/>
      <c r="P532" s="2"/>
      <c r="Q532" s="2"/>
      <c r="R532" s="2"/>
    </row>
    <row r="533">
      <c r="A533" s="2"/>
      <c r="B533" s="2"/>
      <c r="C533" s="2"/>
      <c r="D533" s="2"/>
      <c r="E533" s="2"/>
      <c r="F533" s="2"/>
      <c r="G533" s="2"/>
      <c r="H533" s="2"/>
      <c r="I533" s="2"/>
      <c r="J533" s="2"/>
      <c r="K533" s="2"/>
      <c r="L533" s="2"/>
      <c r="M533" s="2"/>
      <c r="N533" s="2"/>
      <c r="O533" s="2"/>
      <c r="P533" s="2"/>
      <c r="Q533" s="2"/>
      <c r="R533" s="2"/>
    </row>
    <row r="534">
      <c r="A534" s="2"/>
      <c r="B534" s="2"/>
      <c r="C534" s="2"/>
      <c r="D534" s="2"/>
      <c r="E534" s="2"/>
      <c r="F534" s="2"/>
      <c r="G534" s="2"/>
      <c r="H534" s="2"/>
      <c r="I534" s="2"/>
      <c r="J534" s="2"/>
      <c r="K534" s="2"/>
      <c r="L534" s="2"/>
      <c r="M534" s="2"/>
      <c r="N534" s="2"/>
      <c r="O534" s="2"/>
      <c r="P534" s="2"/>
      <c r="Q534" s="2"/>
      <c r="R534" s="2"/>
    </row>
    <row r="535">
      <c r="A535" s="2"/>
      <c r="B535" s="2"/>
      <c r="C535" s="2"/>
      <c r="D535" s="2"/>
      <c r="E535" s="2"/>
      <c r="F535" s="2"/>
      <c r="G535" s="2"/>
      <c r="H535" s="2"/>
      <c r="I535" s="2"/>
      <c r="J535" s="2"/>
      <c r="K535" s="2"/>
      <c r="L535" s="2"/>
      <c r="M535" s="2"/>
      <c r="N535" s="2"/>
      <c r="O535" s="2"/>
      <c r="P535" s="2"/>
      <c r="Q535" s="2"/>
      <c r="R535" s="2"/>
    </row>
    <row r="536">
      <c r="A536" s="2"/>
      <c r="B536" s="2"/>
      <c r="C536" s="2"/>
      <c r="D536" s="2"/>
      <c r="E536" s="2"/>
      <c r="F536" s="2"/>
      <c r="G536" s="2"/>
      <c r="H536" s="2"/>
      <c r="I536" s="2"/>
      <c r="J536" s="2"/>
      <c r="K536" s="2"/>
      <c r="L536" s="2"/>
      <c r="M536" s="2"/>
      <c r="N536" s="2"/>
      <c r="O536" s="2"/>
      <c r="P536" s="2"/>
      <c r="Q536" s="2"/>
      <c r="R536" s="2"/>
    </row>
    <row r="537">
      <c r="A537" s="2"/>
      <c r="B537" s="2"/>
      <c r="C537" s="2"/>
      <c r="D537" s="2"/>
      <c r="E537" s="2"/>
      <c r="F537" s="2"/>
      <c r="G537" s="2"/>
      <c r="H537" s="2"/>
      <c r="I537" s="2"/>
      <c r="J537" s="2"/>
      <c r="K537" s="2"/>
      <c r="L537" s="2"/>
      <c r="M537" s="2"/>
      <c r="N537" s="2"/>
      <c r="O537" s="2"/>
      <c r="P537" s="2"/>
      <c r="Q537" s="2"/>
      <c r="R537" s="2"/>
    </row>
    <row r="538">
      <c r="A538" s="2"/>
      <c r="B538" s="2"/>
      <c r="C538" s="2"/>
      <c r="D538" s="2"/>
      <c r="E538" s="2"/>
      <c r="F538" s="2"/>
      <c r="G538" s="2"/>
      <c r="H538" s="2"/>
      <c r="I538" s="2"/>
      <c r="J538" s="2"/>
      <c r="K538" s="2"/>
      <c r="L538" s="2"/>
      <c r="M538" s="2"/>
      <c r="N538" s="2"/>
      <c r="O538" s="2"/>
      <c r="P538" s="2"/>
      <c r="Q538" s="2"/>
      <c r="R538" s="2"/>
    </row>
    <row r="539">
      <c r="A539" s="2"/>
      <c r="B539" s="2"/>
      <c r="C539" s="2"/>
      <c r="D539" s="2"/>
      <c r="E539" s="2"/>
      <c r="F539" s="2"/>
      <c r="G539" s="2"/>
      <c r="H539" s="2"/>
      <c r="I539" s="2"/>
      <c r="J539" s="2"/>
      <c r="K539" s="2"/>
      <c r="L539" s="2"/>
      <c r="M539" s="2"/>
      <c r="N539" s="2"/>
      <c r="O539" s="2"/>
      <c r="P539" s="2"/>
      <c r="Q539" s="2"/>
      <c r="R539" s="2"/>
    </row>
    <row r="540">
      <c r="A540" s="2"/>
      <c r="B540" s="2"/>
      <c r="C540" s="2"/>
      <c r="D540" s="2"/>
      <c r="E540" s="2"/>
      <c r="F540" s="2"/>
      <c r="G540" s="2"/>
      <c r="H540" s="2"/>
      <c r="I540" s="2"/>
      <c r="J540" s="2"/>
      <c r="K540" s="2"/>
      <c r="L540" s="2"/>
      <c r="M540" s="2"/>
      <c r="N540" s="2"/>
      <c r="O540" s="2"/>
      <c r="P540" s="2"/>
      <c r="Q540" s="2"/>
      <c r="R540" s="2"/>
    </row>
    <row r="541">
      <c r="A541" s="2"/>
      <c r="B541" s="2"/>
      <c r="C541" s="2"/>
      <c r="D541" s="2"/>
      <c r="E541" s="2"/>
      <c r="F541" s="2"/>
      <c r="G541" s="2"/>
      <c r="H541" s="2"/>
      <c r="I541" s="2"/>
      <c r="J541" s="2"/>
      <c r="K541" s="2"/>
      <c r="L541" s="2"/>
      <c r="M541" s="2"/>
      <c r="N541" s="2"/>
      <c r="O541" s="2"/>
      <c r="P541" s="2"/>
      <c r="Q541" s="2"/>
      <c r="R541" s="2"/>
    </row>
    <row r="542">
      <c r="A542" s="2"/>
      <c r="B542" s="2"/>
      <c r="C542" s="2"/>
      <c r="D542" s="2"/>
      <c r="E542" s="2"/>
      <c r="F542" s="2"/>
      <c r="G542" s="2"/>
      <c r="H542" s="2"/>
      <c r="I542" s="2"/>
      <c r="J542" s="2"/>
      <c r="K542" s="2"/>
      <c r="L542" s="2"/>
      <c r="M542" s="2"/>
      <c r="N542" s="2"/>
      <c r="O542" s="2"/>
      <c r="P542" s="2"/>
      <c r="Q542" s="2"/>
      <c r="R542" s="2"/>
    </row>
    <row r="543">
      <c r="A543" s="2"/>
      <c r="B543" s="2"/>
      <c r="C543" s="2"/>
      <c r="D543" s="2"/>
      <c r="E543" s="2"/>
      <c r="F543" s="2"/>
      <c r="G543" s="2"/>
      <c r="H543" s="2"/>
      <c r="I543" s="2"/>
      <c r="J543" s="2"/>
      <c r="K543" s="2"/>
      <c r="L543" s="2"/>
      <c r="M543" s="2"/>
      <c r="N543" s="2"/>
      <c r="O543" s="2"/>
      <c r="P543" s="2"/>
      <c r="Q543" s="2"/>
      <c r="R543" s="2"/>
    </row>
    <row r="544">
      <c r="A544" s="2"/>
      <c r="B544" s="2"/>
      <c r="C544" s="2"/>
      <c r="D544" s="2"/>
      <c r="E544" s="2"/>
      <c r="F544" s="2"/>
      <c r="G544" s="2"/>
      <c r="H544" s="2"/>
      <c r="I544" s="2"/>
      <c r="J544" s="2"/>
      <c r="K544" s="2"/>
      <c r="L544" s="2"/>
      <c r="M544" s="2"/>
      <c r="N544" s="2"/>
      <c r="O544" s="2"/>
      <c r="P544" s="2"/>
      <c r="Q544" s="2"/>
      <c r="R544" s="2"/>
    </row>
    <row r="545">
      <c r="A545" s="2"/>
      <c r="B545" s="2"/>
      <c r="C545" s="2"/>
      <c r="D545" s="2"/>
      <c r="E545" s="2"/>
      <c r="F545" s="2"/>
      <c r="G545" s="2"/>
      <c r="H545" s="2"/>
      <c r="I545" s="2"/>
      <c r="J545" s="2"/>
      <c r="K545" s="2"/>
      <c r="L545" s="2"/>
      <c r="M545" s="2"/>
      <c r="N545" s="2"/>
      <c r="O545" s="2"/>
      <c r="P545" s="2"/>
      <c r="Q545" s="2"/>
      <c r="R545" s="2"/>
    </row>
    <row r="546">
      <c r="A546" s="2"/>
      <c r="B546" s="2"/>
      <c r="C546" s="2"/>
      <c r="D546" s="2"/>
      <c r="E546" s="2"/>
      <c r="F546" s="2"/>
      <c r="G546" s="2"/>
      <c r="H546" s="2"/>
      <c r="I546" s="2"/>
      <c r="J546" s="2"/>
      <c r="K546" s="2"/>
      <c r="L546" s="2"/>
      <c r="M546" s="2"/>
      <c r="N546" s="2"/>
      <c r="O546" s="2"/>
      <c r="P546" s="2"/>
      <c r="Q546" s="2"/>
      <c r="R546" s="2"/>
    </row>
    <row r="547">
      <c r="A547" s="2"/>
      <c r="B547" s="2"/>
      <c r="C547" s="2"/>
      <c r="D547" s="2"/>
      <c r="E547" s="2"/>
      <c r="F547" s="2"/>
      <c r="G547" s="2"/>
      <c r="H547" s="2"/>
      <c r="I547" s="2"/>
      <c r="J547" s="2"/>
      <c r="K547" s="2"/>
      <c r="L547" s="2"/>
      <c r="M547" s="2"/>
      <c r="N547" s="2"/>
      <c r="O547" s="2"/>
      <c r="P547" s="2"/>
      <c r="Q547" s="2"/>
      <c r="R547" s="2"/>
    </row>
    <row r="548">
      <c r="A548" s="2"/>
      <c r="B548" s="2"/>
      <c r="C548" s="2"/>
      <c r="D548" s="2"/>
      <c r="E548" s="2"/>
      <c r="F548" s="2"/>
      <c r="G548" s="2"/>
      <c r="H548" s="2"/>
      <c r="I548" s="2"/>
      <c r="J548" s="2"/>
      <c r="K548" s="2"/>
      <c r="L548" s="2"/>
      <c r="M548" s="2"/>
      <c r="N548" s="2"/>
      <c r="O548" s="2"/>
      <c r="P548" s="2"/>
      <c r="Q548" s="2"/>
      <c r="R548" s="2"/>
    </row>
    <row r="549">
      <c r="A549" s="2"/>
      <c r="B549" s="2"/>
      <c r="C549" s="2"/>
      <c r="D549" s="2"/>
      <c r="E549" s="2"/>
      <c r="F549" s="2"/>
      <c r="G549" s="2"/>
      <c r="H549" s="2"/>
      <c r="I549" s="2"/>
      <c r="J549" s="2"/>
      <c r="K549" s="2"/>
      <c r="L549" s="2"/>
      <c r="M549" s="2"/>
      <c r="N549" s="2"/>
      <c r="O549" s="2"/>
      <c r="P549" s="2"/>
      <c r="Q549" s="2"/>
      <c r="R549" s="2"/>
    </row>
    <row r="550">
      <c r="A550" s="2"/>
      <c r="B550" s="2"/>
      <c r="C550" s="2"/>
      <c r="D550" s="2"/>
      <c r="E550" s="2"/>
      <c r="F550" s="2"/>
      <c r="G550" s="2"/>
      <c r="H550" s="2"/>
      <c r="I550" s="2"/>
      <c r="J550" s="2"/>
      <c r="K550" s="2"/>
      <c r="L550" s="2"/>
      <c r="M550" s="2"/>
      <c r="N550" s="2"/>
      <c r="O550" s="2"/>
      <c r="P550" s="2"/>
      <c r="Q550" s="2"/>
      <c r="R550" s="2"/>
    </row>
    <row r="551">
      <c r="A551" s="2"/>
      <c r="B551" s="2"/>
      <c r="C551" s="2"/>
      <c r="D551" s="2"/>
      <c r="E551" s="2"/>
      <c r="F551" s="2"/>
      <c r="G551" s="2"/>
      <c r="H551" s="2"/>
      <c r="I551" s="2"/>
      <c r="J551" s="2"/>
      <c r="K551" s="2"/>
      <c r="L551" s="2"/>
      <c r="M551" s="2"/>
      <c r="N551" s="2"/>
      <c r="O551" s="2"/>
      <c r="P551" s="2"/>
      <c r="Q551" s="2"/>
      <c r="R551" s="2"/>
    </row>
    <row r="552">
      <c r="A552" s="2"/>
      <c r="B552" s="2"/>
      <c r="C552" s="2"/>
      <c r="D552" s="2"/>
      <c r="E552" s="2"/>
      <c r="F552" s="2"/>
      <c r="G552" s="2"/>
      <c r="H552" s="2"/>
      <c r="I552" s="2"/>
      <c r="J552" s="2"/>
      <c r="K552" s="2"/>
      <c r="L552" s="2"/>
      <c r="M552" s="2"/>
      <c r="N552" s="2"/>
      <c r="O552" s="2"/>
      <c r="P552" s="2"/>
      <c r="Q552" s="2"/>
      <c r="R552" s="2"/>
    </row>
    <row r="553">
      <c r="A553" s="2"/>
      <c r="B553" s="2"/>
      <c r="C553" s="2"/>
      <c r="D553" s="2"/>
      <c r="E553" s="2"/>
      <c r="F553" s="2"/>
      <c r="G553" s="2"/>
      <c r="H553" s="2"/>
      <c r="I553" s="2"/>
      <c r="J553" s="2"/>
      <c r="K553" s="2"/>
      <c r="L553" s="2"/>
      <c r="M553" s="2"/>
      <c r="N553" s="2"/>
      <c r="O553" s="2"/>
      <c r="P553" s="2"/>
      <c r="Q553" s="2"/>
      <c r="R553" s="2"/>
    </row>
    <row r="554">
      <c r="A554" s="2"/>
      <c r="B554" s="2"/>
      <c r="C554" s="2"/>
      <c r="D554" s="2"/>
      <c r="E554" s="2"/>
      <c r="F554" s="2"/>
      <c r="G554" s="2"/>
      <c r="H554" s="2"/>
      <c r="I554" s="2"/>
      <c r="J554" s="2"/>
      <c r="K554" s="2"/>
      <c r="L554" s="2"/>
      <c r="M554" s="2"/>
      <c r="N554" s="2"/>
      <c r="O554" s="2"/>
      <c r="P554" s="2"/>
      <c r="Q554" s="2"/>
      <c r="R554" s="2"/>
    </row>
    <row r="555">
      <c r="A555" s="2"/>
      <c r="B555" s="2"/>
      <c r="C555" s="2"/>
      <c r="D555" s="2"/>
      <c r="E555" s="2"/>
      <c r="F555" s="2"/>
      <c r="G555" s="2"/>
      <c r="H555" s="2"/>
      <c r="I555" s="2"/>
      <c r="J555" s="2"/>
      <c r="K555" s="2"/>
      <c r="L555" s="2"/>
      <c r="M555" s="2"/>
      <c r="N555" s="2"/>
      <c r="O555" s="2"/>
      <c r="P555" s="2"/>
      <c r="Q555" s="2"/>
      <c r="R555" s="2"/>
    </row>
    <row r="556">
      <c r="A556" s="2"/>
      <c r="B556" s="2"/>
      <c r="C556" s="2"/>
      <c r="D556" s="2"/>
      <c r="E556" s="2"/>
      <c r="F556" s="2"/>
      <c r="G556" s="2"/>
      <c r="H556" s="2"/>
      <c r="I556" s="2"/>
      <c r="J556" s="2"/>
      <c r="K556" s="2"/>
      <c r="L556" s="2"/>
      <c r="M556" s="2"/>
      <c r="N556" s="2"/>
      <c r="O556" s="2"/>
      <c r="P556" s="2"/>
      <c r="Q556" s="2"/>
      <c r="R556" s="2"/>
    </row>
    <row r="557">
      <c r="A557" s="2"/>
      <c r="B557" s="2"/>
      <c r="C557" s="2"/>
      <c r="D557" s="2"/>
      <c r="E557" s="2"/>
      <c r="F557" s="2"/>
      <c r="G557" s="2"/>
      <c r="H557" s="2"/>
      <c r="I557" s="2"/>
      <c r="J557" s="2"/>
      <c r="K557" s="2"/>
      <c r="L557" s="2"/>
      <c r="M557" s="2"/>
      <c r="N557" s="2"/>
      <c r="O557" s="2"/>
      <c r="P557" s="2"/>
      <c r="Q557" s="2"/>
      <c r="R557" s="2"/>
    </row>
    <row r="558">
      <c r="A558" s="2"/>
      <c r="B558" s="2"/>
      <c r="C558" s="2"/>
      <c r="D558" s="2"/>
      <c r="E558" s="2"/>
      <c r="F558" s="2"/>
      <c r="G558" s="2"/>
      <c r="H558" s="2"/>
      <c r="I558" s="2"/>
      <c r="J558" s="2"/>
      <c r="K558" s="2"/>
      <c r="L558" s="2"/>
      <c r="M558" s="2"/>
      <c r="N558" s="2"/>
      <c r="O558" s="2"/>
      <c r="P558" s="2"/>
      <c r="Q558" s="2"/>
      <c r="R558" s="2"/>
    </row>
    <row r="559">
      <c r="A559" s="2"/>
      <c r="B559" s="2"/>
      <c r="C559" s="2"/>
      <c r="D559" s="2"/>
      <c r="E559" s="2"/>
      <c r="F559" s="2"/>
      <c r="G559" s="2"/>
      <c r="H559" s="2"/>
      <c r="I559" s="2"/>
      <c r="J559" s="2"/>
      <c r="K559" s="2"/>
      <c r="L559" s="2"/>
      <c r="M559" s="2"/>
      <c r="N559" s="2"/>
      <c r="O559" s="2"/>
      <c r="P559" s="2"/>
      <c r="Q559" s="2"/>
      <c r="R559" s="2"/>
    </row>
    <row r="560">
      <c r="A560" s="2"/>
      <c r="B560" s="2"/>
      <c r="C560" s="2"/>
      <c r="D560" s="2"/>
      <c r="E560" s="2"/>
      <c r="F560" s="2"/>
      <c r="G560" s="2"/>
      <c r="H560" s="2"/>
      <c r="I560" s="2"/>
      <c r="J560" s="2"/>
      <c r="K560" s="2"/>
      <c r="L560" s="2"/>
      <c r="M560" s="2"/>
      <c r="N560" s="2"/>
      <c r="O560" s="2"/>
      <c r="P560" s="2"/>
      <c r="Q560" s="2"/>
      <c r="R560" s="2"/>
    </row>
    <row r="561">
      <c r="A561" s="2"/>
      <c r="B561" s="2"/>
      <c r="C561" s="2"/>
      <c r="D561" s="2"/>
      <c r="E561" s="2"/>
      <c r="F561" s="2"/>
      <c r="G561" s="2"/>
      <c r="H561" s="2"/>
      <c r="I561" s="2"/>
      <c r="J561" s="2"/>
      <c r="K561" s="2"/>
      <c r="L561" s="2"/>
      <c r="M561" s="2"/>
      <c r="N561" s="2"/>
      <c r="O561" s="2"/>
      <c r="P561" s="2"/>
      <c r="Q561" s="2"/>
      <c r="R561" s="2"/>
    </row>
    <row r="562">
      <c r="A562" s="2"/>
      <c r="B562" s="2"/>
      <c r="C562" s="2"/>
      <c r="D562" s="2"/>
      <c r="E562" s="2"/>
      <c r="F562" s="2"/>
      <c r="G562" s="2"/>
      <c r="H562" s="2"/>
      <c r="I562" s="2"/>
      <c r="J562" s="2"/>
      <c r="K562" s="2"/>
      <c r="L562" s="2"/>
      <c r="M562" s="2"/>
      <c r="N562" s="2"/>
      <c r="O562" s="2"/>
      <c r="P562" s="2"/>
      <c r="Q562" s="2"/>
      <c r="R562" s="2"/>
    </row>
    <row r="563">
      <c r="A563" s="2"/>
      <c r="B563" s="2"/>
      <c r="C563" s="2"/>
      <c r="D563" s="2"/>
      <c r="E563" s="2"/>
      <c r="F563" s="2"/>
      <c r="G563" s="2"/>
      <c r="H563" s="2"/>
      <c r="I563" s="2"/>
      <c r="J563" s="2"/>
      <c r="K563" s="2"/>
      <c r="L563" s="2"/>
      <c r="M563" s="2"/>
      <c r="N563" s="2"/>
      <c r="O563" s="2"/>
      <c r="P563" s="2"/>
      <c r="Q563" s="2"/>
      <c r="R563" s="2"/>
    </row>
    <row r="564">
      <c r="A564" s="2"/>
      <c r="B564" s="2"/>
      <c r="C564" s="2"/>
      <c r="D564" s="2"/>
      <c r="E564" s="2"/>
      <c r="F564" s="2"/>
      <c r="G564" s="2"/>
      <c r="H564" s="2"/>
      <c r="I564" s="2"/>
      <c r="J564" s="2"/>
      <c r="K564" s="2"/>
      <c r="L564" s="2"/>
      <c r="M564" s="2"/>
      <c r="N564" s="2"/>
      <c r="O564" s="2"/>
      <c r="P564" s="2"/>
      <c r="Q564" s="2"/>
      <c r="R564" s="2"/>
    </row>
    <row r="565">
      <c r="A565" s="2"/>
      <c r="B565" s="2"/>
      <c r="C565" s="2"/>
      <c r="D565" s="2"/>
      <c r="E565" s="2"/>
      <c r="F565" s="2"/>
      <c r="G565" s="2"/>
      <c r="H565" s="2"/>
      <c r="I565" s="2"/>
      <c r="J565" s="2"/>
      <c r="K565" s="2"/>
      <c r="L565" s="2"/>
      <c r="M565" s="2"/>
      <c r="N565" s="2"/>
      <c r="O565" s="2"/>
      <c r="P565" s="2"/>
      <c r="Q565" s="2"/>
      <c r="R565" s="2"/>
    </row>
    <row r="566">
      <c r="A566" s="2"/>
      <c r="B566" s="2"/>
      <c r="C566" s="2"/>
      <c r="D566" s="2"/>
      <c r="E566" s="2"/>
      <c r="F566" s="2"/>
      <c r="G566" s="2"/>
      <c r="H566" s="2"/>
      <c r="I566" s="2"/>
      <c r="J566" s="2"/>
      <c r="K566" s="2"/>
      <c r="L566" s="2"/>
      <c r="M566" s="2"/>
      <c r="N566" s="2"/>
      <c r="O566" s="2"/>
      <c r="P566" s="2"/>
      <c r="Q566" s="2"/>
      <c r="R566" s="2"/>
    </row>
    <row r="567">
      <c r="A567" s="2"/>
      <c r="B567" s="2"/>
      <c r="C567" s="2"/>
      <c r="D567" s="2"/>
      <c r="E567" s="2"/>
      <c r="F567" s="2"/>
      <c r="G567" s="2"/>
      <c r="H567" s="2"/>
      <c r="I567" s="2"/>
      <c r="J567" s="2"/>
      <c r="K567" s="2"/>
      <c r="L567" s="2"/>
      <c r="M567" s="2"/>
      <c r="N567" s="2"/>
      <c r="O567" s="2"/>
      <c r="P567" s="2"/>
      <c r="Q567" s="2"/>
      <c r="R567" s="2"/>
    </row>
    <row r="568">
      <c r="A568" s="2"/>
      <c r="B568" s="2"/>
      <c r="C568" s="2"/>
      <c r="D568" s="2"/>
      <c r="E568" s="2"/>
      <c r="F568" s="2"/>
      <c r="G568" s="2"/>
      <c r="H568" s="2"/>
      <c r="I568" s="2"/>
      <c r="J568" s="2"/>
      <c r="K568" s="2"/>
      <c r="L568" s="2"/>
      <c r="M568" s="2"/>
      <c r="N568" s="2"/>
      <c r="O568" s="2"/>
      <c r="P568" s="2"/>
      <c r="Q568" s="2"/>
      <c r="R568" s="2"/>
    </row>
    <row r="569">
      <c r="A569" s="2"/>
      <c r="B569" s="2"/>
      <c r="C569" s="2"/>
      <c r="D569" s="2"/>
      <c r="E569" s="2"/>
      <c r="F569" s="2"/>
      <c r="G569" s="2"/>
      <c r="H569" s="2"/>
      <c r="I569" s="2"/>
      <c r="J569" s="2"/>
      <c r="K569" s="2"/>
      <c r="L569" s="2"/>
      <c r="M569" s="2"/>
      <c r="N569" s="2"/>
      <c r="O569" s="2"/>
      <c r="P569" s="2"/>
      <c r="Q569" s="2"/>
      <c r="R569" s="2"/>
    </row>
    <row r="570">
      <c r="A570" s="2"/>
      <c r="B570" s="2"/>
      <c r="C570" s="2"/>
      <c r="D570" s="2"/>
      <c r="E570" s="2"/>
      <c r="F570" s="2"/>
      <c r="G570" s="2"/>
      <c r="H570" s="2"/>
      <c r="I570" s="2"/>
      <c r="J570" s="2"/>
      <c r="K570" s="2"/>
      <c r="L570" s="2"/>
      <c r="M570" s="2"/>
      <c r="N570" s="2"/>
      <c r="O570" s="2"/>
      <c r="P570" s="2"/>
      <c r="Q570" s="2"/>
      <c r="R570" s="2"/>
    </row>
    <row r="571">
      <c r="A571" s="2"/>
      <c r="B571" s="2"/>
      <c r="C571" s="2"/>
      <c r="D571" s="2"/>
      <c r="E571" s="2"/>
      <c r="F571" s="2"/>
      <c r="G571" s="2"/>
      <c r="H571" s="2"/>
      <c r="I571" s="2"/>
      <c r="J571" s="2"/>
      <c r="K571" s="2"/>
      <c r="L571" s="2"/>
      <c r="M571" s="2"/>
      <c r="N571" s="2"/>
      <c r="O571" s="2"/>
      <c r="P571" s="2"/>
      <c r="Q571" s="2"/>
      <c r="R571" s="2"/>
    </row>
    <row r="572">
      <c r="A572" s="2"/>
      <c r="B572" s="2"/>
      <c r="C572" s="2"/>
      <c r="D572" s="2"/>
      <c r="E572" s="2"/>
      <c r="F572" s="2"/>
      <c r="G572" s="2"/>
      <c r="H572" s="2"/>
      <c r="I572" s="2"/>
      <c r="J572" s="2"/>
      <c r="K572" s="2"/>
      <c r="L572" s="2"/>
      <c r="M572" s="2"/>
      <c r="N572" s="2"/>
      <c r="O572" s="2"/>
      <c r="P572" s="2"/>
      <c r="Q572" s="2"/>
      <c r="R572" s="2"/>
    </row>
    <row r="573">
      <c r="A573" s="2"/>
      <c r="B573" s="2"/>
      <c r="C573" s="2"/>
      <c r="D573" s="2"/>
      <c r="E573" s="2"/>
      <c r="F573" s="2"/>
      <c r="G573" s="2"/>
      <c r="H573" s="2"/>
      <c r="I573" s="2"/>
      <c r="J573" s="2"/>
      <c r="K573" s="2"/>
      <c r="L573" s="2"/>
      <c r="M573" s="2"/>
      <c r="N573" s="2"/>
      <c r="O573" s="2"/>
      <c r="P573" s="2"/>
      <c r="Q573" s="2"/>
      <c r="R573" s="2"/>
    </row>
    <row r="574">
      <c r="A574" s="2"/>
      <c r="B574" s="2"/>
      <c r="C574" s="2"/>
      <c r="D574" s="2"/>
      <c r="E574" s="2"/>
      <c r="F574" s="2"/>
      <c r="G574" s="2"/>
      <c r="H574" s="2"/>
      <c r="I574" s="2"/>
      <c r="J574" s="2"/>
      <c r="K574" s="2"/>
      <c r="L574" s="2"/>
      <c r="M574" s="2"/>
      <c r="N574" s="2"/>
      <c r="O574" s="2"/>
      <c r="P574" s="2"/>
      <c r="Q574" s="2"/>
      <c r="R574" s="2"/>
    </row>
    <row r="575">
      <c r="A575" s="2"/>
      <c r="B575" s="2"/>
      <c r="C575" s="2"/>
      <c r="D575" s="2"/>
      <c r="E575" s="2"/>
      <c r="F575" s="2"/>
      <c r="G575" s="2"/>
      <c r="H575" s="2"/>
      <c r="I575" s="2"/>
      <c r="J575" s="2"/>
      <c r="K575" s="2"/>
      <c r="L575" s="2"/>
      <c r="M575" s="2"/>
      <c r="N575" s="2"/>
      <c r="O575" s="2"/>
      <c r="P575" s="2"/>
      <c r="Q575" s="2"/>
      <c r="R575" s="2"/>
    </row>
    <row r="576">
      <c r="A576" s="2"/>
      <c r="B576" s="2"/>
      <c r="C576" s="2"/>
      <c r="D576" s="2"/>
      <c r="E576" s="2"/>
      <c r="F576" s="2"/>
      <c r="G576" s="2"/>
      <c r="H576" s="2"/>
      <c r="I576" s="2"/>
      <c r="J576" s="2"/>
      <c r="K576" s="2"/>
      <c r="L576" s="2"/>
      <c r="M576" s="2"/>
      <c r="N576" s="2"/>
      <c r="O576" s="2"/>
      <c r="P576" s="2"/>
      <c r="Q576" s="2"/>
      <c r="R576" s="2"/>
    </row>
    <row r="577">
      <c r="A577" s="2"/>
      <c r="B577" s="2"/>
      <c r="C577" s="2"/>
      <c r="D577" s="2"/>
      <c r="E577" s="2"/>
      <c r="F577" s="2"/>
      <c r="G577" s="2"/>
      <c r="H577" s="2"/>
      <c r="I577" s="2"/>
      <c r="J577" s="2"/>
      <c r="K577" s="2"/>
      <c r="L577" s="2"/>
      <c r="M577" s="2"/>
      <c r="N577" s="2"/>
      <c r="O577" s="2"/>
      <c r="P577" s="2"/>
      <c r="Q577" s="2"/>
      <c r="R577" s="2"/>
    </row>
    <row r="578">
      <c r="A578" s="2"/>
      <c r="B578" s="2"/>
      <c r="C578" s="2"/>
      <c r="D578" s="2"/>
      <c r="E578" s="2"/>
      <c r="F578" s="2"/>
      <c r="G578" s="2"/>
      <c r="H578" s="2"/>
      <c r="I578" s="2"/>
      <c r="J578" s="2"/>
      <c r="K578" s="2"/>
      <c r="L578" s="2"/>
      <c r="M578" s="2"/>
      <c r="N578" s="2"/>
      <c r="O578" s="2"/>
      <c r="P578" s="2"/>
      <c r="Q578" s="2"/>
      <c r="R578" s="2"/>
    </row>
    <row r="579">
      <c r="A579" s="2"/>
      <c r="B579" s="2"/>
      <c r="C579" s="2"/>
      <c r="D579" s="2"/>
      <c r="E579" s="2"/>
      <c r="F579" s="2"/>
      <c r="G579" s="2"/>
      <c r="H579" s="2"/>
      <c r="I579" s="2"/>
      <c r="J579" s="2"/>
      <c r="K579" s="2"/>
      <c r="L579" s="2"/>
      <c r="M579" s="2"/>
      <c r="N579" s="2"/>
      <c r="O579" s="2"/>
      <c r="P579" s="2"/>
      <c r="Q579" s="2"/>
      <c r="R579" s="2"/>
    </row>
    <row r="580">
      <c r="A580" s="2"/>
      <c r="B580" s="2"/>
      <c r="C580" s="2"/>
      <c r="D580" s="2"/>
      <c r="E580" s="2"/>
      <c r="F580" s="2"/>
      <c r="G580" s="2"/>
      <c r="H580" s="2"/>
      <c r="I580" s="2"/>
      <c r="J580" s="2"/>
      <c r="K580" s="2"/>
      <c r="L580" s="2"/>
      <c r="M580" s="2"/>
      <c r="N580" s="2"/>
      <c r="O580" s="2"/>
      <c r="P580" s="2"/>
      <c r="Q580" s="2"/>
      <c r="R580" s="2"/>
    </row>
    <row r="581">
      <c r="A581" s="2"/>
      <c r="B581" s="2"/>
      <c r="C581" s="2"/>
      <c r="D581" s="2"/>
      <c r="E581" s="2"/>
      <c r="F581" s="2"/>
      <c r="G581" s="2"/>
      <c r="H581" s="2"/>
      <c r="I581" s="2"/>
      <c r="J581" s="2"/>
      <c r="K581" s="2"/>
      <c r="L581" s="2"/>
      <c r="M581" s="2"/>
      <c r="N581" s="2"/>
      <c r="O581" s="2"/>
      <c r="P581" s="2"/>
      <c r="Q581" s="2"/>
      <c r="R581" s="2"/>
    </row>
    <row r="582">
      <c r="A582" s="2"/>
      <c r="B582" s="2"/>
      <c r="C582" s="2"/>
      <c r="D582" s="2"/>
      <c r="E582" s="2"/>
      <c r="F582" s="2"/>
      <c r="G582" s="2"/>
      <c r="H582" s="2"/>
      <c r="I582" s="2"/>
      <c r="J582" s="2"/>
      <c r="K582" s="2"/>
      <c r="L582" s="2"/>
      <c r="M582" s="2"/>
      <c r="N582" s="2"/>
      <c r="O582" s="2"/>
      <c r="P582" s="2"/>
      <c r="Q582" s="2"/>
      <c r="R582" s="2"/>
    </row>
    <row r="583">
      <c r="A583" s="2"/>
      <c r="B583" s="2"/>
      <c r="C583" s="2"/>
      <c r="D583" s="2"/>
      <c r="E583" s="2"/>
      <c r="F583" s="2"/>
      <c r="G583" s="2"/>
      <c r="H583" s="2"/>
      <c r="I583" s="2"/>
      <c r="J583" s="2"/>
      <c r="K583" s="2"/>
      <c r="L583" s="2"/>
      <c r="M583" s="2"/>
      <c r="N583" s="2"/>
      <c r="O583" s="2"/>
      <c r="P583" s="2"/>
      <c r="Q583" s="2"/>
      <c r="R583" s="2"/>
    </row>
    <row r="584">
      <c r="A584" s="2"/>
      <c r="B584" s="2"/>
      <c r="C584" s="2"/>
      <c r="D584" s="2"/>
      <c r="E584" s="2"/>
      <c r="F584" s="2"/>
      <c r="G584" s="2"/>
      <c r="H584" s="2"/>
      <c r="I584" s="2"/>
      <c r="J584" s="2"/>
      <c r="K584" s="2"/>
      <c r="L584" s="2"/>
      <c r="M584" s="2"/>
      <c r="N584" s="2"/>
      <c r="O584" s="2"/>
      <c r="P584" s="2"/>
      <c r="Q584" s="2"/>
      <c r="R584" s="2"/>
    </row>
    <row r="585">
      <c r="A585" s="2"/>
      <c r="B585" s="2"/>
      <c r="C585" s="2"/>
      <c r="D585" s="2"/>
      <c r="E585" s="2"/>
      <c r="F585" s="2"/>
      <c r="G585" s="2"/>
      <c r="H585" s="2"/>
      <c r="I585" s="2"/>
      <c r="J585" s="2"/>
      <c r="K585" s="2"/>
      <c r="L585" s="2"/>
      <c r="M585" s="2"/>
      <c r="N585" s="2"/>
      <c r="O585" s="2"/>
      <c r="P585" s="2"/>
      <c r="Q585" s="2"/>
      <c r="R585" s="2"/>
    </row>
    <row r="586">
      <c r="A586" s="2"/>
      <c r="B586" s="2"/>
      <c r="C586" s="2"/>
      <c r="D586" s="2"/>
      <c r="E586" s="2"/>
      <c r="F586" s="2"/>
      <c r="G586" s="2"/>
      <c r="H586" s="2"/>
      <c r="I586" s="2"/>
      <c r="J586" s="2"/>
      <c r="K586" s="2"/>
      <c r="L586" s="2"/>
      <c r="M586" s="2"/>
      <c r="N586" s="2"/>
      <c r="O586" s="2"/>
      <c r="P586" s="2"/>
      <c r="Q586" s="2"/>
      <c r="R586" s="2"/>
    </row>
    <row r="587">
      <c r="A587" s="2"/>
      <c r="B587" s="2"/>
      <c r="C587" s="2"/>
      <c r="D587" s="2"/>
      <c r="E587" s="2"/>
      <c r="F587" s="2"/>
      <c r="G587" s="2"/>
      <c r="H587" s="2"/>
      <c r="I587" s="2"/>
      <c r="J587" s="2"/>
      <c r="K587" s="2"/>
      <c r="L587" s="2"/>
      <c r="M587" s="2"/>
      <c r="N587" s="2"/>
      <c r="O587" s="2"/>
      <c r="P587" s="2"/>
      <c r="Q587" s="2"/>
      <c r="R587" s="2"/>
    </row>
    <row r="588">
      <c r="A588" s="2"/>
      <c r="B588" s="2"/>
      <c r="C588" s="2"/>
      <c r="D588" s="2"/>
      <c r="E588" s="2"/>
      <c r="F588" s="2"/>
      <c r="G588" s="2"/>
      <c r="H588" s="2"/>
      <c r="I588" s="2"/>
      <c r="J588" s="2"/>
      <c r="K588" s="2"/>
      <c r="L588" s="2"/>
      <c r="M588" s="2"/>
      <c r="N588" s="2"/>
      <c r="O588" s="2"/>
      <c r="P588" s="2"/>
      <c r="Q588" s="2"/>
      <c r="R588" s="2"/>
    </row>
    <row r="589">
      <c r="A589" s="2"/>
      <c r="B589" s="2"/>
      <c r="C589" s="2"/>
      <c r="D589" s="2"/>
      <c r="E589" s="2"/>
      <c r="F589" s="2"/>
      <c r="G589" s="2"/>
      <c r="H589" s="2"/>
      <c r="I589" s="2"/>
      <c r="J589" s="2"/>
      <c r="K589" s="2"/>
      <c r="L589" s="2"/>
      <c r="M589" s="2"/>
      <c r="N589" s="2"/>
      <c r="O589" s="2"/>
      <c r="P589" s="2"/>
      <c r="Q589" s="2"/>
      <c r="R589" s="2"/>
    </row>
    <row r="590">
      <c r="A590" s="2"/>
      <c r="B590" s="2"/>
      <c r="C590" s="2"/>
      <c r="D590" s="2"/>
      <c r="E590" s="2"/>
      <c r="F590" s="2"/>
      <c r="G590" s="2"/>
      <c r="H590" s="2"/>
      <c r="I590" s="2"/>
      <c r="J590" s="2"/>
      <c r="K590" s="2"/>
      <c r="L590" s="2"/>
      <c r="M590" s="2"/>
      <c r="N590" s="2"/>
      <c r="O590" s="2"/>
      <c r="P590" s="2"/>
      <c r="Q590" s="2"/>
      <c r="R590" s="2"/>
    </row>
    <row r="591">
      <c r="A591" s="2"/>
      <c r="B591" s="2"/>
      <c r="C591" s="2"/>
      <c r="D591" s="2"/>
      <c r="E591" s="2"/>
      <c r="F591" s="2"/>
      <c r="G591" s="2"/>
      <c r="H591" s="2"/>
      <c r="I591" s="2"/>
      <c r="J591" s="2"/>
      <c r="K591" s="2"/>
      <c r="L591" s="2"/>
      <c r="M591" s="2"/>
      <c r="N591" s="2"/>
      <c r="O591" s="2"/>
      <c r="P591" s="2"/>
      <c r="Q591" s="2"/>
      <c r="R591" s="2"/>
    </row>
    <row r="592">
      <c r="A592" s="2"/>
      <c r="B592" s="2"/>
      <c r="C592" s="2"/>
      <c r="D592" s="2"/>
      <c r="E592" s="2"/>
      <c r="F592" s="2"/>
      <c r="G592" s="2"/>
      <c r="H592" s="2"/>
      <c r="I592" s="2"/>
      <c r="J592" s="2"/>
      <c r="K592" s="2"/>
      <c r="L592" s="2"/>
      <c r="M592" s="2"/>
      <c r="N592" s="2"/>
      <c r="O592" s="2"/>
      <c r="P592" s="2"/>
      <c r="Q592" s="2"/>
      <c r="R592" s="2"/>
    </row>
    <row r="593">
      <c r="A593" s="2"/>
      <c r="B593" s="2"/>
      <c r="C593" s="2"/>
      <c r="D593" s="2"/>
      <c r="E593" s="2"/>
      <c r="F593" s="2"/>
      <c r="G593" s="2"/>
      <c r="H593" s="2"/>
      <c r="I593" s="2"/>
      <c r="J593" s="2"/>
      <c r="K593" s="2"/>
      <c r="L593" s="2"/>
      <c r="M593" s="2"/>
      <c r="N593" s="2"/>
      <c r="O593" s="2"/>
      <c r="P593" s="2"/>
      <c r="Q593" s="2"/>
      <c r="R593" s="2"/>
    </row>
    <row r="594">
      <c r="A594" s="2"/>
      <c r="B594" s="2"/>
      <c r="C594" s="2"/>
      <c r="D594" s="2"/>
      <c r="E594" s="2"/>
      <c r="F594" s="2"/>
      <c r="G594" s="2"/>
      <c r="H594" s="2"/>
      <c r="I594" s="2"/>
      <c r="J594" s="2"/>
      <c r="K594" s="2"/>
      <c r="L594" s="2"/>
      <c r="M594" s="2"/>
      <c r="N594" s="2"/>
      <c r="O594" s="2"/>
      <c r="P594" s="2"/>
      <c r="Q594" s="2"/>
      <c r="R594" s="2"/>
    </row>
    <row r="595">
      <c r="A595" s="2"/>
      <c r="B595" s="2"/>
      <c r="C595" s="2"/>
      <c r="D595" s="2"/>
      <c r="E595" s="2"/>
      <c r="F595" s="2"/>
      <c r="G595" s="2"/>
      <c r="H595" s="2"/>
      <c r="I595" s="2"/>
      <c r="J595" s="2"/>
      <c r="K595" s="2"/>
      <c r="L595" s="2"/>
      <c r="M595" s="2"/>
      <c r="N595" s="2"/>
      <c r="O595" s="2"/>
      <c r="P595" s="2"/>
      <c r="Q595" s="2"/>
      <c r="R595" s="2"/>
    </row>
    <row r="596">
      <c r="A596" s="2"/>
      <c r="B596" s="2"/>
      <c r="C596" s="2"/>
      <c r="D596" s="2"/>
      <c r="E596" s="2"/>
      <c r="F596" s="2"/>
      <c r="G596" s="2"/>
      <c r="H596" s="2"/>
      <c r="I596" s="2"/>
      <c r="J596" s="2"/>
      <c r="K596" s="2"/>
      <c r="L596" s="2"/>
      <c r="M596" s="2"/>
      <c r="N596" s="2"/>
      <c r="O596" s="2"/>
      <c r="P596" s="2"/>
      <c r="Q596" s="2"/>
      <c r="R596" s="2"/>
    </row>
    <row r="597">
      <c r="A597" s="2"/>
      <c r="B597" s="2"/>
      <c r="C597" s="2"/>
      <c r="D597" s="2"/>
      <c r="E597" s="2"/>
      <c r="F597" s="2"/>
      <c r="G597" s="2"/>
      <c r="H597" s="2"/>
      <c r="I597" s="2"/>
      <c r="J597" s="2"/>
      <c r="K597" s="2"/>
      <c r="L597" s="2"/>
      <c r="M597" s="2"/>
      <c r="N597" s="2"/>
      <c r="O597" s="2"/>
      <c r="P597" s="2"/>
      <c r="Q597" s="2"/>
      <c r="R597" s="2"/>
    </row>
    <row r="598">
      <c r="A598" s="2"/>
      <c r="B598" s="2"/>
      <c r="C598" s="2"/>
      <c r="D598" s="2"/>
      <c r="E598" s="2"/>
      <c r="F598" s="2"/>
      <c r="G598" s="2"/>
      <c r="H598" s="2"/>
      <c r="I598" s="2"/>
      <c r="J598" s="2"/>
      <c r="K598" s="2"/>
      <c r="L598" s="2"/>
      <c r="M598" s="2"/>
      <c r="N598" s="2"/>
      <c r="O598" s="2"/>
      <c r="P598" s="2"/>
      <c r="Q598" s="2"/>
      <c r="R598" s="2"/>
    </row>
    <row r="599">
      <c r="A599" s="2"/>
      <c r="B599" s="2"/>
      <c r="C599" s="2"/>
      <c r="D599" s="2"/>
      <c r="E599" s="2"/>
      <c r="F599" s="2"/>
      <c r="G599" s="2"/>
      <c r="H599" s="2"/>
      <c r="I599" s="2"/>
      <c r="J599" s="2"/>
      <c r="K599" s="2"/>
      <c r="L599" s="2"/>
      <c r="M599" s="2"/>
      <c r="N599" s="2"/>
      <c r="O599" s="2"/>
      <c r="P599" s="2"/>
      <c r="Q599" s="2"/>
      <c r="R599" s="2"/>
    </row>
    <row r="600">
      <c r="A600" s="2"/>
      <c r="B600" s="2"/>
      <c r="C600" s="2"/>
      <c r="D600" s="2"/>
      <c r="E600" s="2"/>
      <c r="F600" s="2"/>
      <c r="G600" s="2"/>
      <c r="H600" s="2"/>
      <c r="I600" s="2"/>
      <c r="J600" s="2"/>
      <c r="K600" s="2"/>
      <c r="L600" s="2"/>
      <c r="M600" s="2"/>
      <c r="N600" s="2"/>
      <c r="O600" s="2"/>
      <c r="P600" s="2"/>
      <c r="Q600" s="2"/>
      <c r="R600" s="2"/>
    </row>
    <row r="601">
      <c r="A601" s="2"/>
      <c r="B601" s="2"/>
      <c r="C601" s="2"/>
      <c r="D601" s="2"/>
      <c r="E601" s="2"/>
      <c r="F601" s="2"/>
      <c r="G601" s="2"/>
      <c r="H601" s="2"/>
      <c r="I601" s="2"/>
      <c r="J601" s="2"/>
      <c r="K601" s="2"/>
      <c r="L601" s="2"/>
      <c r="M601" s="2"/>
      <c r="N601" s="2"/>
      <c r="O601" s="2"/>
      <c r="P601" s="2"/>
      <c r="Q601" s="2"/>
      <c r="R601" s="2"/>
    </row>
    <row r="602">
      <c r="A602" s="2"/>
      <c r="B602" s="2"/>
      <c r="C602" s="2"/>
      <c r="D602" s="2"/>
      <c r="E602" s="2"/>
      <c r="F602" s="2"/>
      <c r="G602" s="2"/>
      <c r="H602" s="2"/>
      <c r="I602" s="2"/>
      <c r="J602" s="2"/>
      <c r="K602" s="2"/>
      <c r="L602" s="2"/>
      <c r="M602" s="2"/>
      <c r="N602" s="2"/>
      <c r="O602" s="2"/>
      <c r="P602" s="2"/>
      <c r="Q602" s="2"/>
      <c r="R602" s="2"/>
    </row>
    <row r="603">
      <c r="A603" s="2"/>
      <c r="B603" s="2"/>
      <c r="C603" s="2"/>
      <c r="D603" s="2"/>
      <c r="E603" s="2"/>
      <c r="F603" s="2"/>
      <c r="G603" s="2"/>
      <c r="H603" s="2"/>
      <c r="I603" s="2"/>
      <c r="J603" s="2"/>
      <c r="K603" s="2"/>
      <c r="L603" s="2"/>
      <c r="M603" s="2"/>
      <c r="N603" s="2"/>
      <c r="O603" s="2"/>
      <c r="P603" s="2"/>
      <c r="Q603" s="2"/>
      <c r="R603" s="2"/>
    </row>
    <row r="604">
      <c r="A604" s="2"/>
      <c r="B604" s="2"/>
      <c r="C604" s="2"/>
      <c r="D604" s="2"/>
      <c r="E604" s="2"/>
      <c r="F604" s="2"/>
      <c r="G604" s="2"/>
      <c r="H604" s="2"/>
      <c r="I604" s="2"/>
      <c r="J604" s="2"/>
      <c r="K604" s="2"/>
      <c r="L604" s="2"/>
      <c r="M604" s="2"/>
      <c r="N604" s="2"/>
      <c r="O604" s="2"/>
      <c r="P604" s="2"/>
      <c r="Q604" s="2"/>
      <c r="R604" s="2"/>
    </row>
    <row r="605">
      <c r="A605" s="2"/>
      <c r="B605" s="2"/>
      <c r="C605" s="2"/>
      <c r="D605" s="2"/>
      <c r="E605" s="2"/>
      <c r="F605" s="2"/>
      <c r="G605" s="2"/>
      <c r="H605" s="2"/>
      <c r="I605" s="2"/>
      <c r="J605" s="2"/>
      <c r="K605" s="2"/>
      <c r="L605" s="2"/>
      <c r="M605" s="2"/>
      <c r="N605" s="2"/>
      <c r="O605" s="2"/>
      <c r="P605" s="2"/>
      <c r="Q605" s="2"/>
      <c r="R605" s="2"/>
    </row>
    <row r="606">
      <c r="A606" s="2"/>
      <c r="B606" s="2"/>
      <c r="C606" s="2"/>
      <c r="D606" s="2"/>
      <c r="E606" s="2"/>
      <c r="F606" s="2"/>
      <c r="G606" s="2"/>
      <c r="H606" s="2"/>
      <c r="I606" s="2"/>
      <c r="J606" s="2"/>
      <c r="K606" s="2"/>
      <c r="L606" s="2"/>
      <c r="M606" s="2"/>
      <c r="N606" s="2"/>
      <c r="O606" s="2"/>
      <c r="P606" s="2"/>
      <c r="Q606" s="2"/>
      <c r="R606" s="2"/>
    </row>
    <row r="607">
      <c r="A607" s="2"/>
      <c r="B607" s="2"/>
      <c r="C607" s="2"/>
      <c r="D607" s="2"/>
      <c r="E607" s="2"/>
      <c r="F607" s="2"/>
      <c r="G607" s="2"/>
      <c r="H607" s="2"/>
      <c r="I607" s="2"/>
      <c r="J607" s="2"/>
      <c r="K607" s="2"/>
      <c r="L607" s="2"/>
      <c r="M607" s="2"/>
      <c r="N607" s="2"/>
      <c r="O607" s="2"/>
      <c r="P607" s="2"/>
      <c r="Q607" s="2"/>
      <c r="R607" s="2"/>
    </row>
    <row r="608">
      <c r="A608" s="2"/>
      <c r="B608" s="2"/>
      <c r="C608" s="2"/>
      <c r="D608" s="2"/>
      <c r="E608" s="2"/>
      <c r="F608" s="2"/>
      <c r="G608" s="2"/>
      <c r="H608" s="2"/>
      <c r="I608" s="2"/>
      <c r="J608" s="2"/>
      <c r="K608" s="2"/>
      <c r="L608" s="2"/>
      <c r="M608" s="2"/>
      <c r="N608" s="2"/>
      <c r="O608" s="2"/>
      <c r="P608" s="2"/>
      <c r="Q608" s="2"/>
      <c r="R608" s="2"/>
    </row>
    <row r="609">
      <c r="A609" s="2"/>
      <c r="B609" s="2"/>
      <c r="C609" s="2"/>
      <c r="D609" s="2"/>
      <c r="E609" s="2"/>
      <c r="F609" s="2"/>
      <c r="G609" s="2"/>
      <c r="H609" s="2"/>
      <c r="I609" s="2"/>
      <c r="J609" s="2"/>
      <c r="K609" s="2"/>
      <c r="L609" s="2"/>
      <c r="M609" s="2"/>
      <c r="N609" s="2"/>
      <c r="O609" s="2"/>
      <c r="P609" s="2"/>
      <c r="Q609" s="2"/>
      <c r="R609" s="2"/>
    </row>
    <row r="610">
      <c r="A610" s="2"/>
      <c r="B610" s="2"/>
      <c r="C610" s="2"/>
      <c r="D610" s="2"/>
      <c r="E610" s="2"/>
      <c r="F610" s="2"/>
      <c r="G610" s="2"/>
      <c r="H610" s="2"/>
      <c r="I610" s="2"/>
      <c r="J610" s="2"/>
      <c r="K610" s="2"/>
      <c r="L610" s="2"/>
      <c r="M610" s="2"/>
      <c r="N610" s="2"/>
      <c r="O610" s="2"/>
      <c r="P610" s="2"/>
      <c r="Q610" s="2"/>
      <c r="R610" s="2"/>
    </row>
    <row r="611">
      <c r="A611" s="2"/>
      <c r="B611" s="2"/>
      <c r="C611" s="2"/>
      <c r="D611" s="2"/>
      <c r="E611" s="2"/>
      <c r="F611" s="2"/>
      <c r="G611" s="2"/>
      <c r="H611" s="2"/>
      <c r="I611" s="2"/>
      <c r="J611" s="2"/>
      <c r="K611" s="2"/>
      <c r="L611" s="2"/>
      <c r="M611" s="2"/>
      <c r="N611" s="2"/>
      <c r="O611" s="2"/>
      <c r="P611" s="2"/>
      <c r="Q611" s="2"/>
      <c r="R611" s="2"/>
    </row>
    <row r="612">
      <c r="A612" s="2"/>
      <c r="B612" s="2"/>
      <c r="C612" s="2"/>
      <c r="D612" s="2"/>
      <c r="E612" s="2"/>
      <c r="F612" s="2"/>
      <c r="G612" s="2"/>
      <c r="H612" s="2"/>
      <c r="I612" s="2"/>
      <c r="J612" s="2"/>
      <c r="K612" s="2"/>
      <c r="L612" s="2"/>
      <c r="M612" s="2"/>
      <c r="N612" s="2"/>
      <c r="O612" s="2"/>
      <c r="P612" s="2"/>
      <c r="Q612" s="2"/>
      <c r="R612" s="2"/>
    </row>
    <row r="613">
      <c r="A613" s="2"/>
      <c r="B613" s="2"/>
      <c r="C613" s="2"/>
      <c r="D613" s="2"/>
      <c r="E613" s="2"/>
      <c r="F613" s="2"/>
      <c r="G613" s="2"/>
      <c r="H613" s="2"/>
      <c r="I613" s="2"/>
      <c r="J613" s="2"/>
      <c r="K613" s="2"/>
      <c r="L613" s="2"/>
      <c r="M613" s="2"/>
      <c r="N613" s="2"/>
      <c r="O613" s="2"/>
      <c r="P613" s="2"/>
      <c r="Q613" s="2"/>
      <c r="R613" s="2"/>
    </row>
    <row r="614">
      <c r="A614" s="2"/>
      <c r="B614" s="2"/>
      <c r="C614" s="2"/>
      <c r="D614" s="2"/>
      <c r="E614" s="2"/>
      <c r="F614" s="2"/>
      <c r="G614" s="2"/>
      <c r="H614" s="2"/>
      <c r="I614" s="2"/>
      <c r="J614" s="2"/>
      <c r="K614" s="2"/>
      <c r="L614" s="2"/>
      <c r="M614" s="2"/>
      <c r="N614" s="2"/>
      <c r="O614" s="2"/>
      <c r="P614" s="2"/>
      <c r="Q614" s="2"/>
      <c r="R614" s="2"/>
    </row>
    <row r="615">
      <c r="A615" s="2"/>
      <c r="B615" s="2"/>
      <c r="C615" s="2"/>
      <c r="D615" s="2"/>
      <c r="E615" s="2"/>
      <c r="F615" s="2"/>
      <c r="G615" s="2"/>
      <c r="H615" s="2"/>
      <c r="I615" s="2"/>
      <c r="J615" s="2"/>
      <c r="K615" s="2"/>
      <c r="L615" s="2"/>
      <c r="M615" s="2"/>
      <c r="N615" s="2"/>
      <c r="O615" s="2"/>
      <c r="P615" s="2"/>
      <c r="Q615" s="2"/>
      <c r="R615" s="2"/>
    </row>
    <row r="616">
      <c r="A616" s="2"/>
      <c r="B616" s="2"/>
      <c r="C616" s="2"/>
      <c r="D616" s="2"/>
      <c r="E616" s="2"/>
      <c r="F616" s="2"/>
      <c r="G616" s="2"/>
      <c r="H616" s="2"/>
      <c r="I616" s="2"/>
      <c r="J616" s="2"/>
      <c r="K616" s="2"/>
      <c r="L616" s="2"/>
      <c r="M616" s="2"/>
      <c r="N616" s="2"/>
      <c r="O616" s="2"/>
      <c r="P616" s="2"/>
      <c r="Q616" s="2"/>
      <c r="R616" s="2"/>
    </row>
    <row r="617">
      <c r="A617" s="2"/>
      <c r="B617" s="2"/>
      <c r="C617" s="2"/>
      <c r="D617" s="2"/>
      <c r="E617" s="2"/>
      <c r="F617" s="2"/>
      <c r="G617" s="2"/>
      <c r="H617" s="2"/>
      <c r="I617" s="2"/>
      <c r="J617" s="2"/>
      <c r="K617" s="2"/>
      <c r="L617" s="2"/>
      <c r="M617" s="2"/>
      <c r="N617" s="2"/>
      <c r="O617" s="2"/>
      <c r="P617" s="2"/>
      <c r="Q617" s="2"/>
      <c r="R617" s="2"/>
    </row>
    <row r="618">
      <c r="A618" s="2"/>
      <c r="B618" s="2"/>
      <c r="C618" s="2"/>
      <c r="D618" s="2"/>
      <c r="E618" s="2"/>
      <c r="F618" s="2"/>
      <c r="G618" s="2"/>
      <c r="H618" s="2"/>
      <c r="I618" s="2"/>
      <c r="J618" s="2"/>
      <c r="K618" s="2"/>
      <c r="L618" s="2"/>
      <c r="M618" s="2"/>
      <c r="N618" s="2"/>
      <c r="O618" s="2"/>
      <c r="P618" s="2"/>
      <c r="Q618" s="2"/>
      <c r="R618" s="2"/>
    </row>
    <row r="619">
      <c r="A619" s="2"/>
      <c r="B619" s="2"/>
      <c r="C619" s="2"/>
      <c r="D619" s="2"/>
      <c r="E619" s="2"/>
      <c r="F619" s="2"/>
      <c r="G619" s="2"/>
      <c r="H619" s="2"/>
      <c r="I619" s="2"/>
      <c r="J619" s="2"/>
      <c r="K619" s="2"/>
      <c r="L619" s="2"/>
      <c r="M619" s="2"/>
      <c r="N619" s="2"/>
      <c r="O619" s="2"/>
      <c r="P619" s="2"/>
      <c r="Q619" s="2"/>
      <c r="R619" s="2"/>
    </row>
    <row r="620">
      <c r="A620" s="2"/>
      <c r="B620" s="2"/>
      <c r="C620" s="2"/>
      <c r="D620" s="2"/>
      <c r="E620" s="2"/>
      <c r="F620" s="2"/>
      <c r="G620" s="2"/>
      <c r="H620" s="2"/>
      <c r="I620" s="2"/>
      <c r="J620" s="2"/>
      <c r="K620" s="2"/>
      <c r="L620" s="2"/>
      <c r="M620" s="2"/>
      <c r="N620" s="2"/>
      <c r="O620" s="2"/>
      <c r="P620" s="2"/>
      <c r="Q620" s="2"/>
      <c r="R620" s="2"/>
    </row>
    <row r="621">
      <c r="A621" s="2"/>
      <c r="B621" s="2"/>
      <c r="C621" s="2"/>
      <c r="D621" s="2"/>
      <c r="E621" s="2"/>
      <c r="F621" s="2"/>
      <c r="G621" s="2"/>
      <c r="H621" s="2"/>
      <c r="I621" s="2"/>
      <c r="J621" s="2"/>
      <c r="K621" s="2"/>
      <c r="L621" s="2"/>
      <c r="M621" s="2"/>
      <c r="N621" s="2"/>
      <c r="O621" s="2"/>
      <c r="P621" s="2"/>
      <c r="Q621" s="2"/>
      <c r="R621" s="2"/>
    </row>
    <row r="622">
      <c r="A622" s="2"/>
      <c r="B622" s="2"/>
      <c r="C622" s="2"/>
      <c r="D622" s="2"/>
      <c r="E622" s="2"/>
      <c r="F622" s="2"/>
      <c r="G622" s="2"/>
      <c r="H622" s="2"/>
      <c r="I622" s="2"/>
      <c r="J622" s="2"/>
      <c r="K622" s="2"/>
      <c r="L622" s="2"/>
      <c r="M622" s="2"/>
      <c r="N622" s="2"/>
      <c r="O622" s="2"/>
      <c r="P622" s="2"/>
      <c r="Q622" s="2"/>
      <c r="R622" s="2"/>
    </row>
    <row r="623">
      <c r="A623" s="2"/>
      <c r="B623" s="2"/>
      <c r="C623" s="2"/>
      <c r="D623" s="2"/>
      <c r="E623" s="2"/>
      <c r="F623" s="2"/>
      <c r="G623" s="2"/>
      <c r="H623" s="2"/>
      <c r="I623" s="2"/>
      <c r="J623" s="2"/>
      <c r="K623" s="2"/>
      <c r="L623" s="2"/>
      <c r="M623" s="2"/>
      <c r="N623" s="2"/>
      <c r="O623" s="2"/>
      <c r="P623" s="2"/>
      <c r="Q623" s="2"/>
      <c r="R623" s="2"/>
    </row>
    <row r="624">
      <c r="A624" s="2"/>
      <c r="B624" s="2"/>
      <c r="C624" s="2"/>
      <c r="D624" s="2"/>
      <c r="E624" s="2"/>
      <c r="F624" s="2"/>
      <c r="G624" s="2"/>
      <c r="H624" s="2"/>
      <c r="I624" s="2"/>
      <c r="J624" s="2"/>
      <c r="K624" s="2"/>
      <c r="L624" s="2"/>
      <c r="M624" s="2"/>
      <c r="N624" s="2"/>
      <c r="O624" s="2"/>
      <c r="P624" s="2"/>
      <c r="Q624" s="2"/>
      <c r="R624" s="2"/>
    </row>
    <row r="625">
      <c r="A625" s="2"/>
      <c r="B625" s="2"/>
      <c r="C625" s="2"/>
      <c r="D625" s="2"/>
      <c r="E625" s="2"/>
      <c r="F625" s="2"/>
      <c r="G625" s="2"/>
      <c r="H625" s="2"/>
      <c r="I625" s="2"/>
      <c r="J625" s="2"/>
      <c r="K625" s="2"/>
      <c r="L625" s="2"/>
      <c r="M625" s="2"/>
      <c r="N625" s="2"/>
      <c r="O625" s="2"/>
      <c r="P625" s="2"/>
      <c r="Q625" s="2"/>
      <c r="R625" s="2"/>
    </row>
    <row r="626">
      <c r="A626" s="2"/>
      <c r="B626" s="2"/>
      <c r="C626" s="2"/>
      <c r="D626" s="2"/>
      <c r="E626" s="2"/>
      <c r="F626" s="2"/>
      <c r="G626" s="2"/>
      <c r="H626" s="2"/>
      <c r="I626" s="2"/>
      <c r="J626" s="2"/>
      <c r="K626" s="2"/>
      <c r="L626" s="2"/>
      <c r="M626" s="2"/>
      <c r="N626" s="2"/>
      <c r="O626" s="2"/>
      <c r="P626" s="2"/>
      <c r="Q626" s="2"/>
      <c r="R626" s="2"/>
    </row>
    <row r="627">
      <c r="A627" s="2"/>
      <c r="B627" s="2"/>
      <c r="C627" s="2"/>
      <c r="D627" s="2"/>
      <c r="E627" s="2"/>
      <c r="F627" s="2"/>
      <c r="G627" s="2"/>
      <c r="H627" s="2"/>
      <c r="I627" s="2"/>
      <c r="J627" s="2"/>
      <c r="K627" s="2"/>
      <c r="L627" s="2"/>
      <c r="M627" s="2"/>
      <c r="N627" s="2"/>
      <c r="O627" s="2"/>
      <c r="P627" s="2"/>
      <c r="Q627" s="2"/>
      <c r="R627" s="2"/>
    </row>
    <row r="628">
      <c r="A628" s="2"/>
      <c r="B628" s="2"/>
      <c r="C628" s="2"/>
      <c r="D628" s="2"/>
      <c r="E628" s="2"/>
      <c r="F628" s="2"/>
      <c r="G628" s="2"/>
      <c r="H628" s="2"/>
      <c r="I628" s="2"/>
      <c r="J628" s="2"/>
      <c r="K628" s="2"/>
      <c r="L628" s="2"/>
      <c r="M628" s="2"/>
      <c r="N628" s="2"/>
      <c r="O628" s="2"/>
      <c r="P628" s="2"/>
      <c r="Q628" s="2"/>
      <c r="R628" s="2"/>
    </row>
    <row r="629">
      <c r="A629" s="2"/>
      <c r="B629" s="2"/>
      <c r="C629" s="2"/>
      <c r="D629" s="2"/>
      <c r="E629" s="2"/>
      <c r="F629" s="2"/>
      <c r="G629" s="2"/>
      <c r="H629" s="2"/>
      <c r="I629" s="2"/>
      <c r="J629" s="2"/>
      <c r="K629" s="2"/>
      <c r="L629" s="2"/>
      <c r="M629" s="2"/>
      <c r="N629" s="2"/>
      <c r="O629" s="2"/>
      <c r="P629" s="2"/>
      <c r="Q629" s="2"/>
      <c r="R629" s="2"/>
    </row>
    <row r="630">
      <c r="A630" s="2"/>
      <c r="B630" s="2"/>
      <c r="C630" s="2"/>
      <c r="D630" s="2"/>
      <c r="E630" s="2"/>
      <c r="F630" s="2"/>
      <c r="G630" s="2"/>
      <c r="H630" s="2"/>
      <c r="I630" s="2"/>
      <c r="J630" s="2"/>
      <c r="K630" s="2"/>
      <c r="L630" s="2"/>
      <c r="M630" s="2"/>
      <c r="N630" s="2"/>
      <c r="O630" s="2"/>
      <c r="P630" s="2"/>
      <c r="Q630" s="2"/>
      <c r="R630" s="2"/>
    </row>
    <row r="631">
      <c r="A631" s="2"/>
      <c r="B631" s="2"/>
      <c r="C631" s="2"/>
      <c r="D631" s="2"/>
      <c r="E631" s="2"/>
      <c r="F631" s="2"/>
      <c r="G631" s="2"/>
      <c r="H631" s="2"/>
      <c r="I631" s="2"/>
      <c r="J631" s="2"/>
      <c r="K631" s="2"/>
      <c r="L631" s="2"/>
      <c r="M631" s="2"/>
      <c r="N631" s="2"/>
      <c r="O631" s="2"/>
      <c r="P631" s="2"/>
      <c r="Q631" s="2"/>
      <c r="R631" s="2"/>
    </row>
    <row r="632">
      <c r="A632" s="2"/>
      <c r="B632" s="2"/>
      <c r="C632" s="2"/>
      <c r="D632" s="2"/>
      <c r="E632" s="2"/>
      <c r="F632" s="2"/>
      <c r="G632" s="2"/>
      <c r="H632" s="2"/>
      <c r="I632" s="2"/>
      <c r="J632" s="2"/>
      <c r="K632" s="2"/>
      <c r="L632" s="2"/>
      <c r="M632" s="2"/>
      <c r="N632" s="2"/>
      <c r="O632" s="2"/>
      <c r="P632" s="2"/>
      <c r="Q632" s="2"/>
      <c r="R632" s="2"/>
    </row>
    <row r="633">
      <c r="A633" s="2"/>
      <c r="B633" s="2"/>
      <c r="C633" s="2"/>
      <c r="D633" s="2"/>
      <c r="E633" s="2"/>
      <c r="F633" s="2"/>
      <c r="G633" s="2"/>
      <c r="H633" s="2"/>
      <c r="I633" s="2"/>
      <c r="J633" s="2"/>
      <c r="K633" s="2"/>
      <c r="L633" s="2"/>
      <c r="M633" s="2"/>
      <c r="N633" s="2"/>
      <c r="O633" s="2"/>
      <c r="P633" s="2"/>
      <c r="Q633" s="2"/>
      <c r="R633" s="2"/>
    </row>
    <row r="634">
      <c r="A634" s="2"/>
      <c r="B634" s="2"/>
      <c r="C634" s="2"/>
      <c r="D634" s="2"/>
      <c r="E634" s="2"/>
      <c r="F634" s="2"/>
      <c r="G634" s="2"/>
      <c r="H634" s="2"/>
      <c r="I634" s="2"/>
      <c r="J634" s="2"/>
      <c r="K634" s="2"/>
      <c r="L634" s="2"/>
      <c r="M634" s="2"/>
      <c r="N634" s="2"/>
      <c r="O634" s="2"/>
      <c r="P634" s="2"/>
      <c r="Q634" s="2"/>
      <c r="R634" s="2"/>
    </row>
    <row r="635">
      <c r="A635" s="2"/>
      <c r="B635" s="2"/>
      <c r="C635" s="2"/>
      <c r="D635" s="2"/>
      <c r="E635" s="2"/>
      <c r="F635" s="2"/>
      <c r="G635" s="2"/>
      <c r="H635" s="2"/>
      <c r="I635" s="2"/>
      <c r="J635" s="2"/>
      <c r="K635" s="2"/>
      <c r="L635" s="2"/>
      <c r="M635" s="2"/>
      <c r="N635" s="2"/>
      <c r="O635" s="2"/>
      <c r="P635" s="2"/>
      <c r="Q635" s="2"/>
      <c r="R635" s="2"/>
    </row>
    <row r="636">
      <c r="A636" s="2"/>
      <c r="B636" s="2"/>
      <c r="C636" s="2"/>
      <c r="D636" s="2"/>
      <c r="E636" s="2"/>
      <c r="F636" s="2"/>
      <c r="G636" s="2"/>
      <c r="H636" s="2"/>
      <c r="I636" s="2"/>
      <c r="J636" s="2"/>
      <c r="K636" s="2"/>
      <c r="L636" s="2"/>
      <c r="M636" s="2"/>
      <c r="N636" s="2"/>
      <c r="O636" s="2"/>
      <c r="P636" s="2"/>
      <c r="Q636" s="2"/>
      <c r="R636" s="2"/>
    </row>
    <row r="637">
      <c r="A637" s="2"/>
      <c r="B637" s="2"/>
      <c r="C637" s="2"/>
      <c r="D637" s="2"/>
      <c r="E637" s="2"/>
      <c r="F637" s="2"/>
      <c r="G637" s="2"/>
      <c r="H637" s="2"/>
      <c r="I637" s="2"/>
      <c r="J637" s="2"/>
      <c r="K637" s="2"/>
      <c r="L637" s="2"/>
      <c r="M637" s="2"/>
      <c r="N637" s="2"/>
      <c r="O637" s="2"/>
      <c r="P637" s="2"/>
      <c r="Q637" s="2"/>
      <c r="R637" s="2"/>
    </row>
    <row r="638">
      <c r="A638" s="2"/>
      <c r="B638" s="2"/>
      <c r="C638" s="2"/>
      <c r="D638" s="2"/>
      <c r="E638" s="2"/>
      <c r="F638" s="2"/>
      <c r="G638" s="2"/>
      <c r="H638" s="2"/>
      <c r="I638" s="2"/>
      <c r="J638" s="2"/>
      <c r="K638" s="2"/>
      <c r="L638" s="2"/>
      <c r="M638" s="2"/>
      <c r="N638" s="2"/>
      <c r="O638" s="2"/>
      <c r="P638" s="2"/>
      <c r="Q638" s="2"/>
      <c r="R638" s="2"/>
    </row>
    <row r="639">
      <c r="A639" s="2"/>
      <c r="B639" s="2"/>
      <c r="C639" s="2"/>
      <c r="D639" s="2"/>
      <c r="E639" s="2"/>
      <c r="F639" s="2"/>
      <c r="G639" s="2"/>
      <c r="H639" s="2"/>
      <c r="I639" s="2"/>
      <c r="J639" s="2"/>
      <c r="K639" s="2"/>
      <c r="L639" s="2"/>
      <c r="M639" s="2"/>
      <c r="N639" s="2"/>
      <c r="O639" s="2"/>
      <c r="P639" s="2"/>
      <c r="Q639" s="2"/>
      <c r="R639" s="2"/>
    </row>
    <row r="640">
      <c r="A640" s="2"/>
      <c r="B640" s="2"/>
      <c r="C640" s="2"/>
      <c r="D640" s="2"/>
      <c r="E640" s="2"/>
      <c r="F640" s="2"/>
      <c r="G640" s="2"/>
      <c r="H640" s="2"/>
      <c r="I640" s="2"/>
      <c r="J640" s="2"/>
      <c r="K640" s="2"/>
      <c r="L640" s="2"/>
      <c r="M640" s="2"/>
      <c r="N640" s="2"/>
      <c r="O640" s="2"/>
      <c r="P640" s="2"/>
      <c r="Q640" s="2"/>
      <c r="R640" s="2"/>
    </row>
    <row r="641">
      <c r="A641" s="2"/>
      <c r="B641" s="2"/>
      <c r="C641" s="2"/>
      <c r="D641" s="2"/>
      <c r="E641" s="2"/>
      <c r="F641" s="2"/>
      <c r="G641" s="2"/>
      <c r="H641" s="2"/>
      <c r="I641" s="2"/>
      <c r="J641" s="2"/>
      <c r="K641" s="2"/>
      <c r="L641" s="2"/>
      <c r="M641" s="2"/>
      <c r="N641" s="2"/>
      <c r="O641" s="2"/>
      <c r="P641" s="2"/>
      <c r="Q641" s="2"/>
      <c r="R641" s="2"/>
    </row>
    <row r="642">
      <c r="A642" s="2"/>
      <c r="B642" s="2"/>
      <c r="C642" s="2"/>
      <c r="D642" s="2"/>
      <c r="E642" s="2"/>
      <c r="F642" s="2"/>
      <c r="G642" s="2"/>
      <c r="H642" s="2"/>
      <c r="I642" s="2"/>
      <c r="J642" s="2"/>
      <c r="K642" s="2"/>
      <c r="L642" s="2"/>
      <c r="M642" s="2"/>
      <c r="N642" s="2"/>
      <c r="O642" s="2"/>
      <c r="P642" s="2"/>
      <c r="Q642" s="2"/>
      <c r="R642" s="2"/>
    </row>
    <row r="643">
      <c r="A643" s="2"/>
      <c r="B643" s="2"/>
      <c r="C643" s="2"/>
      <c r="D643" s="2"/>
      <c r="E643" s="2"/>
      <c r="F643" s="2"/>
      <c r="G643" s="2"/>
      <c r="H643" s="2"/>
      <c r="I643" s="2"/>
      <c r="J643" s="2"/>
      <c r="K643" s="2"/>
      <c r="L643" s="2"/>
      <c r="M643" s="2"/>
      <c r="N643" s="2"/>
      <c r="O643" s="2"/>
      <c r="P643" s="2"/>
      <c r="Q643" s="2"/>
      <c r="R643" s="2"/>
    </row>
    <row r="644">
      <c r="A644" s="2"/>
      <c r="B644" s="2"/>
      <c r="C644" s="2"/>
      <c r="D644" s="2"/>
      <c r="E644" s="2"/>
      <c r="F644" s="2"/>
      <c r="G644" s="2"/>
      <c r="H644" s="2"/>
      <c r="I644" s="2"/>
      <c r="J644" s="2"/>
      <c r="K644" s="2"/>
      <c r="L644" s="2"/>
      <c r="M644" s="2"/>
      <c r="N644" s="2"/>
      <c r="O644" s="2"/>
      <c r="P644" s="2"/>
      <c r="Q644" s="2"/>
      <c r="R644" s="2"/>
    </row>
    <row r="645">
      <c r="A645" s="2"/>
      <c r="B645" s="2"/>
      <c r="C645" s="2"/>
      <c r="D645" s="2"/>
      <c r="E645" s="2"/>
      <c r="F645" s="2"/>
      <c r="G645" s="2"/>
      <c r="H645" s="2"/>
      <c r="I645" s="2"/>
      <c r="J645" s="2"/>
      <c r="K645" s="2"/>
      <c r="L645" s="2"/>
      <c r="M645" s="2"/>
      <c r="N645" s="2"/>
      <c r="O645" s="2"/>
      <c r="P645" s="2"/>
      <c r="Q645" s="2"/>
      <c r="R645" s="2"/>
    </row>
    <row r="646">
      <c r="A646" s="2"/>
      <c r="B646" s="2"/>
      <c r="C646" s="2"/>
      <c r="D646" s="2"/>
      <c r="E646" s="2"/>
      <c r="F646" s="2"/>
      <c r="G646" s="2"/>
      <c r="H646" s="2"/>
      <c r="I646" s="2"/>
      <c r="J646" s="2"/>
      <c r="K646" s="2"/>
      <c r="L646" s="2"/>
      <c r="M646" s="2"/>
      <c r="N646" s="2"/>
      <c r="O646" s="2"/>
      <c r="P646" s="2"/>
      <c r="Q646" s="2"/>
      <c r="R646" s="2"/>
    </row>
    <row r="647">
      <c r="A647" s="2"/>
      <c r="B647" s="2"/>
      <c r="C647" s="2"/>
      <c r="D647" s="2"/>
      <c r="E647" s="2"/>
      <c r="F647" s="2"/>
      <c r="G647" s="2"/>
      <c r="H647" s="2"/>
      <c r="I647" s="2"/>
      <c r="J647" s="2"/>
      <c r="K647" s="2"/>
      <c r="L647" s="2"/>
      <c r="M647" s="2"/>
      <c r="N647" s="2"/>
      <c r="O647" s="2"/>
      <c r="P647" s="2"/>
      <c r="Q647" s="2"/>
      <c r="R647" s="2"/>
    </row>
    <row r="648">
      <c r="A648" s="2"/>
      <c r="B648" s="2"/>
      <c r="C648" s="2"/>
      <c r="D648" s="2"/>
      <c r="E648" s="2"/>
      <c r="F648" s="2"/>
      <c r="G648" s="2"/>
      <c r="H648" s="2"/>
      <c r="I648" s="2"/>
      <c r="J648" s="2"/>
      <c r="K648" s="2"/>
      <c r="L648" s="2"/>
      <c r="M648" s="2"/>
      <c r="N648" s="2"/>
      <c r="O648" s="2"/>
      <c r="P648" s="2"/>
      <c r="Q648" s="2"/>
      <c r="R648" s="2"/>
    </row>
    <row r="649">
      <c r="A649" s="2"/>
      <c r="B649" s="2"/>
      <c r="C649" s="2"/>
      <c r="D649" s="2"/>
      <c r="E649" s="2"/>
      <c r="F649" s="2"/>
      <c r="G649" s="2"/>
      <c r="H649" s="2"/>
      <c r="I649" s="2"/>
      <c r="J649" s="2"/>
      <c r="K649" s="2"/>
      <c r="L649" s="2"/>
      <c r="M649" s="2"/>
      <c r="N649" s="2"/>
      <c r="O649" s="2"/>
      <c r="P649" s="2"/>
      <c r="Q649" s="2"/>
      <c r="R649" s="2"/>
    </row>
    <row r="650">
      <c r="A650" s="2"/>
      <c r="B650" s="2"/>
      <c r="C650" s="2"/>
      <c r="D650" s="2"/>
      <c r="E650" s="2"/>
      <c r="F650" s="2"/>
      <c r="G650" s="2"/>
      <c r="H650" s="2"/>
      <c r="I650" s="2"/>
      <c r="J650" s="2"/>
      <c r="K650" s="2"/>
      <c r="L650" s="2"/>
      <c r="M650" s="2"/>
      <c r="N650" s="2"/>
      <c r="O650" s="2"/>
      <c r="P650" s="2"/>
      <c r="Q650" s="2"/>
      <c r="R650" s="2"/>
    </row>
    <row r="651">
      <c r="A651" s="2"/>
      <c r="B651" s="2"/>
      <c r="C651" s="2"/>
      <c r="D651" s="2"/>
      <c r="E651" s="2"/>
      <c r="F651" s="2"/>
      <c r="G651" s="2"/>
      <c r="H651" s="2"/>
      <c r="I651" s="2"/>
      <c r="J651" s="2"/>
      <c r="K651" s="2"/>
      <c r="L651" s="2"/>
      <c r="M651" s="2"/>
      <c r="N651" s="2"/>
      <c r="O651" s="2"/>
      <c r="P651" s="2"/>
      <c r="Q651" s="2"/>
      <c r="R651" s="2"/>
    </row>
    <row r="652">
      <c r="A652" s="2"/>
      <c r="B652" s="2"/>
      <c r="C652" s="2"/>
      <c r="D652" s="2"/>
      <c r="E652" s="2"/>
      <c r="F652" s="2"/>
      <c r="G652" s="2"/>
      <c r="H652" s="2"/>
      <c r="I652" s="2"/>
      <c r="J652" s="2"/>
      <c r="K652" s="2"/>
      <c r="L652" s="2"/>
      <c r="M652" s="2"/>
      <c r="N652" s="2"/>
      <c r="O652" s="2"/>
      <c r="P652" s="2"/>
      <c r="Q652" s="2"/>
      <c r="R652" s="2"/>
    </row>
    <row r="653">
      <c r="A653" s="2"/>
      <c r="B653" s="2"/>
      <c r="C653" s="2"/>
      <c r="D653" s="2"/>
      <c r="E653" s="2"/>
      <c r="F653" s="2"/>
      <c r="G653" s="2"/>
      <c r="H653" s="2"/>
      <c r="I653" s="2"/>
      <c r="J653" s="2"/>
      <c r="K653" s="2"/>
      <c r="L653" s="2"/>
      <c r="M653" s="2"/>
      <c r="N653" s="2"/>
      <c r="O653" s="2"/>
      <c r="P653" s="2"/>
      <c r="Q653" s="2"/>
      <c r="R653" s="2"/>
    </row>
    <row r="654">
      <c r="A654" s="2"/>
      <c r="B654" s="2"/>
      <c r="C654" s="2"/>
      <c r="D654" s="2"/>
      <c r="E654" s="2"/>
      <c r="F654" s="2"/>
      <c r="G654" s="2"/>
      <c r="H654" s="2"/>
      <c r="I654" s="2"/>
      <c r="J654" s="2"/>
      <c r="K654" s="2"/>
      <c r="L654" s="2"/>
      <c r="M654" s="2"/>
      <c r="N654" s="2"/>
      <c r="O654" s="2"/>
      <c r="P654" s="2"/>
      <c r="Q654" s="2"/>
      <c r="R654" s="2"/>
    </row>
    <row r="655">
      <c r="A655" s="2"/>
      <c r="B655" s="2"/>
      <c r="C655" s="2"/>
      <c r="D655" s="2"/>
      <c r="E655" s="2"/>
      <c r="F655" s="2"/>
      <c r="G655" s="2"/>
      <c r="H655" s="2"/>
      <c r="I655" s="2"/>
      <c r="J655" s="2"/>
      <c r="K655" s="2"/>
      <c r="L655" s="2"/>
      <c r="M655" s="2"/>
      <c r="N655" s="2"/>
      <c r="O655" s="2"/>
      <c r="P655" s="2"/>
      <c r="Q655" s="2"/>
      <c r="R655" s="2"/>
    </row>
    <row r="656">
      <c r="A656" s="2"/>
      <c r="B656" s="2"/>
      <c r="C656" s="2"/>
      <c r="D656" s="2"/>
      <c r="E656" s="2"/>
      <c r="F656" s="2"/>
      <c r="G656" s="2"/>
      <c r="H656" s="2"/>
      <c r="I656" s="2"/>
      <c r="J656" s="2"/>
      <c r="K656" s="2"/>
      <c r="L656" s="2"/>
      <c r="M656" s="2"/>
      <c r="N656" s="2"/>
      <c r="O656" s="2"/>
      <c r="P656" s="2"/>
      <c r="Q656" s="2"/>
      <c r="R656" s="2"/>
    </row>
    <row r="657">
      <c r="A657" s="2"/>
      <c r="B657" s="2"/>
      <c r="C657" s="2"/>
      <c r="D657" s="2"/>
      <c r="E657" s="2"/>
      <c r="F657" s="2"/>
      <c r="G657" s="2"/>
      <c r="H657" s="2"/>
      <c r="I657" s="2"/>
      <c r="J657" s="2"/>
      <c r="K657" s="2"/>
      <c r="L657" s="2"/>
      <c r="M657" s="2"/>
      <c r="N657" s="2"/>
      <c r="O657" s="2"/>
      <c r="P657" s="2"/>
      <c r="Q657" s="2"/>
      <c r="R657" s="2"/>
    </row>
    <row r="658">
      <c r="A658" s="2"/>
      <c r="B658" s="2"/>
      <c r="C658" s="2"/>
      <c r="D658" s="2"/>
      <c r="E658" s="2"/>
      <c r="F658" s="2"/>
      <c r="G658" s="2"/>
      <c r="H658" s="2"/>
      <c r="I658" s="2"/>
      <c r="J658" s="2"/>
      <c r="K658" s="2"/>
      <c r="L658" s="2"/>
      <c r="M658" s="2"/>
      <c r="N658" s="2"/>
      <c r="O658" s="2"/>
      <c r="P658" s="2"/>
      <c r="Q658" s="2"/>
      <c r="R658" s="2"/>
    </row>
    <row r="659">
      <c r="A659" s="2"/>
      <c r="B659" s="2"/>
      <c r="C659" s="2"/>
      <c r="D659" s="2"/>
      <c r="E659" s="2"/>
      <c r="F659" s="2"/>
      <c r="G659" s="2"/>
      <c r="H659" s="2"/>
      <c r="I659" s="2"/>
      <c r="J659" s="2"/>
      <c r="K659" s="2"/>
      <c r="L659" s="2"/>
      <c r="M659" s="2"/>
      <c r="N659" s="2"/>
      <c r="O659" s="2"/>
      <c r="P659" s="2"/>
      <c r="Q659" s="2"/>
      <c r="R659" s="2"/>
    </row>
    <row r="660">
      <c r="A660" s="2"/>
      <c r="B660" s="2"/>
      <c r="C660" s="2"/>
      <c r="D660" s="2"/>
      <c r="E660" s="2"/>
      <c r="F660" s="2"/>
      <c r="G660" s="2"/>
      <c r="H660" s="2"/>
      <c r="I660" s="2"/>
      <c r="J660" s="2"/>
      <c r="K660" s="2"/>
      <c r="L660" s="2"/>
      <c r="M660" s="2"/>
      <c r="N660" s="2"/>
      <c r="O660" s="2"/>
      <c r="P660" s="2"/>
      <c r="Q660" s="2"/>
      <c r="R660" s="2"/>
    </row>
    <row r="661">
      <c r="A661" s="2"/>
      <c r="B661" s="2"/>
      <c r="C661" s="2"/>
      <c r="D661" s="2"/>
      <c r="E661" s="2"/>
      <c r="F661" s="2"/>
      <c r="G661" s="2"/>
      <c r="H661" s="2"/>
      <c r="I661" s="2"/>
      <c r="J661" s="2"/>
      <c r="K661" s="2"/>
      <c r="L661" s="2"/>
      <c r="M661" s="2"/>
      <c r="N661" s="2"/>
      <c r="O661" s="2"/>
      <c r="P661" s="2"/>
      <c r="Q661" s="2"/>
      <c r="R661" s="2"/>
    </row>
    <row r="662">
      <c r="A662" s="2"/>
      <c r="B662" s="2"/>
      <c r="C662" s="2"/>
      <c r="D662" s="2"/>
      <c r="E662" s="2"/>
      <c r="F662" s="2"/>
      <c r="G662" s="2"/>
      <c r="H662" s="2"/>
      <c r="I662" s="2"/>
      <c r="J662" s="2"/>
      <c r="K662" s="2"/>
      <c r="L662" s="2"/>
      <c r="M662" s="2"/>
      <c r="N662" s="2"/>
      <c r="O662" s="2"/>
      <c r="P662" s="2"/>
      <c r="Q662" s="2"/>
      <c r="R662" s="2"/>
    </row>
    <row r="663">
      <c r="A663" s="2"/>
      <c r="B663" s="2"/>
      <c r="C663" s="2"/>
      <c r="D663" s="2"/>
      <c r="E663" s="2"/>
      <c r="F663" s="2"/>
      <c r="G663" s="2"/>
      <c r="H663" s="2"/>
      <c r="I663" s="2"/>
      <c r="J663" s="2"/>
      <c r="K663" s="2"/>
      <c r="L663" s="2"/>
      <c r="M663" s="2"/>
      <c r="N663" s="2"/>
      <c r="O663" s="2"/>
      <c r="P663" s="2"/>
      <c r="Q663" s="2"/>
      <c r="R663" s="2"/>
    </row>
    <row r="664">
      <c r="A664" s="2"/>
      <c r="B664" s="2"/>
      <c r="C664" s="2"/>
      <c r="D664" s="2"/>
      <c r="E664" s="2"/>
      <c r="F664" s="2"/>
      <c r="G664" s="2"/>
      <c r="H664" s="2"/>
      <c r="I664" s="2"/>
      <c r="J664" s="2"/>
      <c r="K664" s="2"/>
      <c r="L664" s="2"/>
      <c r="M664" s="2"/>
      <c r="N664" s="2"/>
      <c r="O664" s="2"/>
      <c r="P664" s="2"/>
      <c r="Q664" s="2"/>
      <c r="R664" s="2"/>
    </row>
    <row r="665">
      <c r="A665" s="2"/>
      <c r="B665" s="2"/>
      <c r="C665" s="2"/>
      <c r="D665" s="2"/>
      <c r="E665" s="2"/>
      <c r="F665" s="2"/>
      <c r="G665" s="2"/>
      <c r="H665" s="2"/>
      <c r="I665" s="2"/>
      <c r="J665" s="2"/>
      <c r="K665" s="2"/>
      <c r="L665" s="2"/>
      <c r="M665" s="2"/>
      <c r="N665" s="2"/>
      <c r="O665" s="2"/>
      <c r="P665" s="2"/>
      <c r="Q665" s="2"/>
      <c r="R665" s="2"/>
    </row>
    <row r="666">
      <c r="A666" s="2"/>
      <c r="B666" s="2"/>
      <c r="C666" s="2"/>
      <c r="D666" s="2"/>
      <c r="E666" s="2"/>
      <c r="F666" s="2"/>
      <c r="G666" s="2"/>
      <c r="H666" s="2"/>
      <c r="I666" s="2"/>
      <c r="J666" s="2"/>
      <c r="K666" s="2"/>
      <c r="L666" s="2"/>
      <c r="M666" s="2"/>
      <c r="N666" s="2"/>
      <c r="O666" s="2"/>
      <c r="P666" s="2"/>
      <c r="Q666" s="2"/>
      <c r="R666" s="2"/>
    </row>
    <row r="667">
      <c r="A667" s="2"/>
      <c r="B667" s="2"/>
      <c r="C667" s="2"/>
      <c r="D667" s="2"/>
      <c r="E667" s="2"/>
      <c r="F667" s="2"/>
      <c r="G667" s="2"/>
      <c r="H667" s="2"/>
      <c r="I667" s="2"/>
      <c r="J667" s="2"/>
      <c r="K667" s="2"/>
      <c r="L667" s="2"/>
      <c r="M667" s="2"/>
      <c r="N667" s="2"/>
      <c r="O667" s="2"/>
      <c r="P667" s="2"/>
      <c r="Q667" s="2"/>
      <c r="R667" s="2"/>
    </row>
    <row r="668">
      <c r="A668" s="2"/>
      <c r="B668" s="2"/>
      <c r="C668" s="2"/>
      <c r="D668" s="2"/>
      <c r="E668" s="2"/>
      <c r="F668" s="2"/>
      <c r="G668" s="2"/>
      <c r="H668" s="2"/>
      <c r="I668" s="2"/>
      <c r="J668" s="2"/>
      <c r="K668" s="2"/>
      <c r="L668" s="2"/>
      <c r="M668" s="2"/>
      <c r="N668" s="2"/>
      <c r="O668" s="2"/>
      <c r="P668" s="2"/>
      <c r="Q668" s="2"/>
      <c r="R668" s="2"/>
    </row>
    <row r="669">
      <c r="A669" s="2"/>
      <c r="B669" s="2"/>
      <c r="C669" s="2"/>
      <c r="D669" s="2"/>
      <c r="E669" s="2"/>
      <c r="F669" s="2"/>
      <c r="G669" s="2"/>
      <c r="H669" s="2"/>
      <c r="I669" s="2"/>
      <c r="J669" s="2"/>
      <c r="K669" s="2"/>
      <c r="L669" s="2"/>
      <c r="M669" s="2"/>
      <c r="N669" s="2"/>
      <c r="O669" s="2"/>
      <c r="P669" s="2"/>
      <c r="Q669" s="2"/>
      <c r="R669" s="2"/>
    </row>
    <row r="670">
      <c r="A670" s="2"/>
      <c r="B670" s="2"/>
      <c r="C670" s="2"/>
      <c r="D670" s="2"/>
      <c r="E670" s="2"/>
      <c r="F670" s="2"/>
      <c r="G670" s="2"/>
      <c r="H670" s="2"/>
      <c r="I670" s="2"/>
      <c r="J670" s="2"/>
      <c r="K670" s="2"/>
      <c r="L670" s="2"/>
      <c r="M670" s="2"/>
      <c r="N670" s="2"/>
      <c r="O670" s="2"/>
      <c r="P670" s="2"/>
      <c r="Q670" s="2"/>
      <c r="R670" s="2"/>
    </row>
    <row r="671">
      <c r="A671" s="2"/>
      <c r="B671" s="2"/>
      <c r="C671" s="2"/>
      <c r="D671" s="2"/>
      <c r="E671" s="2"/>
      <c r="F671" s="2"/>
      <c r="G671" s="2"/>
      <c r="H671" s="2"/>
      <c r="I671" s="2"/>
      <c r="J671" s="2"/>
      <c r="K671" s="2"/>
      <c r="L671" s="2"/>
      <c r="M671" s="2"/>
      <c r="N671" s="2"/>
      <c r="O671" s="2"/>
      <c r="P671" s="2"/>
      <c r="Q671" s="2"/>
      <c r="R671" s="2"/>
    </row>
    <row r="672">
      <c r="A672" s="2"/>
      <c r="B672" s="2"/>
      <c r="C672" s="2"/>
      <c r="D672" s="2"/>
      <c r="E672" s="2"/>
      <c r="F672" s="2"/>
      <c r="G672" s="2"/>
      <c r="H672" s="2"/>
      <c r="I672" s="2"/>
      <c r="J672" s="2"/>
      <c r="K672" s="2"/>
      <c r="L672" s="2"/>
      <c r="M672" s="2"/>
      <c r="N672" s="2"/>
      <c r="O672" s="2"/>
      <c r="P672" s="2"/>
      <c r="Q672" s="2"/>
      <c r="R672" s="2"/>
    </row>
    <row r="673">
      <c r="A673" s="2"/>
      <c r="B673" s="2"/>
      <c r="C673" s="2"/>
      <c r="D673" s="2"/>
      <c r="E673" s="2"/>
      <c r="F673" s="2"/>
      <c r="G673" s="2"/>
      <c r="H673" s="2"/>
      <c r="I673" s="2"/>
      <c r="J673" s="2"/>
      <c r="K673" s="2"/>
      <c r="L673" s="2"/>
      <c r="M673" s="2"/>
      <c r="N673" s="2"/>
      <c r="O673" s="2"/>
      <c r="P673" s="2"/>
      <c r="Q673" s="2"/>
      <c r="R673" s="2"/>
    </row>
    <row r="674">
      <c r="A674" s="2"/>
      <c r="B674" s="2"/>
      <c r="C674" s="2"/>
      <c r="D674" s="2"/>
      <c r="E674" s="2"/>
      <c r="F674" s="2"/>
      <c r="G674" s="2"/>
      <c r="H674" s="2"/>
      <c r="I674" s="2"/>
      <c r="J674" s="2"/>
      <c r="K674" s="2"/>
      <c r="L674" s="2"/>
      <c r="M674" s="2"/>
      <c r="N674" s="2"/>
      <c r="O674" s="2"/>
      <c r="P674" s="2"/>
      <c r="Q674" s="2"/>
      <c r="R674" s="2"/>
    </row>
    <row r="675">
      <c r="A675" s="2"/>
      <c r="B675" s="2"/>
      <c r="C675" s="2"/>
      <c r="D675" s="2"/>
      <c r="E675" s="2"/>
      <c r="F675" s="2"/>
      <c r="G675" s="2"/>
      <c r="H675" s="2"/>
      <c r="I675" s="2"/>
      <c r="J675" s="2"/>
      <c r="K675" s="2"/>
      <c r="L675" s="2"/>
      <c r="M675" s="2"/>
      <c r="N675" s="2"/>
      <c r="O675" s="2"/>
      <c r="P675" s="2"/>
      <c r="Q675" s="2"/>
      <c r="R675" s="2"/>
    </row>
    <row r="676">
      <c r="A676" s="2"/>
      <c r="B676" s="2"/>
      <c r="C676" s="2"/>
      <c r="D676" s="2"/>
      <c r="E676" s="2"/>
      <c r="F676" s="2"/>
      <c r="G676" s="2"/>
      <c r="H676" s="2"/>
      <c r="I676" s="2"/>
      <c r="J676" s="2"/>
      <c r="K676" s="2"/>
      <c r="L676" s="2"/>
      <c r="M676" s="2"/>
      <c r="N676" s="2"/>
      <c r="O676" s="2"/>
      <c r="P676" s="2"/>
      <c r="Q676" s="2"/>
      <c r="R676" s="2"/>
    </row>
    <row r="677">
      <c r="A677" s="2"/>
      <c r="B677" s="2"/>
      <c r="C677" s="2"/>
      <c r="D677" s="2"/>
      <c r="E677" s="2"/>
      <c r="F677" s="2"/>
      <c r="G677" s="2"/>
      <c r="H677" s="2"/>
      <c r="I677" s="2"/>
      <c r="J677" s="2"/>
      <c r="K677" s="2"/>
      <c r="L677" s="2"/>
      <c r="M677" s="2"/>
      <c r="N677" s="2"/>
      <c r="O677" s="2"/>
      <c r="P677" s="2"/>
      <c r="Q677" s="2"/>
      <c r="R677" s="2"/>
    </row>
    <row r="678">
      <c r="A678" s="2"/>
      <c r="B678" s="2"/>
      <c r="C678" s="2"/>
      <c r="D678" s="2"/>
      <c r="E678" s="2"/>
      <c r="F678" s="2"/>
      <c r="G678" s="2"/>
      <c r="H678" s="2"/>
      <c r="I678" s="2"/>
      <c r="J678" s="2"/>
      <c r="K678" s="2"/>
      <c r="L678" s="2"/>
      <c r="M678" s="2"/>
      <c r="N678" s="2"/>
      <c r="O678" s="2"/>
      <c r="P678" s="2"/>
      <c r="Q678" s="2"/>
      <c r="R678" s="2"/>
    </row>
    <row r="679">
      <c r="A679" s="2"/>
      <c r="B679" s="2"/>
      <c r="C679" s="2"/>
      <c r="D679" s="2"/>
      <c r="E679" s="2"/>
      <c r="F679" s="2"/>
      <c r="G679" s="2"/>
      <c r="H679" s="2"/>
      <c r="I679" s="2"/>
      <c r="J679" s="2"/>
      <c r="K679" s="2"/>
      <c r="L679" s="2"/>
      <c r="M679" s="2"/>
      <c r="N679" s="2"/>
      <c r="O679" s="2"/>
      <c r="P679" s="2"/>
      <c r="Q679" s="2"/>
      <c r="R679" s="2"/>
    </row>
    <row r="680">
      <c r="A680" s="2"/>
      <c r="B680" s="2"/>
      <c r="C680" s="2"/>
      <c r="D680" s="2"/>
      <c r="E680" s="2"/>
      <c r="F680" s="2"/>
      <c r="G680" s="2"/>
      <c r="H680" s="2"/>
      <c r="I680" s="2"/>
      <c r="J680" s="2"/>
      <c r="K680" s="2"/>
      <c r="L680" s="2"/>
      <c r="M680" s="2"/>
      <c r="N680" s="2"/>
      <c r="O680" s="2"/>
      <c r="P680" s="2"/>
      <c r="Q680" s="2"/>
      <c r="R680" s="2"/>
    </row>
    <row r="681">
      <c r="A681" s="2"/>
      <c r="B681" s="2"/>
      <c r="C681" s="2"/>
      <c r="D681" s="2"/>
      <c r="E681" s="2"/>
      <c r="F681" s="2"/>
      <c r="G681" s="2"/>
      <c r="H681" s="2"/>
      <c r="I681" s="2"/>
      <c r="J681" s="2"/>
      <c r="K681" s="2"/>
      <c r="L681" s="2"/>
      <c r="M681" s="2"/>
      <c r="N681" s="2"/>
      <c r="O681" s="2"/>
      <c r="P681" s="2"/>
      <c r="Q681" s="2"/>
      <c r="R681" s="2"/>
    </row>
    <row r="682">
      <c r="A682" s="2"/>
      <c r="B682" s="2"/>
      <c r="C682" s="2"/>
      <c r="D682" s="2"/>
      <c r="E682" s="2"/>
      <c r="F682" s="2"/>
      <c r="G682" s="2"/>
      <c r="H682" s="2"/>
      <c r="I682" s="2"/>
      <c r="J682" s="2"/>
      <c r="K682" s="2"/>
      <c r="L682" s="2"/>
      <c r="M682" s="2"/>
      <c r="N682" s="2"/>
      <c r="O682" s="2"/>
      <c r="P682" s="2"/>
      <c r="Q682" s="2"/>
      <c r="R682" s="2"/>
    </row>
    <row r="683">
      <c r="A683" s="2"/>
      <c r="B683" s="2"/>
      <c r="C683" s="2"/>
      <c r="D683" s="2"/>
      <c r="E683" s="2"/>
      <c r="F683" s="2"/>
      <c r="G683" s="2"/>
      <c r="H683" s="2"/>
      <c r="I683" s="2"/>
      <c r="J683" s="2"/>
      <c r="K683" s="2"/>
      <c r="L683" s="2"/>
      <c r="M683" s="2"/>
      <c r="N683" s="2"/>
      <c r="O683" s="2"/>
      <c r="P683" s="2"/>
      <c r="Q683" s="2"/>
      <c r="R683" s="2"/>
    </row>
    <row r="684">
      <c r="A684" s="2"/>
      <c r="B684" s="2"/>
      <c r="C684" s="2"/>
      <c r="D684" s="2"/>
      <c r="E684" s="2"/>
      <c r="F684" s="2"/>
      <c r="G684" s="2"/>
      <c r="H684" s="2"/>
      <c r="I684" s="2"/>
      <c r="J684" s="2"/>
      <c r="K684" s="2"/>
      <c r="L684" s="2"/>
      <c r="M684" s="2"/>
      <c r="N684" s="2"/>
      <c r="O684" s="2"/>
      <c r="P684" s="2"/>
      <c r="Q684" s="2"/>
      <c r="R684" s="2"/>
    </row>
    <row r="685">
      <c r="A685" s="2"/>
      <c r="B685" s="2"/>
      <c r="C685" s="2"/>
      <c r="D685" s="2"/>
      <c r="E685" s="2"/>
      <c r="F685" s="2"/>
      <c r="G685" s="2"/>
      <c r="H685" s="2"/>
      <c r="I685" s="2"/>
      <c r="J685" s="2"/>
      <c r="K685" s="2"/>
      <c r="L685" s="2"/>
      <c r="M685" s="2"/>
      <c r="N685" s="2"/>
      <c r="O685" s="2"/>
      <c r="P685" s="2"/>
      <c r="Q685" s="2"/>
      <c r="R685" s="2"/>
    </row>
    <row r="686">
      <c r="A686" s="2"/>
      <c r="B686" s="2"/>
      <c r="C686" s="2"/>
      <c r="D686" s="2"/>
      <c r="E686" s="2"/>
      <c r="F686" s="2"/>
      <c r="G686" s="2"/>
      <c r="H686" s="2"/>
      <c r="I686" s="2"/>
      <c r="J686" s="2"/>
      <c r="K686" s="2"/>
      <c r="L686" s="2"/>
      <c r="M686" s="2"/>
      <c r="N686" s="2"/>
      <c r="O686" s="2"/>
      <c r="P686" s="2"/>
      <c r="Q686" s="2"/>
      <c r="R686" s="2"/>
    </row>
    <row r="687">
      <c r="A687" s="2"/>
      <c r="B687" s="2"/>
      <c r="C687" s="2"/>
      <c r="D687" s="2"/>
      <c r="E687" s="2"/>
      <c r="F687" s="2"/>
      <c r="G687" s="2"/>
      <c r="H687" s="2"/>
      <c r="I687" s="2"/>
      <c r="J687" s="2"/>
      <c r="K687" s="2"/>
      <c r="L687" s="2"/>
      <c r="M687" s="2"/>
      <c r="N687" s="2"/>
      <c r="O687" s="2"/>
      <c r="P687" s="2"/>
      <c r="Q687" s="2"/>
      <c r="R687" s="2"/>
    </row>
    <row r="688">
      <c r="A688" s="2"/>
      <c r="B688" s="2"/>
      <c r="C688" s="2"/>
      <c r="D688" s="2"/>
      <c r="E688" s="2"/>
      <c r="F688" s="2"/>
      <c r="G688" s="2"/>
      <c r="H688" s="2"/>
      <c r="I688" s="2"/>
      <c r="J688" s="2"/>
      <c r="K688" s="2"/>
      <c r="L688" s="2"/>
      <c r="M688" s="2"/>
      <c r="N688" s="2"/>
      <c r="O688" s="2"/>
      <c r="P688" s="2"/>
      <c r="Q688" s="2"/>
      <c r="R688" s="2"/>
    </row>
    <row r="689">
      <c r="A689" s="2"/>
      <c r="B689" s="2"/>
      <c r="C689" s="2"/>
      <c r="D689" s="2"/>
      <c r="E689" s="2"/>
      <c r="F689" s="2"/>
      <c r="G689" s="2"/>
      <c r="H689" s="2"/>
      <c r="I689" s="2"/>
      <c r="J689" s="2"/>
      <c r="K689" s="2"/>
      <c r="L689" s="2"/>
      <c r="M689" s="2"/>
      <c r="N689" s="2"/>
      <c r="O689" s="2"/>
      <c r="P689" s="2"/>
      <c r="Q689" s="2"/>
      <c r="R689" s="2"/>
    </row>
    <row r="690">
      <c r="A690" s="2"/>
      <c r="B690" s="2"/>
      <c r="C690" s="2"/>
      <c r="D690" s="2"/>
      <c r="E690" s="2"/>
      <c r="F690" s="2"/>
      <c r="G690" s="2"/>
      <c r="H690" s="2"/>
      <c r="I690" s="2"/>
      <c r="J690" s="2"/>
      <c r="K690" s="2"/>
      <c r="L690" s="2"/>
      <c r="M690" s="2"/>
      <c r="N690" s="2"/>
      <c r="O690" s="2"/>
      <c r="P690" s="2"/>
      <c r="Q690" s="2"/>
      <c r="R690" s="2"/>
    </row>
    <row r="691">
      <c r="A691" s="2"/>
      <c r="B691" s="2"/>
      <c r="C691" s="2"/>
      <c r="D691" s="2"/>
      <c r="E691" s="2"/>
      <c r="F691" s="2"/>
      <c r="G691" s="2"/>
      <c r="H691" s="2"/>
      <c r="I691" s="2"/>
      <c r="J691" s="2"/>
      <c r="K691" s="2"/>
      <c r="L691" s="2"/>
      <c r="M691" s="2"/>
      <c r="N691" s="2"/>
      <c r="O691" s="2"/>
      <c r="P691" s="2"/>
      <c r="Q691" s="2"/>
      <c r="R691" s="2"/>
    </row>
    <row r="692">
      <c r="A692" s="2"/>
      <c r="B692" s="2"/>
      <c r="C692" s="2"/>
      <c r="D692" s="2"/>
      <c r="E692" s="2"/>
      <c r="F692" s="2"/>
      <c r="G692" s="2"/>
      <c r="H692" s="2"/>
      <c r="I692" s="2"/>
      <c r="J692" s="2"/>
      <c r="K692" s="2"/>
      <c r="L692" s="2"/>
      <c r="M692" s="2"/>
      <c r="N692" s="2"/>
      <c r="O692" s="2"/>
      <c r="P692" s="2"/>
      <c r="Q692" s="2"/>
      <c r="R692" s="2"/>
    </row>
    <row r="693">
      <c r="A693" s="2"/>
      <c r="B693" s="2"/>
      <c r="C693" s="2"/>
      <c r="D693" s="2"/>
      <c r="E693" s="2"/>
      <c r="F693" s="2"/>
      <c r="G693" s="2"/>
      <c r="H693" s="2"/>
      <c r="I693" s="2"/>
      <c r="J693" s="2"/>
      <c r="K693" s="2"/>
      <c r="L693" s="2"/>
      <c r="M693" s="2"/>
      <c r="N693" s="2"/>
      <c r="O693" s="2"/>
      <c r="P693" s="2"/>
      <c r="Q693" s="2"/>
      <c r="R693" s="2"/>
    </row>
    <row r="694">
      <c r="A694" s="2"/>
      <c r="B694" s="2"/>
      <c r="C694" s="2"/>
      <c r="D694" s="2"/>
      <c r="E694" s="2"/>
      <c r="F694" s="2"/>
      <c r="G694" s="2"/>
      <c r="H694" s="2"/>
      <c r="I694" s="2"/>
      <c r="J694" s="2"/>
      <c r="K694" s="2"/>
      <c r="L694" s="2"/>
      <c r="M694" s="2"/>
      <c r="N694" s="2"/>
      <c r="O694" s="2"/>
      <c r="P694" s="2"/>
      <c r="Q694" s="2"/>
      <c r="R694" s="2"/>
    </row>
    <row r="695">
      <c r="A695" s="2"/>
      <c r="B695" s="2"/>
      <c r="C695" s="2"/>
      <c r="D695" s="2"/>
      <c r="E695" s="2"/>
      <c r="F695" s="2"/>
      <c r="G695" s="2"/>
      <c r="H695" s="2"/>
      <c r="I695" s="2"/>
      <c r="J695" s="2"/>
      <c r="K695" s="2"/>
      <c r="L695" s="2"/>
      <c r="M695" s="2"/>
      <c r="N695" s="2"/>
      <c r="O695" s="2"/>
      <c r="P695" s="2"/>
      <c r="Q695" s="2"/>
      <c r="R695" s="2"/>
    </row>
    <row r="696">
      <c r="A696" s="2"/>
      <c r="B696" s="2"/>
      <c r="C696" s="2"/>
      <c r="D696" s="2"/>
      <c r="E696" s="2"/>
      <c r="F696" s="2"/>
      <c r="G696" s="2"/>
      <c r="H696" s="2"/>
      <c r="I696" s="2"/>
      <c r="J696" s="2"/>
      <c r="K696" s="2"/>
      <c r="L696" s="2"/>
      <c r="M696" s="2"/>
      <c r="N696" s="2"/>
      <c r="O696" s="2"/>
      <c r="P696" s="2"/>
      <c r="Q696" s="2"/>
      <c r="R696" s="2"/>
    </row>
    <row r="697">
      <c r="A697" s="2"/>
      <c r="B697" s="2"/>
      <c r="C697" s="2"/>
      <c r="D697" s="2"/>
      <c r="E697" s="2"/>
      <c r="F697" s="2"/>
      <c r="G697" s="2"/>
      <c r="H697" s="2"/>
      <c r="I697" s="2"/>
      <c r="J697" s="2"/>
      <c r="K697" s="2"/>
      <c r="L697" s="2"/>
      <c r="M697" s="2"/>
      <c r="N697" s="2"/>
      <c r="O697" s="2"/>
      <c r="P697" s="2"/>
      <c r="Q697" s="2"/>
      <c r="R697" s="2"/>
    </row>
    <row r="698">
      <c r="A698" s="2"/>
      <c r="B698" s="2"/>
      <c r="C698" s="2"/>
      <c r="D698" s="2"/>
      <c r="E698" s="2"/>
      <c r="F698" s="2"/>
      <c r="G698" s="2"/>
      <c r="H698" s="2"/>
      <c r="I698" s="2"/>
      <c r="J698" s="2"/>
      <c r="K698" s="2"/>
      <c r="L698" s="2"/>
      <c r="M698" s="2"/>
      <c r="N698" s="2"/>
      <c r="O698" s="2"/>
      <c r="P698" s="2"/>
      <c r="Q698" s="2"/>
      <c r="R698" s="2"/>
    </row>
    <row r="699">
      <c r="A699" s="2"/>
      <c r="B699" s="2"/>
      <c r="C699" s="2"/>
      <c r="D699" s="2"/>
      <c r="E699" s="2"/>
      <c r="F699" s="2"/>
      <c r="G699" s="2"/>
      <c r="H699" s="2"/>
      <c r="I699" s="2"/>
      <c r="J699" s="2"/>
      <c r="K699" s="2"/>
      <c r="L699" s="2"/>
      <c r="M699" s="2"/>
      <c r="N699" s="2"/>
      <c r="O699" s="2"/>
      <c r="P699" s="2"/>
      <c r="Q699" s="2"/>
      <c r="R699" s="2"/>
    </row>
    <row r="700">
      <c r="A700" s="2"/>
      <c r="B700" s="2"/>
      <c r="C700" s="2"/>
      <c r="D700" s="2"/>
      <c r="E700" s="2"/>
      <c r="F700" s="2"/>
      <c r="G700" s="2"/>
      <c r="H700" s="2"/>
      <c r="I700" s="2"/>
      <c r="J700" s="2"/>
      <c r="K700" s="2"/>
      <c r="L700" s="2"/>
      <c r="M700" s="2"/>
      <c r="N700" s="2"/>
      <c r="O700" s="2"/>
      <c r="P700" s="2"/>
      <c r="Q700" s="2"/>
      <c r="R700" s="2"/>
    </row>
    <row r="701">
      <c r="A701" s="2"/>
      <c r="B701" s="2"/>
      <c r="C701" s="2"/>
      <c r="D701" s="2"/>
      <c r="E701" s="2"/>
      <c r="F701" s="2"/>
      <c r="G701" s="2"/>
      <c r="H701" s="2"/>
      <c r="I701" s="2"/>
      <c r="J701" s="2"/>
      <c r="K701" s="2"/>
      <c r="L701" s="2"/>
      <c r="M701" s="2"/>
      <c r="N701" s="2"/>
      <c r="O701" s="2"/>
      <c r="P701" s="2"/>
      <c r="Q701" s="2"/>
      <c r="R701" s="2"/>
    </row>
    <row r="702">
      <c r="A702" s="2"/>
      <c r="B702" s="2"/>
      <c r="C702" s="2"/>
      <c r="D702" s="2"/>
      <c r="E702" s="2"/>
      <c r="F702" s="2"/>
      <c r="G702" s="2"/>
      <c r="H702" s="2"/>
      <c r="I702" s="2"/>
      <c r="J702" s="2"/>
      <c r="K702" s="2"/>
      <c r="L702" s="2"/>
      <c r="M702" s="2"/>
      <c r="N702" s="2"/>
      <c r="O702" s="2"/>
      <c r="P702" s="2"/>
      <c r="Q702" s="2"/>
      <c r="R702" s="2"/>
    </row>
    <row r="703">
      <c r="A703" s="2"/>
      <c r="B703" s="2"/>
      <c r="C703" s="2"/>
      <c r="D703" s="2"/>
      <c r="E703" s="2"/>
      <c r="F703" s="2"/>
      <c r="G703" s="2"/>
      <c r="H703" s="2"/>
      <c r="I703" s="2"/>
      <c r="J703" s="2"/>
      <c r="K703" s="2"/>
      <c r="L703" s="2"/>
      <c r="M703" s="2"/>
      <c r="N703" s="2"/>
      <c r="O703" s="2"/>
      <c r="P703" s="2"/>
      <c r="Q703" s="2"/>
      <c r="R703" s="2"/>
    </row>
    <row r="704">
      <c r="A704" s="2"/>
      <c r="B704" s="2"/>
      <c r="C704" s="2"/>
      <c r="D704" s="2"/>
      <c r="E704" s="2"/>
      <c r="F704" s="2"/>
      <c r="G704" s="2"/>
      <c r="H704" s="2"/>
      <c r="I704" s="2"/>
      <c r="J704" s="2"/>
      <c r="K704" s="2"/>
      <c r="L704" s="2"/>
      <c r="M704" s="2"/>
      <c r="N704" s="2"/>
      <c r="O704" s="2"/>
      <c r="P704" s="2"/>
      <c r="Q704" s="2"/>
      <c r="R704" s="2"/>
    </row>
    <row r="705">
      <c r="A705" s="2"/>
      <c r="B705" s="2"/>
      <c r="C705" s="2"/>
      <c r="D705" s="2"/>
      <c r="E705" s="2"/>
      <c r="F705" s="2"/>
      <c r="G705" s="2"/>
      <c r="H705" s="2"/>
      <c r="I705" s="2"/>
      <c r="J705" s="2"/>
      <c r="K705" s="2"/>
      <c r="L705" s="2"/>
      <c r="M705" s="2"/>
      <c r="N705" s="2"/>
      <c r="O705" s="2"/>
      <c r="P705" s="2"/>
      <c r="Q705" s="2"/>
      <c r="R705" s="2"/>
    </row>
    <row r="706">
      <c r="A706" s="2"/>
      <c r="B706" s="2"/>
      <c r="C706" s="2"/>
      <c r="D706" s="2"/>
      <c r="E706" s="2"/>
      <c r="F706" s="2"/>
      <c r="G706" s="2"/>
      <c r="H706" s="2"/>
      <c r="I706" s="2"/>
      <c r="J706" s="2"/>
      <c r="K706" s="2"/>
      <c r="L706" s="2"/>
      <c r="M706" s="2"/>
      <c r="N706" s="2"/>
      <c r="O706" s="2"/>
      <c r="P706" s="2"/>
      <c r="Q706" s="2"/>
      <c r="R706" s="2"/>
    </row>
    <row r="707">
      <c r="A707" s="2"/>
      <c r="B707" s="2"/>
      <c r="C707" s="2"/>
      <c r="D707" s="2"/>
      <c r="E707" s="2"/>
      <c r="F707" s="2"/>
      <c r="G707" s="2"/>
      <c r="H707" s="2"/>
      <c r="I707" s="2"/>
      <c r="J707" s="2"/>
      <c r="K707" s="2"/>
      <c r="L707" s="2"/>
      <c r="M707" s="2"/>
      <c r="N707" s="2"/>
      <c r="O707" s="2"/>
      <c r="P707" s="2"/>
      <c r="Q707" s="2"/>
      <c r="R707" s="2"/>
    </row>
    <row r="708">
      <c r="A708" s="2"/>
      <c r="B708" s="2"/>
      <c r="C708" s="2"/>
      <c r="D708" s="2"/>
      <c r="E708" s="2"/>
      <c r="F708" s="2"/>
      <c r="G708" s="2"/>
      <c r="H708" s="2"/>
      <c r="I708" s="2"/>
      <c r="J708" s="2"/>
      <c r="K708" s="2"/>
      <c r="L708" s="2"/>
      <c r="M708" s="2"/>
      <c r="N708" s="2"/>
      <c r="O708" s="2"/>
      <c r="P708" s="2"/>
      <c r="Q708" s="2"/>
      <c r="R708" s="2"/>
    </row>
    <row r="709">
      <c r="A709" s="2"/>
      <c r="B709" s="2"/>
      <c r="C709" s="2"/>
      <c r="D709" s="2"/>
      <c r="E709" s="2"/>
      <c r="F709" s="2"/>
      <c r="G709" s="2"/>
      <c r="H709" s="2"/>
      <c r="I709" s="2"/>
      <c r="J709" s="2"/>
      <c r="K709" s="2"/>
      <c r="L709" s="2"/>
      <c r="M709" s="2"/>
      <c r="N709" s="2"/>
      <c r="O709" s="2"/>
      <c r="P709" s="2"/>
      <c r="Q709" s="2"/>
      <c r="R709" s="2"/>
    </row>
    <row r="710">
      <c r="A710" s="2"/>
      <c r="B710" s="2"/>
      <c r="C710" s="2"/>
      <c r="D710" s="2"/>
      <c r="E710" s="2"/>
      <c r="F710" s="2"/>
      <c r="G710" s="2"/>
      <c r="H710" s="2"/>
      <c r="I710" s="2"/>
      <c r="J710" s="2"/>
      <c r="K710" s="2"/>
      <c r="L710" s="2"/>
      <c r="M710" s="2"/>
      <c r="N710" s="2"/>
      <c r="O710" s="2"/>
      <c r="P710" s="2"/>
      <c r="Q710" s="2"/>
      <c r="R710" s="2"/>
    </row>
    <row r="711">
      <c r="A711" s="2"/>
      <c r="B711" s="2"/>
      <c r="C711" s="2"/>
      <c r="D711" s="2"/>
      <c r="E711" s="2"/>
      <c r="F711" s="2"/>
      <c r="G711" s="2"/>
      <c r="H711" s="2"/>
      <c r="I711" s="2"/>
      <c r="J711" s="2"/>
      <c r="K711" s="2"/>
      <c r="L711" s="2"/>
      <c r="M711" s="2"/>
      <c r="N711" s="2"/>
      <c r="O711" s="2"/>
      <c r="P711" s="2"/>
      <c r="Q711" s="2"/>
      <c r="R711" s="2"/>
    </row>
    <row r="712">
      <c r="A712" s="2"/>
      <c r="B712" s="2"/>
      <c r="C712" s="2"/>
      <c r="D712" s="2"/>
      <c r="E712" s="2"/>
      <c r="F712" s="2"/>
      <c r="G712" s="2"/>
      <c r="H712" s="2"/>
      <c r="I712" s="2"/>
      <c r="J712" s="2"/>
      <c r="K712" s="2"/>
      <c r="L712" s="2"/>
      <c r="M712" s="2"/>
      <c r="N712" s="2"/>
      <c r="O712" s="2"/>
      <c r="P712" s="2"/>
      <c r="Q712" s="2"/>
      <c r="R712" s="2"/>
    </row>
    <row r="713">
      <c r="A713" s="2"/>
      <c r="B713" s="2"/>
      <c r="C713" s="2"/>
      <c r="D713" s="2"/>
      <c r="E713" s="2"/>
      <c r="F713" s="2"/>
      <c r="G713" s="2"/>
      <c r="H713" s="2"/>
      <c r="I713" s="2"/>
      <c r="J713" s="2"/>
      <c r="K713" s="2"/>
      <c r="L713" s="2"/>
      <c r="M713" s="2"/>
      <c r="N713" s="2"/>
      <c r="O713" s="2"/>
      <c r="P713" s="2"/>
      <c r="Q713" s="2"/>
      <c r="R713" s="2"/>
    </row>
    <row r="714">
      <c r="A714" s="2"/>
      <c r="B714" s="2"/>
      <c r="C714" s="2"/>
      <c r="D714" s="2"/>
      <c r="E714" s="2"/>
      <c r="F714" s="2"/>
      <c r="G714" s="2"/>
      <c r="H714" s="2"/>
      <c r="I714" s="2"/>
      <c r="J714" s="2"/>
      <c r="K714" s="2"/>
      <c r="L714" s="2"/>
      <c r="M714" s="2"/>
      <c r="N714" s="2"/>
      <c r="O714" s="2"/>
      <c r="P714" s="2"/>
      <c r="Q714" s="2"/>
      <c r="R714" s="2"/>
    </row>
    <row r="715">
      <c r="A715" s="2"/>
      <c r="B715" s="2"/>
      <c r="C715" s="2"/>
      <c r="D715" s="2"/>
      <c r="E715" s="2"/>
      <c r="F715" s="2"/>
      <c r="G715" s="2"/>
      <c r="H715" s="2"/>
      <c r="I715" s="2"/>
      <c r="J715" s="2"/>
      <c r="K715" s="2"/>
      <c r="L715" s="2"/>
      <c r="M715" s="2"/>
      <c r="N715" s="2"/>
      <c r="O715" s="2"/>
      <c r="P715" s="2"/>
      <c r="Q715" s="2"/>
      <c r="R715" s="2"/>
    </row>
    <row r="716">
      <c r="A716" s="2"/>
      <c r="B716" s="2"/>
      <c r="C716" s="2"/>
      <c r="D716" s="2"/>
      <c r="E716" s="2"/>
      <c r="F716" s="2"/>
      <c r="G716" s="2"/>
      <c r="H716" s="2"/>
      <c r="I716" s="2"/>
      <c r="J716" s="2"/>
      <c r="K716" s="2"/>
      <c r="L716" s="2"/>
      <c r="M716" s="2"/>
      <c r="N716" s="2"/>
      <c r="O716" s="2"/>
      <c r="P716" s="2"/>
      <c r="Q716" s="2"/>
      <c r="R716" s="2"/>
    </row>
    <row r="717">
      <c r="A717" s="2"/>
      <c r="B717" s="2"/>
      <c r="C717" s="2"/>
      <c r="D717" s="2"/>
      <c r="E717" s="2"/>
      <c r="F717" s="2"/>
      <c r="G717" s="2"/>
      <c r="H717" s="2"/>
      <c r="I717" s="2"/>
      <c r="J717" s="2"/>
      <c r="K717" s="2"/>
      <c r="L717" s="2"/>
      <c r="M717" s="2"/>
      <c r="N717" s="2"/>
      <c r="O717" s="2"/>
      <c r="P717" s="2"/>
      <c r="Q717" s="2"/>
      <c r="R717" s="2"/>
    </row>
    <row r="718">
      <c r="A718" s="2"/>
      <c r="B718" s="2"/>
      <c r="C718" s="2"/>
      <c r="D718" s="2"/>
      <c r="E718" s="2"/>
      <c r="F718" s="2"/>
      <c r="G718" s="2"/>
      <c r="H718" s="2"/>
      <c r="I718" s="2"/>
      <c r="J718" s="2"/>
      <c r="K718" s="2"/>
      <c r="L718" s="2"/>
      <c r="M718" s="2"/>
      <c r="N718" s="2"/>
      <c r="O718" s="2"/>
      <c r="P718" s="2"/>
      <c r="Q718" s="2"/>
      <c r="R718" s="2"/>
    </row>
    <row r="719">
      <c r="A719" s="2"/>
      <c r="B719" s="2"/>
      <c r="C719" s="2"/>
      <c r="D719" s="2"/>
      <c r="E719" s="2"/>
      <c r="F719" s="2"/>
      <c r="G719" s="2"/>
      <c r="H719" s="2"/>
      <c r="I719" s="2"/>
      <c r="J719" s="2"/>
      <c r="K719" s="2"/>
      <c r="L719" s="2"/>
      <c r="M719" s="2"/>
      <c r="N719" s="2"/>
      <c r="O719" s="2"/>
      <c r="P719" s="2"/>
      <c r="Q719" s="2"/>
      <c r="R719" s="2"/>
    </row>
    <row r="720">
      <c r="A720" s="2"/>
      <c r="B720" s="2"/>
      <c r="C720" s="2"/>
      <c r="D720" s="2"/>
      <c r="E720" s="2"/>
      <c r="F720" s="2"/>
      <c r="G720" s="2"/>
      <c r="H720" s="2"/>
      <c r="I720" s="2"/>
      <c r="J720" s="2"/>
      <c r="K720" s="2"/>
      <c r="L720" s="2"/>
      <c r="M720" s="2"/>
      <c r="N720" s="2"/>
      <c r="O720" s="2"/>
      <c r="P720" s="2"/>
      <c r="Q720" s="2"/>
      <c r="R720" s="2"/>
    </row>
    <row r="721">
      <c r="A721" s="2"/>
      <c r="B721" s="2"/>
      <c r="C721" s="2"/>
      <c r="D721" s="2"/>
      <c r="E721" s="2"/>
      <c r="F721" s="2"/>
      <c r="G721" s="2"/>
      <c r="H721" s="2"/>
      <c r="I721" s="2"/>
      <c r="J721" s="2"/>
      <c r="K721" s="2"/>
      <c r="L721" s="2"/>
      <c r="M721" s="2"/>
      <c r="N721" s="2"/>
      <c r="O721" s="2"/>
      <c r="P721" s="2"/>
      <c r="Q721" s="2"/>
      <c r="R721" s="2"/>
    </row>
    <row r="722">
      <c r="A722" s="2"/>
      <c r="B722" s="2"/>
      <c r="C722" s="2"/>
      <c r="D722" s="2"/>
      <c r="E722" s="2"/>
      <c r="F722" s="2"/>
      <c r="G722" s="2"/>
      <c r="H722" s="2"/>
      <c r="I722" s="2"/>
      <c r="J722" s="2"/>
      <c r="K722" s="2"/>
      <c r="L722" s="2"/>
      <c r="M722" s="2"/>
      <c r="N722" s="2"/>
      <c r="O722" s="2"/>
      <c r="P722" s="2"/>
      <c r="Q722" s="2"/>
      <c r="R722" s="2"/>
    </row>
    <row r="723">
      <c r="A723" s="2"/>
      <c r="B723" s="2"/>
      <c r="C723" s="2"/>
      <c r="D723" s="2"/>
      <c r="E723" s="2"/>
      <c r="F723" s="2"/>
      <c r="G723" s="2"/>
      <c r="H723" s="2"/>
      <c r="I723" s="2"/>
      <c r="J723" s="2"/>
      <c r="K723" s="2"/>
      <c r="L723" s="2"/>
      <c r="M723" s="2"/>
      <c r="N723" s="2"/>
      <c r="O723" s="2"/>
      <c r="P723" s="2"/>
      <c r="Q723" s="2"/>
      <c r="R723" s="2"/>
    </row>
    <row r="724">
      <c r="A724" s="2"/>
      <c r="B724" s="2"/>
      <c r="C724" s="2"/>
      <c r="D724" s="2"/>
      <c r="E724" s="2"/>
      <c r="F724" s="2"/>
      <c r="G724" s="2"/>
      <c r="H724" s="2"/>
      <c r="I724" s="2"/>
      <c r="J724" s="2"/>
      <c r="K724" s="2"/>
      <c r="L724" s="2"/>
      <c r="M724" s="2"/>
      <c r="N724" s="2"/>
      <c r="O724" s="2"/>
      <c r="P724" s="2"/>
      <c r="Q724" s="2"/>
      <c r="R724" s="2"/>
    </row>
    <row r="725">
      <c r="A725" s="2"/>
      <c r="B725" s="2"/>
      <c r="C725" s="2"/>
      <c r="D725" s="2"/>
      <c r="E725" s="2"/>
      <c r="F725" s="2"/>
      <c r="G725" s="2"/>
      <c r="H725" s="2"/>
      <c r="I725" s="2"/>
      <c r="J725" s="2"/>
      <c r="K725" s="2"/>
      <c r="L725" s="2"/>
      <c r="M725" s="2"/>
      <c r="N725" s="2"/>
      <c r="O725" s="2"/>
      <c r="P725" s="2"/>
      <c r="Q725" s="2"/>
      <c r="R725" s="2"/>
    </row>
    <row r="726">
      <c r="A726" s="2"/>
      <c r="B726" s="2"/>
      <c r="C726" s="2"/>
      <c r="D726" s="2"/>
      <c r="E726" s="2"/>
      <c r="F726" s="2"/>
      <c r="G726" s="2"/>
      <c r="H726" s="2"/>
      <c r="I726" s="2"/>
      <c r="J726" s="2"/>
      <c r="K726" s="2"/>
      <c r="L726" s="2"/>
      <c r="M726" s="2"/>
      <c r="N726" s="2"/>
      <c r="O726" s="2"/>
      <c r="P726" s="2"/>
      <c r="Q726" s="2"/>
      <c r="R726" s="2"/>
    </row>
    <row r="727">
      <c r="A727" s="2"/>
      <c r="B727" s="2"/>
      <c r="C727" s="2"/>
      <c r="D727" s="2"/>
      <c r="E727" s="2"/>
      <c r="F727" s="2"/>
      <c r="G727" s="2"/>
      <c r="H727" s="2"/>
      <c r="I727" s="2"/>
      <c r="J727" s="2"/>
      <c r="K727" s="2"/>
      <c r="L727" s="2"/>
      <c r="M727" s="2"/>
      <c r="N727" s="2"/>
      <c r="O727" s="2"/>
      <c r="P727" s="2"/>
      <c r="Q727" s="2"/>
      <c r="R727" s="2"/>
    </row>
    <row r="728">
      <c r="A728" s="2"/>
      <c r="B728" s="2"/>
      <c r="C728" s="2"/>
      <c r="D728" s="2"/>
      <c r="E728" s="2"/>
      <c r="F728" s="2"/>
      <c r="G728" s="2"/>
      <c r="H728" s="2"/>
      <c r="I728" s="2"/>
      <c r="J728" s="2"/>
      <c r="K728" s="2"/>
      <c r="L728" s="2"/>
      <c r="M728" s="2"/>
      <c r="N728" s="2"/>
      <c r="O728" s="2"/>
      <c r="P728" s="2"/>
      <c r="Q728" s="2"/>
      <c r="R728" s="2"/>
    </row>
    <row r="729">
      <c r="A729" s="2"/>
      <c r="B729" s="2"/>
      <c r="C729" s="2"/>
      <c r="D729" s="2"/>
      <c r="E729" s="2"/>
      <c r="F729" s="2"/>
      <c r="G729" s="2"/>
      <c r="H729" s="2"/>
      <c r="I729" s="2"/>
      <c r="J729" s="2"/>
      <c r="K729" s="2"/>
      <c r="L729" s="2"/>
      <c r="M729" s="2"/>
      <c r="N729" s="2"/>
      <c r="O729" s="2"/>
      <c r="P729" s="2"/>
      <c r="Q729" s="2"/>
      <c r="R729" s="2"/>
    </row>
    <row r="730">
      <c r="A730" s="2"/>
      <c r="B730" s="2"/>
      <c r="C730" s="2"/>
      <c r="D730" s="2"/>
      <c r="E730" s="2"/>
      <c r="F730" s="2"/>
      <c r="G730" s="2"/>
      <c r="H730" s="2"/>
      <c r="I730" s="2"/>
      <c r="J730" s="2"/>
      <c r="K730" s="2"/>
      <c r="L730" s="2"/>
      <c r="M730" s="2"/>
      <c r="N730" s="2"/>
      <c r="O730" s="2"/>
      <c r="P730" s="2"/>
      <c r="Q730" s="2"/>
      <c r="R730" s="2"/>
    </row>
    <row r="731">
      <c r="A731" s="2"/>
      <c r="B731" s="2"/>
      <c r="C731" s="2"/>
      <c r="D731" s="2"/>
      <c r="E731" s="2"/>
      <c r="F731" s="2"/>
      <c r="G731" s="2"/>
      <c r="H731" s="2"/>
      <c r="I731" s="2"/>
      <c r="J731" s="2"/>
      <c r="K731" s="2"/>
      <c r="L731" s="2"/>
      <c r="M731" s="2"/>
      <c r="N731" s="2"/>
      <c r="O731" s="2"/>
      <c r="P731" s="2"/>
      <c r="Q731" s="2"/>
      <c r="R731" s="2"/>
    </row>
    <row r="732">
      <c r="A732" s="2"/>
      <c r="B732" s="2"/>
      <c r="C732" s="2"/>
      <c r="D732" s="2"/>
      <c r="E732" s="2"/>
      <c r="F732" s="2"/>
      <c r="G732" s="2"/>
      <c r="H732" s="2"/>
      <c r="I732" s="2"/>
      <c r="J732" s="2"/>
      <c r="K732" s="2"/>
      <c r="L732" s="2"/>
      <c r="M732" s="2"/>
      <c r="N732" s="2"/>
      <c r="O732" s="2"/>
      <c r="P732" s="2"/>
      <c r="Q732" s="2"/>
      <c r="R732" s="2"/>
    </row>
    <row r="733">
      <c r="A733" s="2"/>
      <c r="B733" s="2"/>
      <c r="C733" s="2"/>
      <c r="D733" s="2"/>
      <c r="E733" s="2"/>
      <c r="F733" s="2"/>
      <c r="G733" s="2"/>
      <c r="H733" s="2"/>
      <c r="I733" s="2"/>
      <c r="J733" s="2"/>
      <c r="K733" s="2"/>
      <c r="L733" s="2"/>
      <c r="M733" s="2"/>
      <c r="N733" s="2"/>
      <c r="O733" s="2"/>
      <c r="P733" s="2"/>
      <c r="Q733" s="2"/>
      <c r="R733" s="2"/>
    </row>
    <row r="734">
      <c r="A734" s="2"/>
      <c r="B734" s="2"/>
      <c r="C734" s="2"/>
      <c r="D734" s="2"/>
      <c r="E734" s="2"/>
      <c r="F734" s="2"/>
      <c r="G734" s="2"/>
      <c r="H734" s="2"/>
      <c r="I734" s="2"/>
      <c r="J734" s="2"/>
      <c r="K734" s="2"/>
      <c r="L734" s="2"/>
      <c r="M734" s="2"/>
      <c r="N734" s="2"/>
      <c r="O734" s="2"/>
      <c r="P734" s="2"/>
      <c r="Q734" s="2"/>
      <c r="R734" s="2"/>
    </row>
    <row r="735">
      <c r="A735" s="2"/>
      <c r="B735" s="2"/>
      <c r="C735" s="2"/>
      <c r="D735" s="2"/>
      <c r="E735" s="2"/>
      <c r="F735" s="2"/>
      <c r="G735" s="2"/>
      <c r="H735" s="2"/>
      <c r="I735" s="2"/>
      <c r="J735" s="2"/>
      <c r="K735" s="2"/>
      <c r="L735" s="2"/>
      <c r="M735" s="2"/>
      <c r="N735" s="2"/>
      <c r="O735" s="2"/>
      <c r="P735" s="2"/>
      <c r="Q735" s="2"/>
      <c r="R735" s="2"/>
    </row>
    <row r="736">
      <c r="A736" s="2"/>
      <c r="B736" s="2"/>
      <c r="C736" s="2"/>
      <c r="D736" s="2"/>
      <c r="E736" s="2"/>
      <c r="F736" s="2"/>
      <c r="G736" s="2"/>
      <c r="H736" s="2"/>
      <c r="I736" s="2"/>
      <c r="J736" s="2"/>
      <c r="K736" s="2"/>
      <c r="L736" s="2"/>
      <c r="M736" s="2"/>
      <c r="N736" s="2"/>
      <c r="O736" s="2"/>
      <c r="P736" s="2"/>
      <c r="Q736" s="2"/>
      <c r="R736" s="2"/>
    </row>
    <row r="737">
      <c r="A737" s="2"/>
      <c r="B737" s="2"/>
      <c r="C737" s="2"/>
      <c r="D737" s="2"/>
      <c r="E737" s="2"/>
      <c r="F737" s="2"/>
      <c r="G737" s="2"/>
      <c r="H737" s="2"/>
      <c r="I737" s="2"/>
      <c r="J737" s="2"/>
      <c r="K737" s="2"/>
      <c r="L737" s="2"/>
      <c r="M737" s="2"/>
      <c r="N737" s="2"/>
      <c r="O737" s="2"/>
      <c r="P737" s="2"/>
      <c r="Q737" s="2"/>
      <c r="R737" s="2"/>
    </row>
    <row r="738">
      <c r="A738" s="2"/>
      <c r="B738" s="2"/>
      <c r="C738" s="2"/>
      <c r="D738" s="2"/>
      <c r="E738" s="2"/>
      <c r="F738" s="2"/>
      <c r="G738" s="2"/>
      <c r="H738" s="2"/>
      <c r="I738" s="2"/>
      <c r="J738" s="2"/>
      <c r="K738" s="2"/>
      <c r="L738" s="2"/>
      <c r="M738" s="2"/>
      <c r="N738" s="2"/>
      <c r="O738" s="2"/>
      <c r="P738" s="2"/>
      <c r="Q738" s="2"/>
      <c r="R738" s="2"/>
    </row>
    <row r="739">
      <c r="A739" s="2"/>
      <c r="B739" s="2"/>
      <c r="C739" s="2"/>
      <c r="D739" s="2"/>
      <c r="E739" s="2"/>
      <c r="F739" s="2"/>
      <c r="G739" s="2"/>
      <c r="H739" s="2"/>
      <c r="I739" s="2"/>
      <c r="J739" s="2"/>
      <c r="K739" s="2"/>
      <c r="L739" s="2"/>
      <c r="M739" s="2"/>
      <c r="N739" s="2"/>
      <c r="O739" s="2"/>
      <c r="P739" s="2"/>
      <c r="Q739" s="2"/>
      <c r="R739" s="2"/>
    </row>
    <row r="740">
      <c r="A740" s="2"/>
      <c r="B740" s="2"/>
      <c r="C740" s="2"/>
      <c r="D740" s="2"/>
      <c r="E740" s="2"/>
      <c r="F740" s="2"/>
      <c r="G740" s="2"/>
      <c r="H740" s="2"/>
      <c r="I740" s="2"/>
      <c r="J740" s="2"/>
      <c r="K740" s="2"/>
      <c r="L740" s="2"/>
      <c r="M740" s="2"/>
      <c r="N740" s="2"/>
      <c r="O740" s="2"/>
      <c r="P740" s="2"/>
      <c r="Q740" s="2"/>
      <c r="R740" s="2"/>
    </row>
    <row r="741">
      <c r="A741" s="2"/>
      <c r="B741" s="2"/>
      <c r="C741" s="2"/>
      <c r="D741" s="2"/>
      <c r="E741" s="2"/>
      <c r="F741" s="2"/>
      <c r="G741" s="2"/>
      <c r="H741" s="2"/>
      <c r="I741" s="2"/>
      <c r="J741" s="2"/>
      <c r="K741" s="2"/>
      <c r="L741" s="2"/>
      <c r="M741" s="2"/>
      <c r="N741" s="2"/>
      <c r="O741" s="2"/>
      <c r="P741" s="2"/>
      <c r="Q741" s="2"/>
      <c r="R741" s="2"/>
    </row>
    <row r="742">
      <c r="A742" s="2"/>
      <c r="B742" s="2"/>
      <c r="C742" s="2"/>
      <c r="D742" s="2"/>
      <c r="E742" s="2"/>
      <c r="F742" s="2"/>
      <c r="G742" s="2"/>
      <c r="H742" s="2"/>
      <c r="I742" s="2"/>
      <c r="J742" s="2"/>
      <c r="K742" s="2"/>
      <c r="L742" s="2"/>
      <c r="M742" s="2"/>
      <c r="N742" s="2"/>
      <c r="O742" s="2"/>
      <c r="P742" s="2"/>
      <c r="Q742" s="2"/>
      <c r="R742" s="2"/>
    </row>
    <row r="743">
      <c r="A743" s="2"/>
      <c r="B743" s="2"/>
      <c r="C743" s="2"/>
      <c r="D743" s="2"/>
      <c r="E743" s="2"/>
      <c r="F743" s="2"/>
      <c r="G743" s="2"/>
      <c r="H743" s="2"/>
      <c r="I743" s="2"/>
      <c r="J743" s="2"/>
      <c r="K743" s="2"/>
      <c r="L743" s="2"/>
      <c r="M743" s="2"/>
      <c r="N743" s="2"/>
      <c r="O743" s="2"/>
      <c r="P743" s="2"/>
      <c r="Q743" s="2"/>
      <c r="R743" s="2"/>
    </row>
    <row r="744">
      <c r="A744" s="2"/>
      <c r="B744" s="2"/>
      <c r="C744" s="2"/>
      <c r="D744" s="2"/>
      <c r="E744" s="2"/>
      <c r="F744" s="2"/>
      <c r="G744" s="2"/>
      <c r="H744" s="2"/>
      <c r="I744" s="2"/>
      <c r="J744" s="2"/>
      <c r="K744" s="2"/>
      <c r="L744" s="2"/>
      <c r="M744" s="2"/>
      <c r="N744" s="2"/>
      <c r="O744" s="2"/>
      <c r="P744" s="2"/>
      <c r="Q744" s="2"/>
      <c r="R744" s="2"/>
    </row>
    <row r="745">
      <c r="A745" s="2"/>
      <c r="B745" s="2"/>
      <c r="C745" s="2"/>
      <c r="D745" s="2"/>
      <c r="E745" s="2"/>
      <c r="F745" s="2"/>
      <c r="G745" s="2"/>
      <c r="H745" s="2"/>
      <c r="I745" s="2"/>
      <c r="J745" s="2"/>
      <c r="K745" s="2"/>
      <c r="L745" s="2"/>
      <c r="M745" s="2"/>
      <c r="N745" s="2"/>
      <c r="O745" s="2"/>
      <c r="P745" s="2"/>
      <c r="Q745" s="2"/>
      <c r="R745" s="2"/>
    </row>
    <row r="746">
      <c r="A746" s="2"/>
      <c r="B746" s="2"/>
      <c r="C746" s="2"/>
      <c r="D746" s="2"/>
      <c r="E746" s="2"/>
      <c r="F746" s="2"/>
      <c r="G746" s="2"/>
      <c r="H746" s="2"/>
      <c r="I746" s="2"/>
      <c r="J746" s="2"/>
      <c r="K746" s="2"/>
      <c r="L746" s="2"/>
      <c r="M746" s="2"/>
      <c r="N746" s="2"/>
      <c r="O746" s="2"/>
      <c r="P746" s="2"/>
      <c r="Q746" s="2"/>
      <c r="R746" s="2"/>
    </row>
    <row r="747">
      <c r="A747" s="2"/>
      <c r="B747" s="2"/>
      <c r="C747" s="2"/>
      <c r="D747" s="2"/>
      <c r="E747" s="2"/>
      <c r="F747" s="2"/>
      <c r="G747" s="2"/>
      <c r="H747" s="2"/>
      <c r="I747" s="2"/>
      <c r="J747" s="2"/>
      <c r="K747" s="2"/>
      <c r="L747" s="2"/>
      <c r="M747" s="2"/>
      <c r="N747" s="2"/>
      <c r="O747" s="2"/>
      <c r="P747" s="2"/>
      <c r="Q747" s="2"/>
      <c r="R747" s="2"/>
    </row>
    <row r="748">
      <c r="A748" s="2"/>
      <c r="B748" s="2"/>
      <c r="C748" s="2"/>
      <c r="D748" s="2"/>
      <c r="E748" s="2"/>
      <c r="F748" s="2"/>
      <c r="G748" s="2"/>
      <c r="H748" s="2"/>
      <c r="I748" s="2"/>
      <c r="J748" s="2"/>
      <c r="K748" s="2"/>
      <c r="L748" s="2"/>
      <c r="M748" s="2"/>
      <c r="N748" s="2"/>
      <c r="O748" s="2"/>
      <c r="P748" s="2"/>
      <c r="Q748" s="2"/>
      <c r="R748" s="2"/>
    </row>
    <row r="749">
      <c r="A749" s="2"/>
      <c r="B749" s="2"/>
      <c r="C749" s="2"/>
      <c r="D749" s="2"/>
      <c r="E749" s="2"/>
      <c r="F749" s="2"/>
      <c r="G749" s="2"/>
      <c r="H749" s="2"/>
      <c r="I749" s="2"/>
      <c r="J749" s="2"/>
      <c r="K749" s="2"/>
      <c r="L749" s="2"/>
      <c r="M749" s="2"/>
      <c r="N749" s="2"/>
      <c r="O749" s="2"/>
      <c r="P749" s="2"/>
      <c r="Q749" s="2"/>
      <c r="R749" s="2"/>
    </row>
    <row r="750">
      <c r="A750" s="2"/>
      <c r="B750" s="2"/>
      <c r="C750" s="2"/>
      <c r="D750" s="2"/>
      <c r="E750" s="2"/>
      <c r="F750" s="2"/>
      <c r="G750" s="2"/>
      <c r="H750" s="2"/>
      <c r="I750" s="2"/>
      <c r="J750" s="2"/>
      <c r="K750" s="2"/>
      <c r="L750" s="2"/>
      <c r="M750" s="2"/>
      <c r="N750" s="2"/>
      <c r="O750" s="2"/>
      <c r="P750" s="2"/>
      <c r="Q750" s="2"/>
      <c r="R750" s="2"/>
    </row>
    <row r="751">
      <c r="A751" s="2"/>
      <c r="B751" s="2"/>
      <c r="C751" s="2"/>
      <c r="D751" s="2"/>
      <c r="E751" s="2"/>
      <c r="F751" s="2"/>
      <c r="G751" s="2"/>
      <c r="H751" s="2"/>
      <c r="I751" s="2"/>
      <c r="J751" s="2"/>
      <c r="K751" s="2"/>
      <c r="L751" s="2"/>
      <c r="M751" s="2"/>
      <c r="N751" s="2"/>
      <c r="O751" s="2"/>
      <c r="P751" s="2"/>
      <c r="Q751" s="2"/>
      <c r="R751" s="2"/>
    </row>
    <row r="752">
      <c r="A752" s="2"/>
      <c r="B752" s="2"/>
      <c r="C752" s="2"/>
      <c r="D752" s="2"/>
      <c r="E752" s="2"/>
      <c r="F752" s="2"/>
      <c r="G752" s="2"/>
      <c r="H752" s="2"/>
      <c r="I752" s="2"/>
      <c r="J752" s="2"/>
      <c r="K752" s="2"/>
      <c r="L752" s="2"/>
      <c r="M752" s="2"/>
      <c r="N752" s="2"/>
      <c r="O752" s="2"/>
      <c r="P752" s="2"/>
      <c r="Q752" s="2"/>
      <c r="R752" s="2"/>
    </row>
    <row r="753">
      <c r="A753" s="2"/>
      <c r="B753" s="2"/>
      <c r="C753" s="2"/>
      <c r="D753" s="2"/>
      <c r="E753" s="2"/>
      <c r="F753" s="2"/>
      <c r="G753" s="2"/>
      <c r="H753" s="2"/>
      <c r="I753" s="2"/>
      <c r="J753" s="2"/>
      <c r="K753" s="2"/>
      <c r="L753" s="2"/>
      <c r="M753" s="2"/>
      <c r="N753" s="2"/>
      <c r="O753" s="2"/>
      <c r="P753" s="2"/>
      <c r="Q753" s="2"/>
      <c r="R753" s="2"/>
    </row>
    <row r="754">
      <c r="A754" s="2"/>
      <c r="B754" s="2"/>
      <c r="C754" s="2"/>
      <c r="D754" s="2"/>
      <c r="E754" s="2"/>
      <c r="F754" s="2"/>
      <c r="G754" s="2"/>
      <c r="H754" s="2"/>
      <c r="I754" s="2"/>
      <c r="J754" s="2"/>
      <c r="K754" s="2"/>
      <c r="L754" s="2"/>
      <c r="M754" s="2"/>
      <c r="N754" s="2"/>
      <c r="O754" s="2"/>
      <c r="P754" s="2"/>
      <c r="Q754" s="2"/>
      <c r="R754" s="2"/>
    </row>
    <row r="755">
      <c r="A755" s="2"/>
      <c r="B755" s="2"/>
      <c r="C755" s="2"/>
      <c r="D755" s="2"/>
      <c r="E755" s="2"/>
      <c r="F755" s="2"/>
      <c r="G755" s="2"/>
      <c r="H755" s="2"/>
      <c r="I755" s="2"/>
      <c r="J755" s="2"/>
      <c r="K755" s="2"/>
      <c r="L755" s="2"/>
      <c r="M755" s="2"/>
      <c r="N755" s="2"/>
      <c r="O755" s="2"/>
      <c r="P755" s="2"/>
      <c r="Q755" s="2"/>
      <c r="R755" s="2"/>
    </row>
    <row r="756">
      <c r="A756" s="2"/>
      <c r="B756" s="2"/>
      <c r="C756" s="2"/>
      <c r="D756" s="2"/>
      <c r="E756" s="2"/>
      <c r="F756" s="2"/>
      <c r="G756" s="2"/>
      <c r="H756" s="2"/>
      <c r="I756" s="2"/>
      <c r="J756" s="2"/>
      <c r="K756" s="2"/>
      <c r="L756" s="2"/>
      <c r="M756" s="2"/>
      <c r="N756" s="2"/>
      <c r="O756" s="2"/>
      <c r="P756" s="2"/>
      <c r="Q756" s="2"/>
      <c r="R756" s="2"/>
    </row>
    <row r="757">
      <c r="A757" s="2"/>
      <c r="B757" s="2"/>
      <c r="C757" s="2"/>
      <c r="D757" s="2"/>
      <c r="E757" s="2"/>
      <c r="F757" s="2"/>
      <c r="G757" s="2"/>
      <c r="H757" s="2"/>
      <c r="I757" s="2"/>
      <c r="J757" s="2"/>
      <c r="K757" s="2"/>
      <c r="L757" s="2"/>
      <c r="M757" s="2"/>
      <c r="N757" s="2"/>
      <c r="O757" s="2"/>
      <c r="P757" s="2"/>
      <c r="Q757" s="2"/>
      <c r="R757" s="2"/>
    </row>
    <row r="758">
      <c r="A758" s="2"/>
      <c r="B758" s="2"/>
      <c r="C758" s="2"/>
      <c r="D758" s="2"/>
      <c r="E758" s="2"/>
      <c r="F758" s="2"/>
      <c r="G758" s="2"/>
      <c r="H758" s="2"/>
      <c r="I758" s="2"/>
      <c r="J758" s="2"/>
      <c r="K758" s="2"/>
      <c r="L758" s="2"/>
      <c r="M758" s="2"/>
      <c r="N758" s="2"/>
      <c r="O758" s="2"/>
      <c r="P758" s="2"/>
      <c r="Q758" s="2"/>
      <c r="R758" s="2"/>
    </row>
    <row r="759">
      <c r="A759" s="2"/>
      <c r="B759" s="2"/>
      <c r="C759" s="2"/>
      <c r="D759" s="2"/>
      <c r="E759" s="2"/>
      <c r="F759" s="2"/>
      <c r="G759" s="2"/>
      <c r="H759" s="2"/>
      <c r="I759" s="2"/>
      <c r="J759" s="2"/>
      <c r="K759" s="2"/>
      <c r="L759" s="2"/>
      <c r="M759" s="2"/>
      <c r="N759" s="2"/>
      <c r="O759" s="2"/>
      <c r="P759" s="2"/>
      <c r="Q759" s="2"/>
      <c r="R759" s="2"/>
    </row>
    <row r="760">
      <c r="A760" s="2"/>
      <c r="B760" s="2"/>
      <c r="C760" s="2"/>
      <c r="D760" s="2"/>
      <c r="E760" s="2"/>
      <c r="F760" s="2"/>
      <c r="G760" s="2"/>
      <c r="H760" s="2"/>
      <c r="I760" s="2"/>
      <c r="J760" s="2"/>
      <c r="K760" s="2"/>
      <c r="L760" s="2"/>
      <c r="M760" s="2"/>
      <c r="N760" s="2"/>
      <c r="O760" s="2"/>
      <c r="P760" s="2"/>
      <c r="Q760" s="2"/>
      <c r="R760" s="2"/>
    </row>
    <row r="761">
      <c r="A761" s="2"/>
      <c r="B761" s="2"/>
      <c r="C761" s="2"/>
      <c r="D761" s="2"/>
      <c r="E761" s="2"/>
      <c r="F761" s="2"/>
      <c r="G761" s="2"/>
      <c r="H761" s="2"/>
      <c r="I761" s="2"/>
      <c r="J761" s="2"/>
      <c r="K761" s="2"/>
      <c r="L761" s="2"/>
      <c r="M761" s="2"/>
      <c r="N761" s="2"/>
      <c r="O761" s="2"/>
      <c r="P761" s="2"/>
      <c r="Q761" s="2"/>
      <c r="R761" s="2"/>
    </row>
    <row r="762">
      <c r="A762" s="2"/>
      <c r="B762" s="2"/>
      <c r="C762" s="2"/>
      <c r="D762" s="2"/>
      <c r="E762" s="2"/>
      <c r="F762" s="2"/>
      <c r="G762" s="2"/>
      <c r="H762" s="2"/>
      <c r="I762" s="2"/>
      <c r="J762" s="2"/>
      <c r="K762" s="2"/>
      <c r="L762" s="2"/>
      <c r="M762" s="2"/>
      <c r="N762" s="2"/>
      <c r="O762" s="2"/>
      <c r="P762" s="2"/>
      <c r="Q762" s="2"/>
      <c r="R762" s="2"/>
    </row>
    <row r="763">
      <c r="A763" s="2"/>
      <c r="B763" s="2"/>
      <c r="C763" s="2"/>
      <c r="D763" s="2"/>
      <c r="E763" s="2"/>
      <c r="F763" s="2"/>
      <c r="G763" s="2"/>
      <c r="H763" s="2"/>
      <c r="I763" s="2"/>
      <c r="J763" s="2"/>
      <c r="K763" s="2"/>
      <c r="L763" s="2"/>
      <c r="M763" s="2"/>
      <c r="N763" s="2"/>
      <c r="O763" s="2"/>
      <c r="P763" s="2"/>
      <c r="Q763" s="2"/>
      <c r="R763" s="2"/>
    </row>
    <row r="764">
      <c r="A764" s="2"/>
      <c r="B764" s="2"/>
      <c r="C764" s="2"/>
      <c r="D764" s="2"/>
      <c r="E764" s="2"/>
      <c r="F764" s="2"/>
      <c r="G764" s="2"/>
      <c r="H764" s="2"/>
      <c r="I764" s="2"/>
      <c r="J764" s="2"/>
      <c r="K764" s="2"/>
      <c r="L764" s="2"/>
      <c r="M764" s="2"/>
      <c r="N764" s="2"/>
      <c r="O764" s="2"/>
      <c r="P764" s="2"/>
      <c r="Q764" s="2"/>
      <c r="R764" s="2"/>
    </row>
    <row r="765">
      <c r="A765" s="2"/>
      <c r="B765" s="2"/>
      <c r="C765" s="2"/>
      <c r="D765" s="2"/>
      <c r="E765" s="2"/>
      <c r="F765" s="2"/>
      <c r="G765" s="2"/>
      <c r="H765" s="2"/>
      <c r="I765" s="2"/>
      <c r="J765" s="2"/>
      <c r="K765" s="2"/>
      <c r="L765" s="2"/>
      <c r="M765" s="2"/>
      <c r="N765" s="2"/>
      <c r="O765" s="2"/>
      <c r="P765" s="2"/>
      <c r="Q765" s="2"/>
      <c r="R765" s="2"/>
    </row>
    <row r="766">
      <c r="A766" s="2"/>
      <c r="B766" s="2"/>
      <c r="C766" s="2"/>
      <c r="D766" s="2"/>
      <c r="E766" s="2"/>
      <c r="F766" s="2"/>
      <c r="G766" s="2"/>
      <c r="H766" s="2"/>
      <c r="I766" s="2"/>
      <c r="J766" s="2"/>
      <c r="K766" s="2"/>
      <c r="L766" s="2"/>
      <c r="M766" s="2"/>
      <c r="N766" s="2"/>
      <c r="O766" s="2"/>
      <c r="P766" s="2"/>
      <c r="Q766" s="2"/>
      <c r="R766" s="2"/>
    </row>
    <row r="767">
      <c r="A767" s="2"/>
      <c r="B767" s="2"/>
      <c r="C767" s="2"/>
      <c r="D767" s="2"/>
      <c r="E767" s="2"/>
      <c r="F767" s="2"/>
      <c r="G767" s="2"/>
      <c r="H767" s="2"/>
      <c r="I767" s="2"/>
      <c r="J767" s="2"/>
      <c r="K767" s="2"/>
      <c r="L767" s="2"/>
      <c r="M767" s="2"/>
      <c r="N767" s="2"/>
      <c r="O767" s="2"/>
      <c r="P767" s="2"/>
      <c r="Q767" s="2"/>
      <c r="R767" s="2"/>
    </row>
    <row r="768">
      <c r="A768" s="2"/>
      <c r="B768" s="2"/>
      <c r="C768" s="2"/>
      <c r="D768" s="2"/>
      <c r="E768" s="2"/>
      <c r="F768" s="2"/>
      <c r="G768" s="2"/>
      <c r="H768" s="2"/>
      <c r="I768" s="2"/>
      <c r="J768" s="2"/>
      <c r="K768" s="2"/>
      <c r="L768" s="2"/>
      <c r="M768" s="2"/>
      <c r="N768" s="2"/>
      <c r="O768" s="2"/>
      <c r="P768" s="2"/>
      <c r="Q768" s="2"/>
      <c r="R768" s="2"/>
    </row>
    <row r="769">
      <c r="A769" s="2"/>
      <c r="B769" s="2"/>
      <c r="C769" s="2"/>
      <c r="D769" s="2"/>
      <c r="E769" s="2"/>
      <c r="F769" s="2"/>
      <c r="G769" s="2"/>
      <c r="H769" s="2"/>
      <c r="I769" s="2"/>
      <c r="J769" s="2"/>
      <c r="K769" s="2"/>
      <c r="L769" s="2"/>
      <c r="M769" s="2"/>
      <c r="N769" s="2"/>
      <c r="O769" s="2"/>
      <c r="P769" s="2"/>
      <c r="Q769" s="2"/>
      <c r="R769" s="2"/>
    </row>
    <row r="770">
      <c r="A770" s="2"/>
      <c r="B770" s="2"/>
      <c r="C770" s="2"/>
      <c r="D770" s="2"/>
      <c r="E770" s="2"/>
      <c r="F770" s="2"/>
      <c r="G770" s="2"/>
      <c r="H770" s="2"/>
      <c r="I770" s="2"/>
      <c r="J770" s="2"/>
      <c r="K770" s="2"/>
      <c r="L770" s="2"/>
      <c r="M770" s="2"/>
      <c r="N770" s="2"/>
      <c r="O770" s="2"/>
      <c r="P770" s="2"/>
      <c r="Q770" s="2"/>
      <c r="R770" s="2"/>
    </row>
    <row r="771">
      <c r="A771" s="2"/>
      <c r="B771" s="2"/>
      <c r="C771" s="2"/>
      <c r="D771" s="2"/>
      <c r="E771" s="2"/>
      <c r="F771" s="2"/>
      <c r="G771" s="2"/>
      <c r="H771" s="2"/>
      <c r="I771" s="2"/>
      <c r="J771" s="2"/>
      <c r="K771" s="2"/>
      <c r="L771" s="2"/>
      <c r="M771" s="2"/>
      <c r="N771" s="2"/>
      <c r="O771" s="2"/>
      <c r="P771" s="2"/>
      <c r="Q771" s="2"/>
      <c r="R771" s="2"/>
    </row>
    <row r="772">
      <c r="A772" s="2"/>
      <c r="B772" s="2"/>
      <c r="C772" s="2"/>
      <c r="D772" s="2"/>
      <c r="E772" s="2"/>
      <c r="F772" s="2"/>
      <c r="G772" s="2"/>
      <c r="H772" s="2"/>
      <c r="I772" s="2"/>
      <c r="J772" s="2"/>
      <c r="K772" s="2"/>
      <c r="L772" s="2"/>
      <c r="M772" s="2"/>
      <c r="N772" s="2"/>
      <c r="O772" s="2"/>
      <c r="P772" s="2"/>
      <c r="Q772" s="2"/>
      <c r="R772" s="2"/>
    </row>
    <row r="773">
      <c r="A773" s="2"/>
      <c r="B773" s="2"/>
      <c r="C773" s="2"/>
      <c r="D773" s="2"/>
      <c r="E773" s="2"/>
      <c r="F773" s="2"/>
      <c r="G773" s="2"/>
      <c r="H773" s="2"/>
      <c r="I773" s="2"/>
      <c r="J773" s="2"/>
      <c r="K773" s="2"/>
      <c r="L773" s="2"/>
      <c r="M773" s="2"/>
      <c r="N773" s="2"/>
      <c r="O773" s="2"/>
      <c r="P773" s="2"/>
      <c r="Q773" s="2"/>
      <c r="R773" s="2"/>
    </row>
    <row r="774">
      <c r="A774" s="2"/>
      <c r="B774" s="2"/>
      <c r="C774" s="2"/>
      <c r="D774" s="2"/>
      <c r="E774" s="2"/>
      <c r="F774" s="2"/>
      <c r="G774" s="2"/>
      <c r="H774" s="2"/>
      <c r="I774" s="2"/>
      <c r="J774" s="2"/>
      <c r="K774" s="2"/>
      <c r="L774" s="2"/>
      <c r="M774" s="2"/>
      <c r="N774" s="2"/>
      <c r="O774" s="2"/>
      <c r="P774" s="2"/>
      <c r="Q774" s="2"/>
      <c r="R774" s="2"/>
    </row>
    <row r="775">
      <c r="A775" s="2"/>
      <c r="B775" s="2"/>
      <c r="C775" s="2"/>
      <c r="D775" s="2"/>
      <c r="E775" s="2"/>
      <c r="F775" s="2"/>
      <c r="G775" s="2"/>
      <c r="H775" s="2"/>
      <c r="I775" s="2"/>
      <c r="J775" s="2"/>
      <c r="K775" s="2"/>
      <c r="L775" s="2"/>
      <c r="M775" s="2"/>
      <c r="N775" s="2"/>
      <c r="O775" s="2"/>
      <c r="P775" s="2"/>
      <c r="Q775" s="2"/>
      <c r="R775" s="2"/>
    </row>
    <row r="776">
      <c r="A776" s="2"/>
      <c r="B776" s="2"/>
      <c r="C776" s="2"/>
      <c r="D776" s="2"/>
      <c r="E776" s="2"/>
      <c r="F776" s="2"/>
      <c r="G776" s="2"/>
      <c r="H776" s="2"/>
      <c r="I776" s="2"/>
      <c r="J776" s="2"/>
      <c r="K776" s="2"/>
      <c r="L776" s="2"/>
      <c r="M776" s="2"/>
      <c r="N776" s="2"/>
      <c r="O776" s="2"/>
      <c r="P776" s="2"/>
      <c r="Q776" s="2"/>
      <c r="R776" s="2"/>
    </row>
    <row r="777">
      <c r="A777" s="2"/>
      <c r="B777" s="2"/>
      <c r="C777" s="2"/>
      <c r="D777" s="2"/>
      <c r="E777" s="2"/>
      <c r="F777" s="2"/>
      <c r="G777" s="2"/>
      <c r="H777" s="2"/>
      <c r="I777" s="2"/>
      <c r="J777" s="2"/>
      <c r="K777" s="2"/>
      <c r="L777" s="2"/>
      <c r="M777" s="2"/>
      <c r="N777" s="2"/>
      <c r="O777" s="2"/>
      <c r="P777" s="2"/>
      <c r="Q777" s="2"/>
      <c r="R777" s="2"/>
    </row>
    <row r="778">
      <c r="A778" s="2"/>
      <c r="B778" s="2"/>
      <c r="C778" s="2"/>
      <c r="D778" s="2"/>
      <c r="E778" s="2"/>
      <c r="F778" s="2"/>
      <c r="G778" s="2"/>
      <c r="H778" s="2"/>
      <c r="I778" s="2"/>
      <c r="J778" s="2"/>
      <c r="K778" s="2"/>
      <c r="L778" s="2"/>
      <c r="M778" s="2"/>
      <c r="N778" s="2"/>
      <c r="O778" s="2"/>
      <c r="P778" s="2"/>
      <c r="Q778" s="2"/>
      <c r="R778" s="2"/>
    </row>
    <row r="779">
      <c r="A779" s="2"/>
      <c r="B779" s="2"/>
      <c r="C779" s="2"/>
      <c r="D779" s="2"/>
      <c r="E779" s="2"/>
      <c r="F779" s="2"/>
      <c r="G779" s="2"/>
      <c r="H779" s="2"/>
      <c r="I779" s="2"/>
      <c r="J779" s="2"/>
      <c r="K779" s="2"/>
      <c r="L779" s="2"/>
      <c r="M779" s="2"/>
      <c r="N779" s="2"/>
      <c r="O779" s="2"/>
      <c r="P779" s="2"/>
      <c r="Q779" s="2"/>
      <c r="R779" s="2"/>
    </row>
    <row r="780">
      <c r="A780" s="2"/>
      <c r="B780" s="2"/>
      <c r="C780" s="2"/>
      <c r="D780" s="2"/>
      <c r="E780" s="2"/>
      <c r="F780" s="2"/>
      <c r="G780" s="2"/>
      <c r="H780" s="2"/>
      <c r="I780" s="2"/>
      <c r="J780" s="2"/>
      <c r="K780" s="2"/>
      <c r="L780" s="2"/>
      <c r="M780" s="2"/>
      <c r="N780" s="2"/>
      <c r="O780" s="2"/>
      <c r="P780" s="2"/>
      <c r="Q780" s="2"/>
      <c r="R780" s="2"/>
    </row>
    <row r="781">
      <c r="A781" s="2"/>
      <c r="B781" s="2"/>
      <c r="C781" s="2"/>
      <c r="D781" s="2"/>
      <c r="E781" s="2"/>
      <c r="F781" s="2"/>
      <c r="G781" s="2"/>
      <c r="H781" s="2"/>
      <c r="I781" s="2"/>
      <c r="J781" s="2"/>
      <c r="K781" s="2"/>
      <c r="L781" s="2"/>
      <c r="M781" s="2"/>
      <c r="N781" s="2"/>
      <c r="O781" s="2"/>
      <c r="P781" s="2"/>
      <c r="Q781" s="2"/>
      <c r="R781" s="2"/>
    </row>
    <row r="782">
      <c r="A782" s="2"/>
      <c r="B782" s="2"/>
      <c r="C782" s="2"/>
      <c r="D782" s="2"/>
      <c r="E782" s="2"/>
      <c r="F782" s="2"/>
      <c r="G782" s="2"/>
      <c r="H782" s="2"/>
      <c r="I782" s="2"/>
      <c r="J782" s="2"/>
      <c r="K782" s="2"/>
      <c r="L782" s="2"/>
      <c r="M782" s="2"/>
      <c r="N782" s="2"/>
      <c r="O782" s="2"/>
      <c r="P782" s="2"/>
      <c r="Q782" s="2"/>
      <c r="R782" s="2"/>
    </row>
    <row r="783">
      <c r="A783" s="2"/>
      <c r="B783" s="2"/>
      <c r="C783" s="2"/>
      <c r="D783" s="2"/>
      <c r="E783" s="2"/>
      <c r="F783" s="2"/>
      <c r="G783" s="2"/>
      <c r="H783" s="2"/>
      <c r="I783" s="2"/>
      <c r="J783" s="2"/>
      <c r="K783" s="2"/>
      <c r="L783" s="2"/>
      <c r="M783" s="2"/>
      <c r="N783" s="2"/>
      <c r="O783" s="2"/>
      <c r="P783" s="2"/>
      <c r="Q783" s="2"/>
      <c r="R783" s="2"/>
    </row>
    <row r="784">
      <c r="A784" s="2"/>
      <c r="B784" s="2"/>
      <c r="C784" s="2"/>
      <c r="D784" s="2"/>
      <c r="E784" s="2"/>
      <c r="F784" s="2"/>
      <c r="G784" s="2"/>
      <c r="H784" s="2"/>
      <c r="I784" s="2"/>
      <c r="J784" s="2"/>
      <c r="K784" s="2"/>
      <c r="L784" s="2"/>
      <c r="M784" s="2"/>
      <c r="N784" s="2"/>
      <c r="O784" s="2"/>
      <c r="P784" s="2"/>
      <c r="Q784" s="2"/>
      <c r="R784" s="2"/>
    </row>
    <row r="785">
      <c r="A785" s="2"/>
      <c r="B785" s="2"/>
      <c r="C785" s="2"/>
      <c r="D785" s="2"/>
      <c r="E785" s="2"/>
      <c r="F785" s="2"/>
      <c r="G785" s="2"/>
      <c r="H785" s="2"/>
      <c r="I785" s="2"/>
      <c r="J785" s="2"/>
      <c r="K785" s="2"/>
      <c r="L785" s="2"/>
      <c r="M785" s="2"/>
      <c r="N785" s="2"/>
      <c r="O785" s="2"/>
      <c r="P785" s="2"/>
      <c r="Q785" s="2"/>
      <c r="R785" s="2"/>
    </row>
    <row r="786">
      <c r="A786" s="2"/>
      <c r="B786" s="2"/>
      <c r="C786" s="2"/>
      <c r="D786" s="2"/>
      <c r="E786" s="2"/>
      <c r="F786" s="2"/>
      <c r="G786" s="2"/>
      <c r="H786" s="2"/>
      <c r="I786" s="2"/>
      <c r="J786" s="2"/>
      <c r="K786" s="2"/>
      <c r="L786" s="2"/>
      <c r="M786" s="2"/>
      <c r="N786" s="2"/>
      <c r="O786" s="2"/>
      <c r="P786" s="2"/>
      <c r="Q786" s="2"/>
      <c r="R786" s="2"/>
    </row>
    <row r="787">
      <c r="A787" s="2"/>
      <c r="B787" s="2"/>
      <c r="C787" s="2"/>
      <c r="D787" s="2"/>
      <c r="E787" s="2"/>
      <c r="F787" s="2"/>
      <c r="G787" s="2"/>
      <c r="H787" s="2"/>
      <c r="I787" s="2"/>
      <c r="J787" s="2"/>
      <c r="K787" s="2"/>
      <c r="L787" s="2"/>
      <c r="M787" s="2"/>
      <c r="N787" s="2"/>
      <c r="O787" s="2"/>
      <c r="P787" s="2"/>
      <c r="Q787" s="2"/>
      <c r="R787" s="2"/>
    </row>
    <row r="788">
      <c r="A788" s="2"/>
      <c r="B788" s="2"/>
      <c r="C788" s="2"/>
      <c r="D788" s="2"/>
      <c r="E788" s="2"/>
      <c r="F788" s="2"/>
      <c r="G788" s="2"/>
      <c r="H788" s="2"/>
      <c r="I788" s="2"/>
      <c r="J788" s="2"/>
      <c r="K788" s="2"/>
      <c r="L788" s="2"/>
      <c r="M788" s="2"/>
      <c r="N788" s="2"/>
      <c r="O788" s="2"/>
      <c r="P788" s="2"/>
      <c r="Q788" s="2"/>
      <c r="R788" s="2"/>
    </row>
    <row r="789">
      <c r="A789" s="2"/>
      <c r="B789" s="2"/>
      <c r="C789" s="2"/>
      <c r="D789" s="2"/>
      <c r="E789" s="2"/>
      <c r="F789" s="2"/>
      <c r="G789" s="2"/>
      <c r="H789" s="2"/>
      <c r="I789" s="2"/>
      <c r="J789" s="2"/>
      <c r="K789" s="2"/>
      <c r="L789" s="2"/>
      <c r="M789" s="2"/>
      <c r="N789" s="2"/>
      <c r="O789" s="2"/>
      <c r="P789" s="2"/>
      <c r="Q789" s="2"/>
      <c r="R789" s="2"/>
    </row>
    <row r="790">
      <c r="A790" s="2"/>
      <c r="B790" s="2"/>
      <c r="C790" s="2"/>
      <c r="D790" s="2"/>
      <c r="E790" s="2"/>
      <c r="F790" s="2"/>
      <c r="G790" s="2"/>
      <c r="H790" s="2"/>
      <c r="I790" s="2"/>
      <c r="J790" s="2"/>
      <c r="K790" s="2"/>
      <c r="L790" s="2"/>
      <c r="M790" s="2"/>
      <c r="N790" s="2"/>
      <c r="O790" s="2"/>
      <c r="P790" s="2"/>
      <c r="Q790" s="2"/>
      <c r="R790" s="2"/>
    </row>
    <row r="791">
      <c r="A791" s="2"/>
      <c r="B791" s="2"/>
      <c r="C791" s="2"/>
      <c r="D791" s="2"/>
      <c r="E791" s="2"/>
      <c r="F791" s="2"/>
      <c r="G791" s="2"/>
      <c r="H791" s="2"/>
      <c r="I791" s="2"/>
      <c r="J791" s="2"/>
      <c r="K791" s="2"/>
      <c r="L791" s="2"/>
      <c r="M791" s="2"/>
      <c r="N791" s="2"/>
      <c r="O791" s="2"/>
      <c r="P791" s="2"/>
      <c r="Q791" s="2"/>
      <c r="R791" s="2"/>
    </row>
    <row r="792">
      <c r="A792" s="2"/>
      <c r="B792" s="2"/>
      <c r="C792" s="2"/>
      <c r="D792" s="2"/>
      <c r="E792" s="2"/>
      <c r="F792" s="2"/>
      <c r="G792" s="2"/>
      <c r="H792" s="2"/>
      <c r="I792" s="2"/>
      <c r="J792" s="2"/>
      <c r="K792" s="2"/>
      <c r="L792" s="2"/>
      <c r="M792" s="2"/>
      <c r="N792" s="2"/>
      <c r="O792" s="2"/>
      <c r="P792" s="2"/>
      <c r="Q792" s="2"/>
      <c r="R792" s="2"/>
    </row>
    <row r="793">
      <c r="A793" s="2"/>
      <c r="B793" s="2"/>
      <c r="C793" s="2"/>
      <c r="D793" s="2"/>
      <c r="E793" s="2"/>
      <c r="F793" s="2"/>
      <c r="G793" s="2"/>
      <c r="H793" s="2"/>
      <c r="I793" s="2"/>
      <c r="J793" s="2"/>
      <c r="K793" s="2"/>
      <c r="L793" s="2"/>
      <c r="M793" s="2"/>
      <c r="N793" s="2"/>
      <c r="O793" s="2"/>
      <c r="P793" s="2"/>
      <c r="Q793" s="2"/>
      <c r="R793" s="2"/>
    </row>
    <row r="794">
      <c r="A794" s="2"/>
      <c r="B794" s="2"/>
      <c r="C794" s="2"/>
      <c r="D794" s="2"/>
      <c r="E794" s="2"/>
      <c r="F794" s="2"/>
      <c r="G794" s="2"/>
      <c r="H794" s="2"/>
      <c r="I794" s="2"/>
      <c r="J794" s="2"/>
      <c r="K794" s="2"/>
      <c r="L794" s="2"/>
      <c r="M794" s="2"/>
      <c r="N794" s="2"/>
      <c r="O794" s="2"/>
      <c r="P794" s="2"/>
      <c r="Q794" s="2"/>
      <c r="R794" s="2"/>
    </row>
    <row r="795">
      <c r="A795" s="2"/>
      <c r="B795" s="2"/>
      <c r="C795" s="2"/>
      <c r="D795" s="2"/>
      <c r="E795" s="2"/>
      <c r="F795" s="2"/>
      <c r="G795" s="2"/>
      <c r="H795" s="2"/>
      <c r="I795" s="2"/>
      <c r="J795" s="2"/>
      <c r="K795" s="2"/>
      <c r="L795" s="2"/>
      <c r="M795" s="2"/>
      <c r="N795" s="2"/>
      <c r="O795" s="2"/>
      <c r="P795" s="2"/>
      <c r="Q795" s="2"/>
      <c r="R795" s="2"/>
    </row>
    <row r="796">
      <c r="A796" s="2"/>
      <c r="B796" s="2"/>
      <c r="C796" s="2"/>
      <c r="D796" s="2"/>
      <c r="E796" s="2"/>
      <c r="F796" s="2"/>
      <c r="G796" s="2"/>
      <c r="H796" s="2"/>
      <c r="I796" s="2"/>
      <c r="J796" s="2"/>
      <c r="K796" s="2"/>
      <c r="L796" s="2"/>
      <c r="M796" s="2"/>
      <c r="N796" s="2"/>
      <c r="O796" s="2"/>
      <c r="P796" s="2"/>
      <c r="Q796" s="2"/>
      <c r="R796" s="2"/>
    </row>
    <row r="797">
      <c r="A797" s="2"/>
      <c r="B797" s="2"/>
      <c r="C797" s="2"/>
      <c r="D797" s="2"/>
      <c r="E797" s="2"/>
      <c r="F797" s="2"/>
      <c r="G797" s="2"/>
      <c r="H797" s="2"/>
      <c r="I797" s="2"/>
      <c r="J797" s="2"/>
      <c r="K797" s="2"/>
      <c r="L797" s="2"/>
      <c r="M797" s="2"/>
      <c r="N797" s="2"/>
      <c r="O797" s="2"/>
      <c r="P797" s="2"/>
      <c r="Q797" s="2"/>
      <c r="R797" s="2"/>
    </row>
    <row r="798">
      <c r="A798" s="2"/>
      <c r="B798" s="2"/>
      <c r="C798" s="2"/>
      <c r="D798" s="2"/>
      <c r="E798" s="2"/>
      <c r="F798" s="2"/>
      <c r="G798" s="2"/>
      <c r="H798" s="2"/>
      <c r="I798" s="2"/>
      <c r="J798" s="2"/>
      <c r="K798" s="2"/>
      <c r="L798" s="2"/>
      <c r="M798" s="2"/>
      <c r="N798" s="2"/>
      <c r="O798" s="2"/>
      <c r="P798" s="2"/>
      <c r="Q798" s="2"/>
      <c r="R798" s="2"/>
    </row>
    <row r="799">
      <c r="A799" s="2"/>
      <c r="B799" s="2"/>
      <c r="C799" s="2"/>
      <c r="D799" s="2"/>
      <c r="E799" s="2"/>
      <c r="F799" s="2"/>
      <c r="G799" s="2"/>
      <c r="H799" s="2"/>
      <c r="I799" s="2"/>
      <c r="J799" s="2"/>
      <c r="K799" s="2"/>
      <c r="L799" s="2"/>
      <c r="M799" s="2"/>
      <c r="N799" s="2"/>
      <c r="O799" s="2"/>
      <c r="P799" s="2"/>
      <c r="Q799" s="2"/>
      <c r="R799" s="2"/>
    </row>
    <row r="800">
      <c r="A800" s="2"/>
      <c r="B800" s="2"/>
      <c r="C800" s="2"/>
      <c r="D800" s="2"/>
      <c r="E800" s="2"/>
      <c r="F800" s="2"/>
      <c r="G800" s="2"/>
      <c r="H800" s="2"/>
      <c r="I800" s="2"/>
      <c r="J800" s="2"/>
      <c r="K800" s="2"/>
      <c r="L800" s="2"/>
      <c r="M800" s="2"/>
      <c r="N800" s="2"/>
      <c r="O800" s="2"/>
      <c r="P800" s="2"/>
      <c r="Q800" s="2"/>
      <c r="R800" s="2"/>
    </row>
    <row r="801">
      <c r="A801" s="2"/>
      <c r="B801" s="2"/>
      <c r="C801" s="2"/>
      <c r="D801" s="2"/>
      <c r="E801" s="2"/>
      <c r="F801" s="2"/>
      <c r="G801" s="2"/>
      <c r="H801" s="2"/>
      <c r="I801" s="2"/>
      <c r="J801" s="2"/>
      <c r="K801" s="2"/>
      <c r="L801" s="2"/>
      <c r="M801" s="2"/>
      <c r="N801" s="2"/>
      <c r="O801" s="2"/>
      <c r="P801" s="2"/>
      <c r="Q801" s="2"/>
      <c r="R801" s="2"/>
    </row>
    <row r="802">
      <c r="A802" s="2"/>
      <c r="B802" s="2"/>
      <c r="C802" s="2"/>
      <c r="D802" s="2"/>
      <c r="E802" s="2"/>
      <c r="F802" s="2"/>
      <c r="G802" s="2"/>
      <c r="H802" s="2"/>
      <c r="I802" s="2"/>
      <c r="J802" s="2"/>
      <c r="K802" s="2"/>
      <c r="L802" s="2"/>
      <c r="M802" s="2"/>
      <c r="N802" s="2"/>
      <c r="O802" s="2"/>
      <c r="P802" s="2"/>
      <c r="Q802" s="2"/>
      <c r="R802" s="2"/>
    </row>
    <row r="803">
      <c r="A803" s="2"/>
      <c r="B803" s="2"/>
      <c r="C803" s="2"/>
      <c r="D803" s="2"/>
      <c r="E803" s="2"/>
      <c r="F803" s="2"/>
      <c r="G803" s="2"/>
      <c r="H803" s="2"/>
      <c r="I803" s="2"/>
      <c r="J803" s="2"/>
      <c r="K803" s="2"/>
      <c r="L803" s="2"/>
      <c r="M803" s="2"/>
      <c r="N803" s="2"/>
      <c r="O803" s="2"/>
      <c r="P803" s="2"/>
      <c r="Q803" s="2"/>
      <c r="R803" s="2"/>
    </row>
    <row r="804">
      <c r="A804" s="2"/>
      <c r="B804" s="2"/>
      <c r="C804" s="2"/>
      <c r="D804" s="2"/>
      <c r="E804" s="2"/>
      <c r="F804" s="2"/>
      <c r="G804" s="2"/>
      <c r="H804" s="2"/>
      <c r="I804" s="2"/>
      <c r="J804" s="2"/>
      <c r="K804" s="2"/>
      <c r="L804" s="2"/>
      <c r="M804" s="2"/>
      <c r="N804" s="2"/>
      <c r="O804" s="2"/>
      <c r="P804" s="2"/>
      <c r="Q804" s="2"/>
      <c r="R804" s="2"/>
    </row>
    <row r="805">
      <c r="A805" s="2"/>
      <c r="B805" s="2"/>
      <c r="C805" s="2"/>
      <c r="D805" s="2"/>
      <c r="E805" s="2"/>
      <c r="F805" s="2"/>
      <c r="G805" s="2"/>
      <c r="H805" s="2"/>
      <c r="I805" s="2"/>
      <c r="J805" s="2"/>
      <c r="K805" s="2"/>
      <c r="L805" s="2"/>
      <c r="M805" s="2"/>
      <c r="N805" s="2"/>
      <c r="O805" s="2"/>
      <c r="P805" s="2"/>
      <c r="Q805" s="2"/>
      <c r="R805" s="2"/>
    </row>
    <row r="806">
      <c r="A806" s="2"/>
      <c r="B806" s="2"/>
      <c r="C806" s="2"/>
      <c r="D806" s="2"/>
      <c r="E806" s="2"/>
      <c r="F806" s="2"/>
      <c r="G806" s="2"/>
      <c r="H806" s="2"/>
      <c r="I806" s="2"/>
      <c r="J806" s="2"/>
      <c r="K806" s="2"/>
      <c r="L806" s="2"/>
      <c r="M806" s="2"/>
      <c r="N806" s="2"/>
      <c r="O806" s="2"/>
      <c r="P806" s="2"/>
      <c r="Q806" s="2"/>
      <c r="R806" s="2"/>
    </row>
    <row r="807">
      <c r="A807" s="2"/>
      <c r="B807" s="2"/>
      <c r="C807" s="2"/>
      <c r="D807" s="2"/>
      <c r="E807" s="2"/>
      <c r="F807" s="2"/>
      <c r="G807" s="2"/>
      <c r="H807" s="2"/>
      <c r="I807" s="2"/>
      <c r="J807" s="2"/>
      <c r="K807" s="2"/>
      <c r="L807" s="2"/>
      <c r="M807" s="2"/>
      <c r="N807" s="2"/>
      <c r="O807" s="2"/>
      <c r="P807" s="2"/>
      <c r="Q807" s="2"/>
      <c r="R807" s="2"/>
    </row>
    <row r="808">
      <c r="A808" s="2"/>
      <c r="B808" s="2"/>
      <c r="C808" s="2"/>
      <c r="D808" s="2"/>
      <c r="E808" s="2"/>
      <c r="F808" s="2"/>
      <c r="G808" s="2"/>
      <c r="H808" s="2"/>
      <c r="I808" s="2"/>
      <c r="J808" s="2"/>
      <c r="K808" s="2"/>
      <c r="L808" s="2"/>
      <c r="M808" s="2"/>
      <c r="N808" s="2"/>
      <c r="O808" s="2"/>
      <c r="P808" s="2"/>
      <c r="Q808" s="2"/>
      <c r="R808" s="2"/>
    </row>
    <row r="809">
      <c r="A809" s="2"/>
      <c r="B809" s="2"/>
      <c r="C809" s="2"/>
      <c r="D809" s="2"/>
      <c r="E809" s="2"/>
      <c r="F809" s="2"/>
      <c r="G809" s="2"/>
      <c r="H809" s="2"/>
      <c r="I809" s="2"/>
      <c r="J809" s="2"/>
      <c r="K809" s="2"/>
      <c r="L809" s="2"/>
      <c r="M809" s="2"/>
      <c r="N809" s="2"/>
      <c r="O809" s="2"/>
      <c r="P809" s="2"/>
      <c r="Q809" s="2"/>
      <c r="R809" s="2"/>
    </row>
    <row r="810">
      <c r="A810" s="2"/>
      <c r="B810" s="2"/>
      <c r="C810" s="2"/>
      <c r="D810" s="2"/>
      <c r="E810" s="2"/>
      <c r="F810" s="2"/>
      <c r="G810" s="2"/>
      <c r="H810" s="2"/>
      <c r="I810" s="2"/>
      <c r="J810" s="2"/>
      <c r="K810" s="2"/>
      <c r="L810" s="2"/>
      <c r="M810" s="2"/>
      <c r="N810" s="2"/>
      <c r="O810" s="2"/>
      <c r="P810" s="2"/>
      <c r="Q810" s="2"/>
      <c r="R810" s="2"/>
    </row>
    <row r="811">
      <c r="A811" s="2"/>
      <c r="B811" s="2"/>
      <c r="C811" s="2"/>
      <c r="D811" s="2"/>
      <c r="E811" s="2"/>
      <c r="F811" s="2"/>
      <c r="G811" s="2"/>
      <c r="H811" s="2"/>
      <c r="I811" s="2"/>
      <c r="J811" s="2"/>
      <c r="K811" s="2"/>
      <c r="L811" s="2"/>
      <c r="M811" s="2"/>
      <c r="N811" s="2"/>
      <c r="O811" s="2"/>
      <c r="P811" s="2"/>
      <c r="Q811" s="2"/>
      <c r="R811" s="2"/>
    </row>
    <row r="812">
      <c r="A812" s="2"/>
      <c r="B812" s="2"/>
      <c r="C812" s="2"/>
      <c r="D812" s="2"/>
      <c r="E812" s="2"/>
      <c r="F812" s="2"/>
      <c r="G812" s="2"/>
      <c r="H812" s="2"/>
      <c r="I812" s="2"/>
      <c r="J812" s="2"/>
      <c r="K812" s="2"/>
      <c r="L812" s="2"/>
      <c r="M812" s="2"/>
      <c r="N812" s="2"/>
      <c r="O812" s="2"/>
      <c r="P812" s="2"/>
      <c r="Q812" s="2"/>
      <c r="R812" s="2"/>
    </row>
    <row r="813">
      <c r="A813" s="2"/>
      <c r="B813" s="2"/>
      <c r="C813" s="2"/>
      <c r="D813" s="2"/>
      <c r="E813" s="2"/>
      <c r="F813" s="2"/>
      <c r="G813" s="2"/>
      <c r="H813" s="2"/>
      <c r="I813" s="2"/>
      <c r="J813" s="2"/>
      <c r="K813" s="2"/>
      <c r="L813" s="2"/>
      <c r="M813" s="2"/>
      <c r="N813" s="2"/>
      <c r="O813" s="2"/>
      <c r="P813" s="2"/>
      <c r="Q813" s="2"/>
      <c r="R813" s="2"/>
    </row>
    <row r="814">
      <c r="A814" s="2"/>
      <c r="B814" s="2"/>
      <c r="C814" s="2"/>
      <c r="D814" s="2"/>
      <c r="E814" s="2"/>
      <c r="F814" s="2"/>
      <c r="G814" s="2"/>
      <c r="H814" s="2"/>
      <c r="I814" s="2"/>
      <c r="J814" s="2"/>
      <c r="K814" s="2"/>
      <c r="L814" s="2"/>
      <c r="M814" s="2"/>
      <c r="N814" s="2"/>
      <c r="O814" s="2"/>
      <c r="P814" s="2"/>
      <c r="Q814" s="2"/>
      <c r="R814" s="2"/>
    </row>
    <row r="815">
      <c r="A815" s="2"/>
      <c r="B815" s="2"/>
      <c r="C815" s="2"/>
      <c r="D815" s="2"/>
      <c r="E815" s="2"/>
      <c r="F815" s="2"/>
      <c r="G815" s="2"/>
      <c r="H815" s="2"/>
      <c r="I815" s="2"/>
      <c r="J815" s="2"/>
      <c r="K815" s="2"/>
      <c r="L815" s="2"/>
      <c r="M815" s="2"/>
      <c r="N815" s="2"/>
      <c r="O815" s="2"/>
      <c r="P815" s="2"/>
      <c r="Q815" s="2"/>
      <c r="R815" s="2"/>
    </row>
    <row r="816">
      <c r="A816" s="2"/>
      <c r="B816" s="2"/>
      <c r="C816" s="2"/>
      <c r="D816" s="2"/>
      <c r="E816" s="2"/>
      <c r="F816" s="2"/>
      <c r="G816" s="2"/>
      <c r="H816" s="2"/>
      <c r="I816" s="2"/>
      <c r="J816" s="2"/>
      <c r="K816" s="2"/>
      <c r="L816" s="2"/>
      <c r="M816" s="2"/>
      <c r="N816" s="2"/>
      <c r="O816" s="2"/>
      <c r="P816" s="2"/>
      <c r="Q816" s="2"/>
      <c r="R816" s="2"/>
    </row>
    <row r="817">
      <c r="A817" s="2"/>
      <c r="B817" s="2"/>
      <c r="C817" s="2"/>
      <c r="D817" s="2"/>
      <c r="E817" s="2"/>
      <c r="F817" s="2"/>
      <c r="G817" s="2"/>
      <c r="H817" s="2"/>
      <c r="I817" s="2"/>
      <c r="J817" s="2"/>
      <c r="K817" s="2"/>
      <c r="L817" s="2"/>
      <c r="M817" s="2"/>
      <c r="N817" s="2"/>
      <c r="O817" s="2"/>
      <c r="P817" s="2"/>
      <c r="Q817" s="2"/>
      <c r="R817" s="2"/>
    </row>
    <row r="818">
      <c r="A818" s="2"/>
      <c r="B818" s="2"/>
      <c r="C818" s="2"/>
      <c r="D818" s="2"/>
      <c r="E818" s="2"/>
      <c r="F818" s="2"/>
      <c r="G818" s="2"/>
      <c r="H818" s="2"/>
      <c r="I818" s="2"/>
      <c r="J818" s="2"/>
      <c r="K818" s="2"/>
      <c r="L818" s="2"/>
      <c r="M818" s="2"/>
      <c r="N818" s="2"/>
      <c r="O818" s="2"/>
      <c r="P818" s="2"/>
      <c r="Q818" s="2"/>
      <c r="R818" s="2"/>
    </row>
    <row r="819">
      <c r="A819" s="2"/>
      <c r="B819" s="2"/>
      <c r="C819" s="2"/>
      <c r="D819" s="2"/>
      <c r="E819" s="2"/>
      <c r="F819" s="2"/>
      <c r="G819" s="2"/>
      <c r="H819" s="2"/>
      <c r="I819" s="2"/>
      <c r="J819" s="2"/>
      <c r="K819" s="2"/>
      <c r="L819" s="2"/>
      <c r="M819" s="2"/>
      <c r="N819" s="2"/>
      <c r="O819" s="2"/>
      <c r="P819" s="2"/>
      <c r="Q819" s="2"/>
      <c r="R819" s="2"/>
    </row>
    <row r="820">
      <c r="A820" s="2"/>
      <c r="B820" s="2"/>
      <c r="C820" s="2"/>
      <c r="D820" s="2"/>
      <c r="E820" s="2"/>
      <c r="F820" s="2"/>
      <c r="G820" s="2"/>
      <c r="H820" s="2"/>
      <c r="I820" s="2"/>
      <c r="J820" s="2"/>
      <c r="K820" s="2"/>
      <c r="L820" s="2"/>
      <c r="M820" s="2"/>
      <c r="N820" s="2"/>
      <c r="O820" s="2"/>
      <c r="P820" s="2"/>
      <c r="Q820" s="2"/>
      <c r="R820" s="2"/>
    </row>
    <row r="821">
      <c r="A821" s="2"/>
      <c r="B821" s="2"/>
      <c r="C821" s="2"/>
      <c r="D821" s="2"/>
      <c r="E821" s="2"/>
      <c r="F821" s="2"/>
      <c r="G821" s="2"/>
      <c r="H821" s="2"/>
      <c r="I821" s="2"/>
      <c r="J821" s="2"/>
      <c r="K821" s="2"/>
      <c r="L821" s="2"/>
      <c r="M821" s="2"/>
      <c r="N821" s="2"/>
      <c r="O821" s="2"/>
      <c r="P821" s="2"/>
      <c r="Q821" s="2"/>
      <c r="R821" s="2"/>
    </row>
    <row r="822">
      <c r="A822" s="2"/>
      <c r="B822" s="2"/>
      <c r="C822" s="2"/>
      <c r="D822" s="2"/>
      <c r="E822" s="2"/>
      <c r="F822" s="2"/>
      <c r="G822" s="2"/>
      <c r="H822" s="2"/>
      <c r="I822" s="2"/>
      <c r="J822" s="2"/>
      <c r="K822" s="2"/>
      <c r="L822" s="2"/>
      <c r="M822" s="2"/>
      <c r="N822" s="2"/>
      <c r="O822" s="2"/>
      <c r="P822" s="2"/>
      <c r="Q822" s="2"/>
      <c r="R822" s="2"/>
    </row>
    <row r="823">
      <c r="A823" s="2"/>
      <c r="B823" s="2"/>
      <c r="C823" s="2"/>
      <c r="D823" s="2"/>
      <c r="E823" s="2"/>
      <c r="F823" s="2"/>
      <c r="G823" s="2"/>
      <c r="H823" s="2"/>
      <c r="I823" s="2"/>
      <c r="J823" s="2"/>
      <c r="K823" s="2"/>
      <c r="L823" s="2"/>
      <c r="M823" s="2"/>
      <c r="N823" s="2"/>
      <c r="O823" s="2"/>
      <c r="P823" s="2"/>
      <c r="Q823" s="2"/>
      <c r="R823" s="2"/>
    </row>
    <row r="824">
      <c r="A824" s="2"/>
      <c r="B824" s="2"/>
      <c r="C824" s="2"/>
      <c r="D824" s="2"/>
      <c r="E824" s="2"/>
      <c r="F824" s="2"/>
      <c r="G824" s="2"/>
      <c r="H824" s="2"/>
      <c r="I824" s="2"/>
      <c r="J824" s="2"/>
      <c r="K824" s="2"/>
      <c r="L824" s="2"/>
      <c r="M824" s="2"/>
      <c r="N824" s="2"/>
      <c r="O824" s="2"/>
      <c r="P824" s="2"/>
      <c r="Q824" s="2"/>
      <c r="R824" s="2"/>
    </row>
    <row r="825">
      <c r="A825" s="2"/>
      <c r="B825" s="2"/>
      <c r="C825" s="2"/>
      <c r="D825" s="2"/>
      <c r="E825" s="2"/>
      <c r="F825" s="2"/>
      <c r="G825" s="2"/>
      <c r="H825" s="2"/>
      <c r="I825" s="2"/>
      <c r="J825" s="2"/>
      <c r="K825" s="2"/>
      <c r="L825" s="2"/>
      <c r="M825" s="2"/>
      <c r="N825" s="2"/>
      <c r="O825" s="2"/>
      <c r="P825" s="2"/>
      <c r="Q825" s="2"/>
      <c r="R825" s="2"/>
    </row>
    <row r="826">
      <c r="A826" s="2"/>
      <c r="B826" s="2"/>
      <c r="C826" s="2"/>
      <c r="D826" s="2"/>
      <c r="E826" s="2"/>
      <c r="F826" s="2"/>
      <c r="G826" s="2"/>
      <c r="H826" s="2"/>
      <c r="I826" s="2"/>
      <c r="J826" s="2"/>
      <c r="K826" s="2"/>
      <c r="L826" s="2"/>
      <c r="M826" s="2"/>
      <c r="N826" s="2"/>
      <c r="O826" s="2"/>
      <c r="P826" s="2"/>
      <c r="Q826" s="2"/>
      <c r="R826" s="2"/>
    </row>
    <row r="827">
      <c r="A827" s="2"/>
      <c r="B827" s="2"/>
      <c r="C827" s="2"/>
      <c r="D827" s="2"/>
      <c r="E827" s="2"/>
      <c r="F827" s="2"/>
      <c r="G827" s="2"/>
      <c r="H827" s="2"/>
      <c r="I827" s="2"/>
      <c r="J827" s="2"/>
      <c r="K827" s="2"/>
      <c r="L827" s="2"/>
      <c r="M827" s="2"/>
      <c r="N827" s="2"/>
      <c r="O827" s="2"/>
      <c r="P827" s="2"/>
      <c r="Q827" s="2"/>
      <c r="R827" s="2"/>
    </row>
    <row r="828">
      <c r="A828" s="2"/>
      <c r="B828" s="2"/>
      <c r="C828" s="2"/>
      <c r="D828" s="2"/>
      <c r="E828" s="2"/>
      <c r="F828" s="2"/>
      <c r="G828" s="2"/>
      <c r="H828" s="2"/>
      <c r="I828" s="2"/>
      <c r="J828" s="2"/>
      <c r="K828" s="2"/>
      <c r="L828" s="2"/>
      <c r="M828" s="2"/>
      <c r="N828" s="2"/>
      <c r="O828" s="2"/>
      <c r="P828" s="2"/>
      <c r="Q828" s="2"/>
      <c r="R828" s="2"/>
    </row>
    <row r="829">
      <c r="A829" s="2"/>
      <c r="B829" s="2"/>
      <c r="C829" s="2"/>
      <c r="D829" s="2"/>
      <c r="E829" s="2"/>
      <c r="F829" s="2"/>
      <c r="G829" s="2"/>
      <c r="H829" s="2"/>
      <c r="I829" s="2"/>
      <c r="J829" s="2"/>
      <c r="K829" s="2"/>
      <c r="L829" s="2"/>
      <c r="M829" s="2"/>
      <c r="N829" s="2"/>
      <c r="O829" s="2"/>
      <c r="P829" s="2"/>
      <c r="Q829" s="2"/>
      <c r="R829" s="2"/>
    </row>
    <row r="830">
      <c r="A830" s="2"/>
      <c r="B830" s="2"/>
      <c r="C830" s="2"/>
      <c r="D830" s="2"/>
      <c r="E830" s="2"/>
      <c r="F830" s="2"/>
      <c r="G830" s="2"/>
      <c r="H830" s="2"/>
      <c r="I830" s="2"/>
      <c r="J830" s="2"/>
      <c r="K830" s="2"/>
      <c r="L830" s="2"/>
      <c r="M830" s="2"/>
      <c r="N830" s="2"/>
      <c r="O830" s="2"/>
      <c r="P830" s="2"/>
      <c r="Q830" s="2"/>
      <c r="R830" s="2"/>
    </row>
    <row r="831">
      <c r="A831" s="2"/>
      <c r="B831" s="2"/>
      <c r="C831" s="2"/>
      <c r="D831" s="2"/>
      <c r="E831" s="2"/>
      <c r="F831" s="2"/>
      <c r="G831" s="2"/>
      <c r="H831" s="2"/>
      <c r="I831" s="2"/>
      <c r="J831" s="2"/>
      <c r="K831" s="2"/>
      <c r="L831" s="2"/>
      <c r="M831" s="2"/>
      <c r="N831" s="2"/>
      <c r="O831" s="2"/>
      <c r="P831" s="2"/>
      <c r="Q831" s="2"/>
      <c r="R831" s="2"/>
    </row>
    <row r="832">
      <c r="A832" s="2"/>
      <c r="B832" s="2"/>
      <c r="C832" s="2"/>
      <c r="D832" s="2"/>
      <c r="E832" s="2"/>
      <c r="F832" s="2"/>
      <c r="G832" s="2"/>
      <c r="H832" s="2"/>
      <c r="I832" s="2"/>
      <c r="J832" s="2"/>
      <c r="K832" s="2"/>
      <c r="L832" s="2"/>
      <c r="M832" s="2"/>
      <c r="N832" s="2"/>
      <c r="O832" s="2"/>
      <c r="P832" s="2"/>
      <c r="Q832" s="2"/>
      <c r="R832" s="2"/>
    </row>
    <row r="833">
      <c r="A833" s="2"/>
      <c r="B833" s="2"/>
      <c r="C833" s="2"/>
      <c r="D833" s="2"/>
      <c r="E833" s="2"/>
      <c r="F833" s="2"/>
      <c r="G833" s="2"/>
      <c r="H833" s="2"/>
      <c r="I833" s="2"/>
      <c r="J833" s="2"/>
      <c r="K833" s="2"/>
      <c r="L833" s="2"/>
      <c r="M833" s="2"/>
      <c r="N833" s="2"/>
      <c r="O833" s="2"/>
      <c r="P833" s="2"/>
      <c r="Q833" s="2"/>
      <c r="R833" s="2"/>
    </row>
    <row r="834">
      <c r="A834" s="2"/>
      <c r="B834" s="2"/>
      <c r="C834" s="2"/>
      <c r="D834" s="2"/>
      <c r="E834" s="2"/>
      <c r="F834" s="2"/>
      <c r="G834" s="2"/>
      <c r="H834" s="2"/>
      <c r="I834" s="2"/>
      <c r="J834" s="2"/>
      <c r="K834" s="2"/>
      <c r="L834" s="2"/>
      <c r="M834" s="2"/>
      <c r="N834" s="2"/>
      <c r="O834" s="2"/>
      <c r="P834" s="2"/>
      <c r="Q834" s="2"/>
      <c r="R834" s="2"/>
    </row>
    <row r="835">
      <c r="A835" s="2"/>
      <c r="B835" s="2"/>
      <c r="C835" s="2"/>
      <c r="D835" s="2"/>
      <c r="E835" s="2"/>
      <c r="F835" s="2"/>
      <c r="G835" s="2"/>
      <c r="H835" s="2"/>
      <c r="I835" s="2"/>
      <c r="J835" s="2"/>
      <c r="K835" s="2"/>
      <c r="L835" s="2"/>
      <c r="M835" s="2"/>
      <c r="N835" s="2"/>
      <c r="O835" s="2"/>
      <c r="P835" s="2"/>
      <c r="Q835" s="2"/>
      <c r="R835" s="2"/>
    </row>
    <row r="836">
      <c r="A836" s="2"/>
      <c r="B836" s="2"/>
      <c r="C836" s="2"/>
      <c r="D836" s="2"/>
      <c r="E836" s="2"/>
      <c r="F836" s="2"/>
      <c r="G836" s="2"/>
      <c r="H836" s="2"/>
      <c r="I836" s="2"/>
      <c r="J836" s="2"/>
      <c r="K836" s="2"/>
      <c r="L836" s="2"/>
      <c r="M836" s="2"/>
      <c r="N836" s="2"/>
      <c r="O836" s="2"/>
      <c r="P836" s="2"/>
      <c r="Q836" s="2"/>
      <c r="R836" s="2"/>
    </row>
    <row r="837">
      <c r="A837" s="2"/>
      <c r="B837" s="2"/>
      <c r="C837" s="2"/>
      <c r="D837" s="2"/>
      <c r="E837" s="2"/>
      <c r="F837" s="2"/>
      <c r="G837" s="2"/>
      <c r="H837" s="2"/>
      <c r="I837" s="2"/>
      <c r="J837" s="2"/>
      <c r="K837" s="2"/>
      <c r="L837" s="2"/>
      <c r="M837" s="2"/>
      <c r="N837" s="2"/>
      <c r="O837" s="2"/>
      <c r="P837" s="2"/>
      <c r="Q837" s="2"/>
      <c r="R837" s="2"/>
    </row>
    <row r="838">
      <c r="A838" s="2"/>
      <c r="B838" s="2"/>
      <c r="C838" s="2"/>
      <c r="D838" s="2"/>
      <c r="E838" s="2"/>
      <c r="F838" s="2"/>
      <c r="G838" s="2"/>
      <c r="H838" s="2"/>
      <c r="I838" s="2"/>
      <c r="J838" s="2"/>
      <c r="K838" s="2"/>
      <c r="L838" s="2"/>
      <c r="M838" s="2"/>
      <c r="N838" s="2"/>
      <c r="O838" s="2"/>
      <c r="P838" s="2"/>
      <c r="Q838" s="2"/>
      <c r="R838" s="2"/>
    </row>
    <row r="839">
      <c r="A839" s="2"/>
      <c r="B839" s="2"/>
      <c r="C839" s="2"/>
      <c r="D839" s="2"/>
      <c r="E839" s="2"/>
      <c r="F839" s="2"/>
      <c r="G839" s="2"/>
      <c r="H839" s="2"/>
      <c r="I839" s="2"/>
      <c r="J839" s="2"/>
      <c r="K839" s="2"/>
      <c r="L839" s="2"/>
      <c r="M839" s="2"/>
      <c r="N839" s="2"/>
      <c r="O839" s="2"/>
      <c r="P839" s="2"/>
      <c r="Q839" s="2"/>
      <c r="R839" s="2"/>
    </row>
    <row r="840">
      <c r="A840" s="2"/>
      <c r="B840" s="2"/>
      <c r="C840" s="2"/>
      <c r="D840" s="2"/>
      <c r="E840" s="2"/>
      <c r="F840" s="2"/>
      <c r="G840" s="2"/>
      <c r="H840" s="2"/>
      <c r="I840" s="2"/>
      <c r="J840" s="2"/>
      <c r="K840" s="2"/>
      <c r="L840" s="2"/>
      <c r="M840" s="2"/>
      <c r="N840" s="2"/>
      <c r="O840" s="2"/>
      <c r="P840" s="2"/>
      <c r="Q840" s="2"/>
      <c r="R840" s="2"/>
    </row>
    <row r="841">
      <c r="A841" s="2"/>
      <c r="B841" s="2"/>
      <c r="C841" s="2"/>
      <c r="D841" s="2"/>
      <c r="E841" s="2"/>
      <c r="F841" s="2"/>
      <c r="G841" s="2"/>
      <c r="H841" s="2"/>
      <c r="I841" s="2"/>
      <c r="J841" s="2"/>
      <c r="K841" s="2"/>
      <c r="L841" s="2"/>
      <c r="M841" s="2"/>
      <c r="N841" s="2"/>
      <c r="O841" s="2"/>
      <c r="P841" s="2"/>
      <c r="Q841" s="2"/>
      <c r="R841" s="2"/>
    </row>
    <row r="842">
      <c r="A842" s="2"/>
      <c r="B842" s="2"/>
      <c r="C842" s="2"/>
      <c r="D842" s="2"/>
      <c r="E842" s="2"/>
      <c r="F842" s="2"/>
      <c r="G842" s="2"/>
      <c r="H842" s="2"/>
      <c r="I842" s="2"/>
      <c r="J842" s="2"/>
      <c r="K842" s="2"/>
      <c r="L842" s="2"/>
      <c r="M842" s="2"/>
      <c r="N842" s="2"/>
      <c r="O842" s="2"/>
      <c r="P842" s="2"/>
      <c r="Q842" s="2"/>
      <c r="R842" s="2"/>
    </row>
    <row r="843">
      <c r="A843" s="2"/>
      <c r="B843" s="2"/>
      <c r="C843" s="2"/>
      <c r="D843" s="2"/>
      <c r="E843" s="2"/>
      <c r="F843" s="2"/>
      <c r="G843" s="2"/>
      <c r="H843" s="2"/>
      <c r="I843" s="2"/>
      <c r="J843" s="2"/>
      <c r="K843" s="2"/>
      <c r="L843" s="2"/>
      <c r="M843" s="2"/>
      <c r="N843" s="2"/>
      <c r="O843" s="2"/>
      <c r="P843" s="2"/>
      <c r="Q843" s="2"/>
      <c r="R843" s="2"/>
    </row>
    <row r="844">
      <c r="A844" s="2"/>
      <c r="B844" s="2"/>
      <c r="C844" s="2"/>
      <c r="D844" s="2"/>
      <c r="E844" s="2"/>
      <c r="F844" s="2"/>
      <c r="G844" s="2"/>
      <c r="H844" s="2"/>
      <c r="I844" s="2"/>
      <c r="J844" s="2"/>
      <c r="K844" s="2"/>
      <c r="L844" s="2"/>
      <c r="M844" s="2"/>
      <c r="N844" s="2"/>
      <c r="O844" s="2"/>
      <c r="P844" s="2"/>
      <c r="Q844" s="2"/>
      <c r="R844" s="2"/>
    </row>
    <row r="845">
      <c r="A845" s="2"/>
      <c r="B845" s="2"/>
      <c r="C845" s="2"/>
      <c r="D845" s="2"/>
      <c r="E845" s="2"/>
      <c r="F845" s="2"/>
      <c r="G845" s="2"/>
      <c r="H845" s="2"/>
      <c r="I845" s="2"/>
      <c r="J845" s="2"/>
      <c r="K845" s="2"/>
      <c r="L845" s="2"/>
      <c r="M845" s="2"/>
      <c r="N845" s="2"/>
      <c r="O845" s="2"/>
      <c r="P845" s="2"/>
      <c r="Q845" s="2"/>
      <c r="R845" s="2"/>
    </row>
    <row r="846">
      <c r="A846" s="2"/>
      <c r="B846" s="2"/>
      <c r="C846" s="2"/>
      <c r="D846" s="2"/>
      <c r="E846" s="2"/>
      <c r="F846" s="2"/>
      <c r="G846" s="2"/>
      <c r="H846" s="2"/>
      <c r="I846" s="2"/>
      <c r="J846" s="2"/>
      <c r="K846" s="2"/>
      <c r="L846" s="2"/>
      <c r="M846" s="2"/>
      <c r="N846" s="2"/>
      <c r="O846" s="2"/>
      <c r="P846" s="2"/>
      <c r="Q846" s="2"/>
      <c r="R846" s="2"/>
    </row>
    <row r="847">
      <c r="A847" s="2"/>
      <c r="B847" s="2"/>
      <c r="C847" s="2"/>
      <c r="D847" s="2"/>
      <c r="E847" s="2"/>
      <c r="F847" s="2"/>
      <c r="G847" s="2"/>
      <c r="H847" s="2"/>
      <c r="I847" s="2"/>
      <c r="J847" s="2"/>
      <c r="K847" s="2"/>
      <c r="L847" s="2"/>
      <c r="M847" s="2"/>
      <c r="N847" s="2"/>
      <c r="O847" s="2"/>
      <c r="P847" s="2"/>
      <c r="Q847" s="2"/>
      <c r="R847" s="2"/>
    </row>
    <row r="848">
      <c r="A848" s="2"/>
      <c r="B848" s="2"/>
      <c r="C848" s="2"/>
      <c r="D848" s="2"/>
      <c r="E848" s="2"/>
      <c r="F848" s="2"/>
      <c r="G848" s="2"/>
      <c r="H848" s="2"/>
      <c r="I848" s="2"/>
      <c r="J848" s="2"/>
      <c r="K848" s="2"/>
      <c r="L848" s="2"/>
      <c r="M848" s="2"/>
      <c r="N848" s="2"/>
      <c r="O848" s="2"/>
      <c r="P848" s="2"/>
      <c r="Q848" s="2"/>
      <c r="R848" s="2"/>
    </row>
    <row r="849">
      <c r="A849" s="2"/>
      <c r="B849" s="2"/>
      <c r="C849" s="2"/>
      <c r="D849" s="2"/>
      <c r="E849" s="2"/>
      <c r="F849" s="2"/>
      <c r="G849" s="2"/>
      <c r="H849" s="2"/>
      <c r="I849" s="2"/>
      <c r="J849" s="2"/>
      <c r="K849" s="2"/>
      <c r="L849" s="2"/>
      <c r="M849" s="2"/>
      <c r="N849" s="2"/>
      <c r="O849" s="2"/>
      <c r="P849" s="2"/>
      <c r="Q849" s="2"/>
      <c r="R849" s="2"/>
    </row>
    <row r="850">
      <c r="A850" s="2"/>
      <c r="B850" s="2"/>
      <c r="C850" s="2"/>
      <c r="D850" s="2"/>
      <c r="E850" s="2"/>
      <c r="F850" s="2"/>
      <c r="G850" s="2"/>
      <c r="H850" s="2"/>
      <c r="I850" s="2"/>
      <c r="J850" s="2"/>
      <c r="K850" s="2"/>
      <c r="L850" s="2"/>
      <c r="M850" s="2"/>
      <c r="N850" s="2"/>
      <c r="O850" s="2"/>
      <c r="P850" s="2"/>
      <c r="Q850" s="2"/>
      <c r="R850" s="2"/>
    </row>
    <row r="851">
      <c r="A851" s="2"/>
      <c r="B851" s="2"/>
      <c r="C851" s="2"/>
      <c r="D851" s="2"/>
      <c r="E851" s="2"/>
      <c r="F851" s="2"/>
      <c r="G851" s="2"/>
      <c r="H851" s="2"/>
      <c r="I851" s="2"/>
      <c r="J851" s="2"/>
      <c r="K851" s="2"/>
      <c r="L851" s="2"/>
      <c r="M851" s="2"/>
      <c r="N851" s="2"/>
      <c r="O851" s="2"/>
      <c r="P851" s="2"/>
      <c r="Q851" s="2"/>
      <c r="R851" s="2"/>
    </row>
    <row r="852">
      <c r="A852" s="2"/>
      <c r="B852" s="2"/>
      <c r="C852" s="2"/>
      <c r="D852" s="2"/>
      <c r="E852" s="2"/>
      <c r="F852" s="2"/>
      <c r="G852" s="2"/>
      <c r="H852" s="2"/>
      <c r="I852" s="2"/>
      <c r="J852" s="2"/>
      <c r="K852" s="2"/>
      <c r="L852" s="2"/>
      <c r="M852" s="2"/>
      <c r="N852" s="2"/>
      <c r="O852" s="2"/>
      <c r="P852" s="2"/>
      <c r="Q852" s="2"/>
      <c r="R852" s="2"/>
    </row>
    <row r="853">
      <c r="A853" s="2"/>
      <c r="B853" s="2"/>
      <c r="C853" s="2"/>
      <c r="D853" s="2"/>
      <c r="E853" s="2"/>
      <c r="F853" s="2"/>
      <c r="G853" s="2"/>
      <c r="H853" s="2"/>
      <c r="I853" s="2"/>
      <c r="J853" s="2"/>
      <c r="K853" s="2"/>
      <c r="L853" s="2"/>
      <c r="M853" s="2"/>
      <c r="N853" s="2"/>
      <c r="O853" s="2"/>
      <c r="P853" s="2"/>
      <c r="Q853" s="2"/>
      <c r="R853" s="2"/>
    </row>
    <row r="854">
      <c r="A854" s="2"/>
      <c r="B854" s="2"/>
      <c r="C854" s="2"/>
      <c r="D854" s="2"/>
      <c r="E854" s="2"/>
      <c r="F854" s="2"/>
      <c r="G854" s="2"/>
      <c r="H854" s="2"/>
      <c r="I854" s="2"/>
      <c r="J854" s="2"/>
      <c r="K854" s="2"/>
      <c r="L854" s="2"/>
      <c r="M854" s="2"/>
      <c r="N854" s="2"/>
      <c r="O854" s="2"/>
      <c r="P854" s="2"/>
      <c r="Q854" s="2"/>
      <c r="R854" s="2"/>
    </row>
    <row r="855">
      <c r="A855" s="2"/>
      <c r="B855" s="2"/>
      <c r="C855" s="2"/>
      <c r="D855" s="2"/>
      <c r="E855" s="2"/>
      <c r="F855" s="2"/>
      <c r="G855" s="2"/>
      <c r="H855" s="2"/>
      <c r="I855" s="2"/>
      <c r="J855" s="2"/>
      <c r="K855" s="2"/>
      <c r="L855" s="2"/>
      <c r="M855" s="2"/>
      <c r="N855" s="2"/>
      <c r="O855" s="2"/>
      <c r="P855" s="2"/>
      <c r="Q855" s="2"/>
      <c r="R855" s="2"/>
    </row>
    <row r="856">
      <c r="A856" s="2"/>
      <c r="B856" s="2"/>
      <c r="C856" s="2"/>
      <c r="D856" s="2"/>
      <c r="E856" s="2"/>
      <c r="F856" s="2"/>
      <c r="G856" s="2"/>
      <c r="H856" s="2"/>
      <c r="I856" s="2"/>
      <c r="J856" s="2"/>
      <c r="K856" s="2"/>
      <c r="L856" s="2"/>
      <c r="M856" s="2"/>
      <c r="N856" s="2"/>
      <c r="O856" s="2"/>
      <c r="P856" s="2"/>
      <c r="Q856" s="2"/>
      <c r="R856" s="2"/>
    </row>
    <row r="857">
      <c r="A857" s="2"/>
      <c r="B857" s="2"/>
      <c r="C857" s="2"/>
      <c r="D857" s="2"/>
      <c r="E857" s="2"/>
      <c r="F857" s="2"/>
      <c r="G857" s="2"/>
      <c r="H857" s="2"/>
      <c r="I857" s="2"/>
      <c r="J857" s="2"/>
      <c r="K857" s="2"/>
      <c r="L857" s="2"/>
      <c r="M857" s="2"/>
      <c r="N857" s="2"/>
      <c r="O857" s="2"/>
      <c r="P857" s="2"/>
      <c r="Q857" s="2"/>
      <c r="R857" s="2"/>
    </row>
    <row r="858">
      <c r="A858" s="2"/>
      <c r="B858" s="2"/>
      <c r="C858" s="2"/>
      <c r="D858" s="2"/>
      <c r="E858" s="2"/>
      <c r="F858" s="2"/>
      <c r="G858" s="2"/>
      <c r="H858" s="2"/>
      <c r="I858" s="2"/>
      <c r="J858" s="2"/>
      <c r="K858" s="2"/>
      <c r="L858" s="2"/>
      <c r="M858" s="2"/>
      <c r="N858" s="2"/>
      <c r="O858" s="2"/>
      <c r="P858" s="2"/>
      <c r="Q858" s="2"/>
      <c r="R858" s="2"/>
    </row>
    <row r="859">
      <c r="A859" s="2"/>
      <c r="B859" s="2"/>
      <c r="C859" s="2"/>
      <c r="D859" s="2"/>
      <c r="E859" s="2"/>
      <c r="F859" s="2"/>
      <c r="G859" s="2"/>
      <c r="H859" s="2"/>
      <c r="I859" s="2"/>
      <c r="J859" s="2"/>
      <c r="K859" s="2"/>
      <c r="L859" s="2"/>
      <c r="M859" s="2"/>
      <c r="N859" s="2"/>
      <c r="O859" s="2"/>
      <c r="P859" s="2"/>
      <c r="Q859" s="2"/>
      <c r="R859" s="2"/>
    </row>
    <row r="860">
      <c r="A860" s="2"/>
      <c r="B860" s="2"/>
      <c r="C860" s="2"/>
      <c r="D860" s="2"/>
      <c r="E860" s="2"/>
      <c r="F860" s="2"/>
      <c r="G860" s="2"/>
      <c r="H860" s="2"/>
      <c r="I860" s="2"/>
      <c r="J860" s="2"/>
      <c r="K860" s="2"/>
      <c r="L860" s="2"/>
      <c r="M860" s="2"/>
      <c r="N860" s="2"/>
      <c r="O860" s="2"/>
      <c r="P860" s="2"/>
      <c r="Q860" s="2"/>
      <c r="R860" s="2"/>
    </row>
    <row r="861">
      <c r="A861" s="2"/>
      <c r="B861" s="2"/>
      <c r="C861" s="2"/>
      <c r="D861" s="2"/>
      <c r="E861" s="2"/>
      <c r="F861" s="2"/>
      <c r="G861" s="2"/>
      <c r="H861" s="2"/>
      <c r="I861" s="2"/>
      <c r="J861" s="2"/>
      <c r="K861" s="2"/>
      <c r="L861" s="2"/>
      <c r="M861" s="2"/>
      <c r="N861" s="2"/>
      <c r="O861" s="2"/>
      <c r="P861" s="2"/>
      <c r="Q861" s="2"/>
      <c r="R861" s="2"/>
    </row>
    <row r="862">
      <c r="A862" s="2"/>
      <c r="B862" s="2"/>
      <c r="C862" s="2"/>
      <c r="D862" s="2"/>
      <c r="E862" s="2"/>
      <c r="F862" s="2"/>
      <c r="G862" s="2"/>
      <c r="H862" s="2"/>
      <c r="I862" s="2"/>
      <c r="J862" s="2"/>
      <c r="K862" s="2"/>
      <c r="L862" s="2"/>
      <c r="M862" s="2"/>
      <c r="N862" s="2"/>
      <c r="O862" s="2"/>
      <c r="P862" s="2"/>
      <c r="Q862" s="2"/>
      <c r="R862" s="2"/>
    </row>
    <row r="863">
      <c r="A863" s="2"/>
      <c r="B863" s="2"/>
      <c r="C863" s="2"/>
      <c r="D863" s="2"/>
      <c r="E863" s="2"/>
      <c r="F863" s="2"/>
      <c r="G863" s="2"/>
      <c r="H863" s="2"/>
      <c r="I863" s="2"/>
      <c r="J863" s="2"/>
      <c r="K863" s="2"/>
      <c r="L863" s="2"/>
      <c r="M863" s="2"/>
      <c r="N863" s="2"/>
      <c r="O863" s="2"/>
      <c r="P863" s="2"/>
      <c r="Q863" s="2"/>
      <c r="R863" s="2"/>
    </row>
    <row r="864">
      <c r="A864" s="2"/>
      <c r="B864" s="2"/>
      <c r="C864" s="2"/>
      <c r="D864" s="2"/>
      <c r="E864" s="2"/>
      <c r="F864" s="2"/>
      <c r="G864" s="2"/>
      <c r="H864" s="2"/>
      <c r="I864" s="2"/>
      <c r="J864" s="2"/>
      <c r="K864" s="2"/>
      <c r="L864" s="2"/>
      <c r="M864" s="2"/>
      <c r="N864" s="2"/>
      <c r="O864" s="2"/>
      <c r="P864" s="2"/>
      <c r="Q864" s="2"/>
      <c r="R864" s="2"/>
    </row>
    <row r="865">
      <c r="A865" s="2"/>
      <c r="B865" s="2"/>
      <c r="C865" s="2"/>
      <c r="D865" s="2"/>
      <c r="E865" s="2"/>
      <c r="F865" s="2"/>
      <c r="G865" s="2"/>
      <c r="H865" s="2"/>
      <c r="I865" s="2"/>
      <c r="J865" s="2"/>
      <c r="K865" s="2"/>
      <c r="L865" s="2"/>
      <c r="M865" s="2"/>
      <c r="N865" s="2"/>
      <c r="O865" s="2"/>
      <c r="P865" s="2"/>
      <c r="Q865" s="2"/>
      <c r="R865" s="2"/>
    </row>
    <row r="866">
      <c r="A866" s="2"/>
      <c r="B866" s="2"/>
      <c r="C866" s="2"/>
      <c r="D866" s="2"/>
      <c r="E866" s="2"/>
      <c r="F866" s="2"/>
      <c r="G866" s="2"/>
      <c r="H866" s="2"/>
      <c r="I866" s="2"/>
      <c r="J866" s="2"/>
      <c r="K866" s="2"/>
      <c r="L866" s="2"/>
      <c r="M866" s="2"/>
      <c r="N866" s="2"/>
      <c r="O866" s="2"/>
      <c r="P866" s="2"/>
      <c r="Q866" s="2"/>
      <c r="R866" s="2"/>
    </row>
    <row r="867">
      <c r="A867" s="2"/>
      <c r="B867" s="2"/>
      <c r="C867" s="2"/>
      <c r="D867" s="2"/>
      <c r="E867" s="2"/>
      <c r="F867" s="2"/>
      <c r="G867" s="2"/>
      <c r="H867" s="2"/>
      <c r="I867" s="2"/>
      <c r="J867" s="2"/>
      <c r="K867" s="2"/>
      <c r="L867" s="2"/>
      <c r="M867" s="2"/>
      <c r="N867" s="2"/>
      <c r="O867" s="2"/>
      <c r="P867" s="2"/>
      <c r="Q867" s="2"/>
      <c r="R867" s="2"/>
    </row>
    <row r="868">
      <c r="A868" s="2"/>
      <c r="B868" s="2"/>
      <c r="C868" s="2"/>
      <c r="D868" s="2"/>
      <c r="E868" s="2"/>
      <c r="F868" s="2"/>
      <c r="G868" s="2"/>
      <c r="H868" s="2"/>
      <c r="I868" s="2"/>
      <c r="J868" s="2"/>
      <c r="K868" s="2"/>
      <c r="L868" s="2"/>
      <c r="M868" s="2"/>
      <c r="N868" s="2"/>
      <c r="O868" s="2"/>
      <c r="P868" s="2"/>
      <c r="Q868" s="2"/>
      <c r="R868" s="2"/>
    </row>
    <row r="869">
      <c r="A869" s="2"/>
      <c r="B869" s="2"/>
      <c r="C869" s="2"/>
      <c r="D869" s="2"/>
      <c r="E869" s="2"/>
      <c r="F869" s="2"/>
      <c r="G869" s="2"/>
      <c r="H869" s="2"/>
      <c r="I869" s="2"/>
      <c r="J869" s="2"/>
      <c r="K869" s="2"/>
      <c r="L869" s="2"/>
      <c r="M869" s="2"/>
      <c r="N869" s="2"/>
      <c r="O869" s="2"/>
      <c r="P869" s="2"/>
      <c r="Q869" s="2"/>
      <c r="R869" s="2"/>
    </row>
    <row r="870">
      <c r="A870" s="2"/>
      <c r="B870" s="2"/>
      <c r="C870" s="2"/>
      <c r="D870" s="2"/>
      <c r="E870" s="2"/>
      <c r="F870" s="2"/>
      <c r="G870" s="2"/>
      <c r="H870" s="2"/>
      <c r="I870" s="2"/>
      <c r="J870" s="2"/>
      <c r="K870" s="2"/>
      <c r="L870" s="2"/>
      <c r="M870" s="2"/>
      <c r="N870" s="2"/>
      <c r="O870" s="2"/>
      <c r="P870" s="2"/>
      <c r="Q870" s="2"/>
      <c r="R870" s="2"/>
    </row>
    <row r="871">
      <c r="A871" s="2"/>
      <c r="B871" s="2"/>
      <c r="C871" s="2"/>
      <c r="D871" s="2"/>
      <c r="E871" s="2"/>
      <c r="F871" s="2"/>
      <c r="G871" s="2"/>
      <c r="H871" s="2"/>
      <c r="I871" s="2"/>
      <c r="J871" s="2"/>
      <c r="K871" s="2"/>
      <c r="L871" s="2"/>
      <c r="M871" s="2"/>
      <c r="N871" s="2"/>
      <c r="O871" s="2"/>
      <c r="P871" s="2"/>
      <c r="Q871" s="2"/>
      <c r="R871" s="2"/>
    </row>
    <row r="872">
      <c r="A872" s="2"/>
      <c r="B872" s="2"/>
      <c r="C872" s="2"/>
      <c r="D872" s="2"/>
      <c r="E872" s="2"/>
      <c r="F872" s="2"/>
      <c r="G872" s="2"/>
      <c r="H872" s="2"/>
      <c r="I872" s="2"/>
      <c r="J872" s="2"/>
      <c r="K872" s="2"/>
      <c r="L872" s="2"/>
      <c r="M872" s="2"/>
      <c r="N872" s="2"/>
      <c r="O872" s="2"/>
      <c r="P872" s="2"/>
      <c r="Q872" s="2"/>
      <c r="R872" s="2"/>
    </row>
    <row r="873">
      <c r="A873" s="2"/>
      <c r="B873" s="2"/>
      <c r="C873" s="2"/>
      <c r="D873" s="2"/>
      <c r="E873" s="2"/>
      <c r="F873" s="2"/>
      <c r="G873" s="2"/>
      <c r="H873" s="2"/>
      <c r="I873" s="2"/>
      <c r="J873" s="2"/>
      <c r="K873" s="2"/>
      <c r="L873" s="2"/>
      <c r="M873" s="2"/>
      <c r="N873" s="2"/>
      <c r="O873" s="2"/>
      <c r="P873" s="2"/>
      <c r="Q873" s="2"/>
      <c r="R873" s="2"/>
    </row>
    <row r="874">
      <c r="A874" s="2"/>
      <c r="B874" s="2"/>
      <c r="C874" s="2"/>
      <c r="D874" s="2"/>
      <c r="E874" s="2"/>
      <c r="F874" s="2"/>
      <c r="G874" s="2"/>
      <c r="H874" s="2"/>
      <c r="I874" s="2"/>
      <c r="J874" s="2"/>
      <c r="K874" s="2"/>
      <c r="L874" s="2"/>
      <c r="M874" s="2"/>
      <c r="N874" s="2"/>
      <c r="O874" s="2"/>
      <c r="P874" s="2"/>
      <c r="Q874" s="2"/>
      <c r="R874" s="2"/>
    </row>
    <row r="875">
      <c r="A875" s="2"/>
      <c r="B875" s="2"/>
      <c r="C875" s="2"/>
      <c r="D875" s="2"/>
      <c r="E875" s="2"/>
      <c r="F875" s="2"/>
      <c r="G875" s="2"/>
      <c r="H875" s="2"/>
      <c r="I875" s="2"/>
      <c r="J875" s="2"/>
      <c r="K875" s="2"/>
      <c r="L875" s="2"/>
      <c r="M875" s="2"/>
      <c r="N875" s="2"/>
      <c r="O875" s="2"/>
      <c r="P875" s="2"/>
      <c r="Q875" s="2"/>
      <c r="R875" s="2"/>
    </row>
    <row r="876">
      <c r="A876" s="2"/>
      <c r="B876" s="2"/>
      <c r="C876" s="2"/>
      <c r="D876" s="2"/>
      <c r="E876" s="2"/>
      <c r="F876" s="2"/>
      <c r="G876" s="2"/>
      <c r="H876" s="2"/>
      <c r="I876" s="2"/>
      <c r="J876" s="2"/>
      <c r="K876" s="2"/>
      <c r="L876" s="2"/>
      <c r="M876" s="2"/>
      <c r="N876" s="2"/>
      <c r="O876" s="2"/>
      <c r="P876" s="2"/>
      <c r="Q876" s="2"/>
      <c r="R876" s="2"/>
    </row>
    <row r="877">
      <c r="A877" s="2"/>
      <c r="B877" s="2"/>
      <c r="C877" s="2"/>
      <c r="D877" s="2"/>
      <c r="E877" s="2"/>
      <c r="F877" s="2"/>
      <c r="G877" s="2"/>
      <c r="H877" s="2"/>
      <c r="I877" s="2"/>
      <c r="J877" s="2"/>
      <c r="K877" s="2"/>
      <c r="L877" s="2"/>
      <c r="M877" s="2"/>
      <c r="N877" s="2"/>
      <c r="O877" s="2"/>
      <c r="P877" s="2"/>
      <c r="Q877" s="2"/>
      <c r="R877" s="2"/>
    </row>
    <row r="878">
      <c r="A878" s="2"/>
      <c r="B878" s="2"/>
      <c r="C878" s="2"/>
      <c r="D878" s="2"/>
      <c r="E878" s="2"/>
      <c r="F878" s="2"/>
      <c r="G878" s="2"/>
      <c r="H878" s="2"/>
      <c r="I878" s="2"/>
      <c r="J878" s="2"/>
      <c r="K878" s="2"/>
      <c r="L878" s="2"/>
      <c r="M878" s="2"/>
      <c r="N878" s="2"/>
      <c r="O878" s="2"/>
      <c r="P878" s="2"/>
      <c r="Q878" s="2"/>
      <c r="R878" s="2"/>
    </row>
    <row r="879">
      <c r="A879" s="2"/>
      <c r="B879" s="2"/>
      <c r="C879" s="2"/>
      <c r="D879" s="2"/>
      <c r="E879" s="2"/>
      <c r="F879" s="2"/>
      <c r="G879" s="2"/>
      <c r="H879" s="2"/>
      <c r="I879" s="2"/>
      <c r="J879" s="2"/>
      <c r="K879" s="2"/>
      <c r="L879" s="2"/>
      <c r="M879" s="2"/>
      <c r="N879" s="2"/>
      <c r="O879" s="2"/>
      <c r="P879" s="2"/>
      <c r="Q879" s="2"/>
      <c r="R879" s="2"/>
    </row>
    <row r="880">
      <c r="A880" s="2"/>
      <c r="B880" s="2"/>
      <c r="C880" s="2"/>
      <c r="D880" s="2"/>
      <c r="E880" s="2"/>
      <c r="F880" s="2"/>
      <c r="G880" s="2"/>
      <c r="H880" s="2"/>
      <c r="I880" s="2"/>
      <c r="J880" s="2"/>
      <c r="K880" s="2"/>
      <c r="L880" s="2"/>
      <c r="M880" s="2"/>
      <c r="N880" s="2"/>
      <c r="O880" s="2"/>
      <c r="P880" s="2"/>
      <c r="Q880" s="2"/>
      <c r="R880" s="2"/>
    </row>
    <row r="881">
      <c r="A881" s="2"/>
      <c r="B881" s="2"/>
      <c r="C881" s="2"/>
      <c r="D881" s="2"/>
      <c r="E881" s="2"/>
      <c r="F881" s="2"/>
      <c r="G881" s="2"/>
      <c r="H881" s="2"/>
      <c r="I881" s="2"/>
      <c r="J881" s="2"/>
      <c r="K881" s="2"/>
      <c r="L881" s="2"/>
      <c r="M881" s="2"/>
      <c r="N881" s="2"/>
      <c r="O881" s="2"/>
      <c r="P881" s="2"/>
      <c r="Q881" s="2"/>
      <c r="R881" s="2"/>
    </row>
    <row r="882">
      <c r="A882" s="2"/>
      <c r="B882" s="2"/>
      <c r="C882" s="2"/>
      <c r="D882" s="2"/>
      <c r="E882" s="2"/>
      <c r="F882" s="2"/>
      <c r="G882" s="2"/>
      <c r="H882" s="2"/>
      <c r="I882" s="2"/>
      <c r="J882" s="2"/>
      <c r="K882" s="2"/>
      <c r="L882" s="2"/>
      <c r="M882" s="2"/>
      <c r="N882" s="2"/>
      <c r="O882" s="2"/>
      <c r="P882" s="2"/>
      <c r="Q882" s="2"/>
      <c r="R882" s="2"/>
    </row>
    <row r="883">
      <c r="A883" s="2"/>
      <c r="B883" s="2"/>
      <c r="C883" s="2"/>
      <c r="D883" s="2"/>
      <c r="E883" s="2"/>
      <c r="F883" s="2"/>
      <c r="G883" s="2"/>
      <c r="H883" s="2"/>
      <c r="I883" s="2"/>
      <c r="J883" s="2"/>
      <c r="K883" s="2"/>
      <c r="L883" s="2"/>
      <c r="M883" s="2"/>
      <c r="N883" s="2"/>
      <c r="O883" s="2"/>
      <c r="P883" s="2"/>
      <c r="Q883" s="2"/>
      <c r="R883" s="2"/>
    </row>
    <row r="884">
      <c r="A884" s="2"/>
      <c r="B884" s="2"/>
      <c r="C884" s="2"/>
      <c r="D884" s="2"/>
      <c r="E884" s="2"/>
      <c r="F884" s="2"/>
      <c r="G884" s="2"/>
      <c r="H884" s="2"/>
      <c r="I884" s="2"/>
      <c r="J884" s="2"/>
      <c r="K884" s="2"/>
      <c r="L884" s="2"/>
      <c r="M884" s="2"/>
      <c r="N884" s="2"/>
      <c r="O884" s="2"/>
      <c r="P884" s="2"/>
      <c r="Q884" s="2"/>
      <c r="R884" s="2"/>
    </row>
    <row r="885">
      <c r="A885" s="2"/>
      <c r="B885" s="2"/>
      <c r="C885" s="2"/>
      <c r="D885" s="2"/>
      <c r="E885" s="2"/>
      <c r="F885" s="2"/>
      <c r="G885" s="2"/>
      <c r="H885" s="2"/>
      <c r="I885" s="2"/>
      <c r="J885" s="2"/>
      <c r="K885" s="2"/>
      <c r="L885" s="2"/>
      <c r="M885" s="2"/>
      <c r="N885" s="2"/>
      <c r="O885" s="2"/>
      <c r="P885" s="2"/>
      <c r="Q885" s="2"/>
      <c r="R885" s="2"/>
    </row>
    <row r="886">
      <c r="A886" s="2"/>
      <c r="B886" s="2"/>
      <c r="C886" s="2"/>
      <c r="D886" s="2"/>
      <c r="E886" s="2"/>
      <c r="F886" s="2"/>
      <c r="G886" s="2"/>
      <c r="H886" s="2"/>
      <c r="I886" s="2"/>
      <c r="J886" s="2"/>
      <c r="K886" s="2"/>
      <c r="L886" s="2"/>
      <c r="M886" s="2"/>
      <c r="N886" s="2"/>
      <c r="O886" s="2"/>
      <c r="P886" s="2"/>
      <c r="Q886" s="2"/>
      <c r="R886" s="2"/>
    </row>
    <row r="887">
      <c r="A887" s="2"/>
      <c r="B887" s="2"/>
      <c r="C887" s="2"/>
      <c r="D887" s="2"/>
      <c r="E887" s="2"/>
      <c r="F887" s="2"/>
      <c r="G887" s="2"/>
      <c r="H887" s="2"/>
      <c r="I887" s="2"/>
      <c r="J887" s="2"/>
      <c r="K887" s="2"/>
      <c r="L887" s="2"/>
      <c r="M887" s="2"/>
      <c r="N887" s="2"/>
      <c r="O887" s="2"/>
      <c r="P887" s="2"/>
      <c r="Q887" s="2"/>
      <c r="R887" s="2"/>
    </row>
    <row r="888">
      <c r="A888" s="2"/>
      <c r="B888" s="2"/>
      <c r="C888" s="2"/>
      <c r="D888" s="2"/>
      <c r="E888" s="2"/>
      <c r="F888" s="2"/>
      <c r="G888" s="2"/>
      <c r="H888" s="2"/>
      <c r="I888" s="2"/>
      <c r="J888" s="2"/>
      <c r="K888" s="2"/>
      <c r="L888" s="2"/>
      <c r="M888" s="2"/>
      <c r="N888" s="2"/>
      <c r="O888" s="2"/>
      <c r="P888" s="2"/>
      <c r="Q888" s="2"/>
      <c r="R888" s="2"/>
    </row>
    <row r="889">
      <c r="A889" s="2"/>
      <c r="B889" s="2"/>
      <c r="C889" s="2"/>
      <c r="D889" s="2"/>
      <c r="E889" s="2"/>
      <c r="F889" s="2"/>
      <c r="G889" s="2"/>
      <c r="H889" s="2"/>
      <c r="I889" s="2"/>
      <c r="J889" s="2"/>
      <c r="K889" s="2"/>
      <c r="L889" s="2"/>
      <c r="M889" s="2"/>
      <c r="N889" s="2"/>
      <c r="O889" s="2"/>
      <c r="P889" s="2"/>
      <c r="Q889" s="2"/>
      <c r="R889" s="2"/>
    </row>
    <row r="890">
      <c r="A890" s="2"/>
      <c r="B890" s="2"/>
      <c r="C890" s="2"/>
      <c r="D890" s="2"/>
      <c r="E890" s="2"/>
      <c r="F890" s="2"/>
      <c r="G890" s="2"/>
      <c r="H890" s="2"/>
      <c r="I890" s="2"/>
      <c r="J890" s="2"/>
      <c r="K890" s="2"/>
      <c r="L890" s="2"/>
      <c r="M890" s="2"/>
      <c r="N890" s="2"/>
      <c r="O890" s="2"/>
      <c r="P890" s="2"/>
      <c r="Q890" s="2"/>
      <c r="R890" s="2"/>
    </row>
    <row r="891">
      <c r="A891" s="2"/>
      <c r="B891" s="2"/>
      <c r="C891" s="2"/>
      <c r="D891" s="2"/>
      <c r="E891" s="2"/>
      <c r="F891" s="2"/>
      <c r="G891" s="2"/>
      <c r="H891" s="2"/>
      <c r="I891" s="2"/>
      <c r="J891" s="2"/>
      <c r="K891" s="2"/>
      <c r="L891" s="2"/>
      <c r="M891" s="2"/>
      <c r="N891" s="2"/>
      <c r="O891" s="2"/>
      <c r="P891" s="2"/>
      <c r="Q891" s="2"/>
      <c r="R891" s="2"/>
    </row>
    <row r="892">
      <c r="A892" s="2"/>
      <c r="B892" s="2"/>
      <c r="C892" s="2"/>
      <c r="D892" s="2"/>
      <c r="E892" s="2"/>
      <c r="F892" s="2"/>
      <c r="G892" s="2"/>
      <c r="H892" s="2"/>
      <c r="I892" s="2"/>
      <c r="J892" s="2"/>
      <c r="K892" s="2"/>
      <c r="L892" s="2"/>
      <c r="M892" s="2"/>
      <c r="N892" s="2"/>
      <c r="O892" s="2"/>
      <c r="P892" s="2"/>
      <c r="Q892" s="2"/>
      <c r="R892" s="2"/>
    </row>
    <row r="893">
      <c r="A893" s="2"/>
      <c r="B893" s="2"/>
      <c r="C893" s="2"/>
      <c r="D893" s="2"/>
      <c r="E893" s="2"/>
      <c r="F893" s="2"/>
      <c r="G893" s="2"/>
      <c r="H893" s="2"/>
      <c r="I893" s="2"/>
      <c r="J893" s="2"/>
      <c r="K893" s="2"/>
      <c r="L893" s="2"/>
      <c r="M893" s="2"/>
      <c r="N893" s="2"/>
      <c r="O893" s="2"/>
      <c r="P893" s="2"/>
      <c r="Q893" s="2"/>
      <c r="R893" s="2"/>
    </row>
    <row r="894">
      <c r="A894" s="2"/>
      <c r="B894" s="2"/>
      <c r="C894" s="2"/>
      <c r="D894" s="2"/>
      <c r="E894" s="2"/>
      <c r="F894" s="2"/>
      <c r="G894" s="2"/>
      <c r="H894" s="2"/>
      <c r="I894" s="2"/>
      <c r="J894" s="2"/>
      <c r="K894" s="2"/>
      <c r="L894" s="2"/>
      <c r="M894" s="2"/>
      <c r="N894" s="2"/>
      <c r="O894" s="2"/>
      <c r="P894" s="2"/>
      <c r="Q894" s="2"/>
      <c r="R894" s="2"/>
    </row>
    <row r="895">
      <c r="A895" s="2"/>
      <c r="B895" s="2"/>
      <c r="C895" s="2"/>
      <c r="D895" s="2"/>
      <c r="E895" s="2"/>
      <c r="F895" s="2"/>
      <c r="G895" s="2"/>
      <c r="H895" s="2"/>
      <c r="I895" s="2"/>
      <c r="J895" s="2"/>
      <c r="K895" s="2"/>
      <c r="L895" s="2"/>
      <c r="M895" s="2"/>
      <c r="N895" s="2"/>
      <c r="O895" s="2"/>
      <c r="P895" s="2"/>
      <c r="Q895" s="2"/>
      <c r="R895" s="2"/>
    </row>
    <row r="896">
      <c r="A896" s="2"/>
      <c r="B896" s="2"/>
      <c r="C896" s="2"/>
      <c r="D896" s="2"/>
      <c r="E896" s="2"/>
      <c r="F896" s="2"/>
      <c r="G896" s="2"/>
      <c r="H896" s="2"/>
      <c r="I896" s="2"/>
      <c r="J896" s="2"/>
      <c r="K896" s="2"/>
      <c r="L896" s="2"/>
      <c r="M896" s="2"/>
      <c r="N896" s="2"/>
      <c r="O896" s="2"/>
      <c r="P896" s="2"/>
      <c r="Q896" s="2"/>
      <c r="R896" s="2"/>
    </row>
    <row r="897">
      <c r="A897" s="2"/>
      <c r="B897" s="2"/>
      <c r="C897" s="2"/>
      <c r="D897" s="2"/>
      <c r="E897" s="2"/>
      <c r="F897" s="2"/>
      <c r="G897" s="2"/>
      <c r="H897" s="2"/>
      <c r="I897" s="2"/>
      <c r="J897" s="2"/>
      <c r="K897" s="2"/>
      <c r="L897" s="2"/>
      <c r="M897" s="2"/>
      <c r="N897" s="2"/>
      <c r="O897" s="2"/>
      <c r="P897" s="2"/>
      <c r="Q897" s="2"/>
      <c r="R897" s="2"/>
    </row>
    <row r="898">
      <c r="A898" s="2"/>
      <c r="B898" s="2"/>
      <c r="C898" s="2"/>
      <c r="D898" s="2"/>
      <c r="E898" s="2"/>
      <c r="F898" s="2"/>
      <c r="G898" s="2"/>
      <c r="H898" s="2"/>
      <c r="I898" s="2"/>
      <c r="J898" s="2"/>
      <c r="K898" s="2"/>
      <c r="L898" s="2"/>
      <c r="M898" s="2"/>
      <c r="N898" s="2"/>
      <c r="O898" s="2"/>
      <c r="P898" s="2"/>
      <c r="Q898" s="2"/>
      <c r="R898" s="2"/>
    </row>
    <row r="899">
      <c r="A899" s="2"/>
      <c r="B899" s="2"/>
      <c r="C899" s="2"/>
      <c r="D899" s="2"/>
      <c r="E899" s="2"/>
      <c r="F899" s="2"/>
      <c r="G899" s="2"/>
      <c r="H899" s="2"/>
      <c r="I899" s="2"/>
      <c r="J899" s="2"/>
      <c r="K899" s="2"/>
      <c r="L899" s="2"/>
      <c r="M899" s="2"/>
      <c r="N899" s="2"/>
      <c r="O899" s="2"/>
      <c r="P899" s="2"/>
      <c r="Q899" s="2"/>
      <c r="R899" s="2"/>
    </row>
    <row r="900">
      <c r="A900" s="2"/>
      <c r="B900" s="2"/>
      <c r="C900" s="2"/>
      <c r="D900" s="2"/>
      <c r="E900" s="2"/>
      <c r="F900" s="2"/>
      <c r="G900" s="2"/>
      <c r="H900" s="2"/>
      <c r="I900" s="2"/>
      <c r="J900" s="2"/>
      <c r="K900" s="2"/>
      <c r="L900" s="2"/>
      <c r="M900" s="2"/>
      <c r="N900" s="2"/>
      <c r="O900" s="2"/>
      <c r="P900" s="2"/>
      <c r="Q900" s="2"/>
      <c r="R900" s="2"/>
    </row>
    <row r="901">
      <c r="A901" s="2"/>
      <c r="B901" s="2"/>
      <c r="C901" s="2"/>
      <c r="D901" s="2"/>
      <c r="E901" s="2"/>
      <c r="F901" s="2"/>
      <c r="G901" s="2"/>
      <c r="H901" s="2"/>
      <c r="I901" s="2"/>
      <c r="J901" s="2"/>
      <c r="K901" s="2"/>
      <c r="L901" s="2"/>
      <c r="M901" s="2"/>
      <c r="N901" s="2"/>
      <c r="O901" s="2"/>
      <c r="P901" s="2"/>
      <c r="Q901" s="2"/>
      <c r="R901" s="2"/>
    </row>
    <row r="902">
      <c r="A902" s="2"/>
      <c r="B902" s="2"/>
      <c r="C902" s="2"/>
      <c r="D902" s="2"/>
      <c r="E902" s="2"/>
      <c r="F902" s="2"/>
      <c r="G902" s="2"/>
      <c r="H902" s="2"/>
      <c r="I902" s="2"/>
      <c r="J902" s="2"/>
      <c r="K902" s="2"/>
      <c r="L902" s="2"/>
      <c r="M902" s="2"/>
      <c r="N902" s="2"/>
      <c r="O902" s="2"/>
      <c r="P902" s="2"/>
      <c r="Q902" s="2"/>
      <c r="R902" s="2"/>
    </row>
    <row r="903">
      <c r="A903" s="2"/>
      <c r="B903" s="2"/>
      <c r="C903" s="2"/>
      <c r="D903" s="2"/>
      <c r="E903" s="2"/>
      <c r="F903" s="2"/>
      <c r="G903" s="2"/>
      <c r="H903" s="2"/>
      <c r="I903" s="2"/>
      <c r="J903" s="2"/>
      <c r="K903" s="2"/>
      <c r="L903" s="2"/>
      <c r="M903" s="2"/>
      <c r="N903" s="2"/>
      <c r="O903" s="2"/>
      <c r="P903" s="2"/>
      <c r="Q903" s="2"/>
      <c r="R903" s="2"/>
    </row>
    <row r="904">
      <c r="A904" s="2"/>
      <c r="B904" s="2"/>
      <c r="C904" s="2"/>
      <c r="D904" s="2"/>
      <c r="E904" s="2"/>
      <c r="F904" s="2"/>
      <c r="G904" s="2"/>
      <c r="H904" s="2"/>
      <c r="I904" s="2"/>
      <c r="J904" s="2"/>
      <c r="K904" s="2"/>
      <c r="L904" s="2"/>
      <c r="M904" s="2"/>
      <c r="N904" s="2"/>
      <c r="O904" s="2"/>
      <c r="P904" s="2"/>
      <c r="Q904" s="2"/>
      <c r="R904" s="2"/>
    </row>
    <row r="905">
      <c r="A905" s="2"/>
      <c r="B905" s="2"/>
      <c r="C905" s="2"/>
      <c r="D905" s="2"/>
      <c r="E905" s="2"/>
      <c r="F905" s="2"/>
      <c r="G905" s="2"/>
      <c r="H905" s="2"/>
      <c r="I905" s="2"/>
      <c r="J905" s="2"/>
      <c r="K905" s="2"/>
      <c r="L905" s="2"/>
      <c r="M905" s="2"/>
      <c r="N905" s="2"/>
      <c r="O905" s="2"/>
      <c r="P905" s="2"/>
      <c r="Q905" s="2"/>
      <c r="R905" s="2"/>
    </row>
    <row r="906">
      <c r="A906" s="2"/>
      <c r="B906" s="2"/>
      <c r="C906" s="2"/>
      <c r="D906" s="2"/>
      <c r="E906" s="2"/>
      <c r="F906" s="2"/>
      <c r="G906" s="2"/>
      <c r="H906" s="2"/>
      <c r="I906" s="2"/>
      <c r="J906" s="2"/>
      <c r="K906" s="2"/>
      <c r="L906" s="2"/>
      <c r="M906" s="2"/>
      <c r="N906" s="2"/>
      <c r="O906" s="2"/>
      <c r="P906" s="2"/>
      <c r="Q906" s="2"/>
      <c r="R906" s="2"/>
    </row>
    <row r="907">
      <c r="A907" s="2"/>
      <c r="B907" s="2"/>
      <c r="C907" s="2"/>
      <c r="D907" s="2"/>
      <c r="E907" s="2"/>
      <c r="F907" s="2"/>
      <c r="G907" s="2"/>
      <c r="H907" s="2"/>
      <c r="I907" s="2"/>
      <c r="J907" s="2"/>
      <c r="K907" s="2"/>
      <c r="L907" s="2"/>
      <c r="M907" s="2"/>
      <c r="N907" s="2"/>
      <c r="O907" s="2"/>
      <c r="P907" s="2"/>
      <c r="Q907" s="2"/>
      <c r="R907" s="2"/>
    </row>
    <row r="908">
      <c r="A908" s="2"/>
      <c r="B908" s="2"/>
      <c r="C908" s="2"/>
      <c r="D908" s="2"/>
      <c r="E908" s="2"/>
      <c r="F908" s="2"/>
      <c r="G908" s="2"/>
      <c r="H908" s="2"/>
      <c r="I908" s="2"/>
      <c r="J908" s="2"/>
      <c r="K908" s="2"/>
      <c r="L908" s="2"/>
      <c r="M908" s="2"/>
      <c r="N908" s="2"/>
      <c r="O908" s="2"/>
      <c r="P908" s="2"/>
      <c r="Q908" s="2"/>
      <c r="R908" s="2"/>
    </row>
    <row r="909">
      <c r="A909" s="2"/>
      <c r="B909" s="2"/>
      <c r="C909" s="2"/>
      <c r="D909" s="2"/>
      <c r="E909" s="2"/>
      <c r="F909" s="2"/>
      <c r="G909" s="2"/>
      <c r="H909" s="2"/>
      <c r="I909" s="2"/>
      <c r="J909" s="2"/>
      <c r="K909" s="2"/>
      <c r="L909" s="2"/>
      <c r="M909" s="2"/>
      <c r="N909" s="2"/>
      <c r="O909" s="2"/>
      <c r="P909" s="2"/>
      <c r="Q909" s="2"/>
      <c r="R909" s="2"/>
    </row>
    <row r="910">
      <c r="A910" s="2"/>
      <c r="B910" s="2"/>
      <c r="C910" s="2"/>
      <c r="D910" s="2"/>
      <c r="E910" s="2"/>
      <c r="F910" s="2"/>
      <c r="G910" s="2"/>
      <c r="H910" s="2"/>
      <c r="I910" s="2"/>
      <c r="J910" s="2"/>
      <c r="K910" s="2"/>
      <c r="L910" s="2"/>
      <c r="M910" s="2"/>
      <c r="N910" s="2"/>
      <c r="O910" s="2"/>
      <c r="P910" s="2"/>
      <c r="Q910" s="2"/>
      <c r="R910" s="2"/>
    </row>
    <row r="911">
      <c r="A911" s="2"/>
      <c r="B911" s="2"/>
      <c r="C911" s="2"/>
      <c r="D911" s="2"/>
      <c r="E911" s="2"/>
      <c r="F911" s="2"/>
      <c r="G911" s="2"/>
      <c r="H911" s="2"/>
      <c r="I911" s="2"/>
      <c r="J911" s="2"/>
      <c r="K911" s="2"/>
      <c r="L911" s="2"/>
      <c r="M911" s="2"/>
      <c r="N911" s="2"/>
      <c r="O911" s="2"/>
      <c r="P911" s="2"/>
      <c r="Q911" s="2"/>
      <c r="R911" s="2"/>
    </row>
    <row r="912">
      <c r="A912" s="2"/>
      <c r="B912" s="2"/>
      <c r="C912" s="2"/>
      <c r="D912" s="2"/>
      <c r="E912" s="2"/>
      <c r="F912" s="2"/>
      <c r="G912" s="2"/>
      <c r="H912" s="2"/>
      <c r="I912" s="2"/>
      <c r="J912" s="2"/>
      <c r="K912" s="2"/>
      <c r="L912" s="2"/>
      <c r="M912" s="2"/>
      <c r="N912" s="2"/>
      <c r="O912" s="2"/>
      <c r="P912" s="2"/>
      <c r="Q912" s="2"/>
      <c r="R912" s="2"/>
    </row>
    <row r="913">
      <c r="A913" s="2"/>
      <c r="B913" s="2"/>
      <c r="C913" s="2"/>
      <c r="D913" s="2"/>
      <c r="E913" s="2"/>
      <c r="F913" s="2"/>
      <c r="G913" s="2"/>
      <c r="H913" s="2"/>
      <c r="I913" s="2"/>
      <c r="J913" s="2"/>
      <c r="K913" s="2"/>
      <c r="L913" s="2"/>
      <c r="M913" s="2"/>
      <c r="N913" s="2"/>
      <c r="O913" s="2"/>
      <c r="P913" s="2"/>
      <c r="Q913" s="2"/>
      <c r="R913" s="2"/>
    </row>
    <row r="914">
      <c r="A914" s="2"/>
      <c r="B914" s="2"/>
      <c r="C914" s="2"/>
      <c r="D914" s="2"/>
      <c r="E914" s="2"/>
      <c r="F914" s="2"/>
      <c r="G914" s="2"/>
      <c r="H914" s="2"/>
      <c r="I914" s="2"/>
      <c r="J914" s="2"/>
      <c r="K914" s="2"/>
      <c r="L914" s="2"/>
      <c r="M914" s="2"/>
      <c r="N914" s="2"/>
      <c r="O914" s="2"/>
      <c r="P914" s="2"/>
      <c r="Q914" s="2"/>
      <c r="R914" s="2"/>
    </row>
    <row r="915">
      <c r="A915" s="2"/>
      <c r="B915" s="2"/>
      <c r="C915" s="2"/>
      <c r="D915" s="2"/>
      <c r="E915" s="2"/>
      <c r="F915" s="2"/>
      <c r="G915" s="2"/>
      <c r="H915" s="2"/>
      <c r="I915" s="2"/>
      <c r="J915" s="2"/>
      <c r="K915" s="2"/>
      <c r="L915" s="2"/>
      <c r="M915" s="2"/>
      <c r="N915" s="2"/>
      <c r="O915" s="2"/>
      <c r="P915" s="2"/>
      <c r="Q915" s="2"/>
      <c r="R915" s="2"/>
    </row>
    <row r="916">
      <c r="A916" s="2"/>
      <c r="B916" s="2"/>
      <c r="C916" s="2"/>
      <c r="D916" s="2"/>
      <c r="E916" s="2"/>
      <c r="F916" s="2"/>
      <c r="G916" s="2"/>
      <c r="H916" s="2"/>
      <c r="I916" s="2"/>
      <c r="J916" s="2"/>
      <c r="K916" s="2"/>
      <c r="L916" s="2"/>
      <c r="M916" s="2"/>
      <c r="N916" s="2"/>
      <c r="O916" s="2"/>
      <c r="P916" s="2"/>
      <c r="Q916" s="2"/>
      <c r="R916" s="2"/>
    </row>
    <row r="917">
      <c r="A917" s="2"/>
      <c r="B917" s="2"/>
      <c r="C917" s="2"/>
      <c r="D917" s="2"/>
      <c r="E917" s="2"/>
      <c r="F917" s="2"/>
      <c r="G917" s="2"/>
      <c r="H917" s="2"/>
      <c r="I917" s="2"/>
      <c r="J917" s="2"/>
      <c r="K917" s="2"/>
      <c r="L917" s="2"/>
      <c r="M917" s="2"/>
      <c r="N917" s="2"/>
      <c r="O917" s="2"/>
      <c r="P917" s="2"/>
      <c r="Q917" s="2"/>
      <c r="R917" s="2"/>
    </row>
    <row r="918">
      <c r="A918" s="2"/>
      <c r="B918" s="2"/>
      <c r="C918" s="2"/>
      <c r="D918" s="2"/>
      <c r="E918" s="2"/>
      <c r="F918" s="2"/>
      <c r="G918" s="2"/>
      <c r="H918" s="2"/>
      <c r="I918" s="2"/>
      <c r="J918" s="2"/>
      <c r="K918" s="2"/>
      <c r="L918" s="2"/>
      <c r="M918" s="2"/>
      <c r="N918" s="2"/>
      <c r="O918" s="2"/>
      <c r="P918" s="2"/>
      <c r="Q918" s="2"/>
      <c r="R918" s="2"/>
    </row>
    <row r="919">
      <c r="A919" s="2"/>
      <c r="B919" s="2"/>
      <c r="C919" s="2"/>
      <c r="D919" s="2"/>
      <c r="E919" s="2"/>
      <c r="F919" s="2"/>
      <c r="G919" s="2"/>
      <c r="H919" s="2"/>
      <c r="I919" s="2"/>
      <c r="J919" s="2"/>
      <c r="K919" s="2"/>
      <c r="L919" s="2"/>
      <c r="M919" s="2"/>
      <c r="N919" s="2"/>
      <c r="O919" s="2"/>
      <c r="P919" s="2"/>
      <c r="Q919" s="2"/>
      <c r="R919" s="2"/>
    </row>
    <row r="920">
      <c r="A920" s="2"/>
      <c r="B920" s="2"/>
      <c r="C920" s="2"/>
      <c r="D920" s="2"/>
      <c r="E920" s="2"/>
      <c r="F920" s="2"/>
      <c r="G920" s="2"/>
      <c r="H920" s="2"/>
      <c r="I920" s="2"/>
      <c r="J920" s="2"/>
      <c r="K920" s="2"/>
      <c r="L920" s="2"/>
      <c r="M920" s="2"/>
      <c r="N920" s="2"/>
      <c r="O920" s="2"/>
      <c r="P920" s="2"/>
      <c r="Q920" s="2"/>
      <c r="R920" s="2"/>
    </row>
    <row r="921">
      <c r="A921" s="2"/>
      <c r="B921" s="2"/>
      <c r="C921" s="2"/>
      <c r="D921" s="2"/>
      <c r="E921" s="2"/>
      <c r="F921" s="2"/>
      <c r="G921" s="2"/>
      <c r="H921" s="2"/>
      <c r="I921" s="2"/>
      <c r="J921" s="2"/>
      <c r="K921" s="2"/>
      <c r="L921" s="2"/>
      <c r="M921" s="2"/>
      <c r="N921" s="2"/>
      <c r="O921" s="2"/>
      <c r="P921" s="2"/>
      <c r="Q921" s="2"/>
      <c r="R921" s="2"/>
    </row>
    <row r="922">
      <c r="A922" s="2"/>
      <c r="B922" s="2"/>
      <c r="C922" s="2"/>
      <c r="D922" s="2"/>
      <c r="E922" s="2"/>
      <c r="F922" s="2"/>
      <c r="G922" s="2"/>
      <c r="H922" s="2"/>
      <c r="I922" s="2"/>
      <c r="J922" s="2"/>
      <c r="K922" s="2"/>
      <c r="L922" s="2"/>
      <c r="M922" s="2"/>
      <c r="N922" s="2"/>
      <c r="O922" s="2"/>
      <c r="P922" s="2"/>
      <c r="Q922" s="2"/>
      <c r="R922" s="2"/>
    </row>
    <row r="923">
      <c r="A923" s="2"/>
      <c r="B923" s="2"/>
      <c r="C923" s="2"/>
      <c r="D923" s="2"/>
      <c r="E923" s="2"/>
      <c r="F923" s="2"/>
      <c r="G923" s="2"/>
      <c r="H923" s="2"/>
      <c r="I923" s="2"/>
      <c r="J923" s="2"/>
      <c r="K923" s="2"/>
      <c r="L923" s="2"/>
      <c r="M923" s="2"/>
      <c r="N923" s="2"/>
      <c r="O923" s="2"/>
      <c r="P923" s="2"/>
      <c r="Q923" s="2"/>
      <c r="R923" s="2"/>
    </row>
    <row r="924">
      <c r="A924" s="2"/>
      <c r="B924" s="2"/>
      <c r="C924" s="2"/>
      <c r="D924" s="2"/>
      <c r="E924" s="2"/>
      <c r="F924" s="2"/>
      <c r="G924" s="2"/>
      <c r="H924" s="2"/>
      <c r="I924" s="2"/>
      <c r="J924" s="2"/>
      <c r="K924" s="2"/>
      <c r="L924" s="2"/>
      <c r="M924" s="2"/>
      <c r="N924" s="2"/>
      <c r="O924" s="2"/>
      <c r="P924" s="2"/>
      <c r="Q924" s="2"/>
      <c r="R924" s="2"/>
    </row>
    <row r="925">
      <c r="A925" s="2"/>
      <c r="B925" s="2"/>
      <c r="C925" s="2"/>
      <c r="D925" s="2"/>
      <c r="E925" s="2"/>
      <c r="F925" s="2"/>
      <c r="G925" s="2"/>
      <c r="H925" s="2"/>
      <c r="I925" s="2"/>
      <c r="J925" s="2"/>
      <c r="K925" s="2"/>
      <c r="L925" s="2"/>
      <c r="M925" s="2"/>
      <c r="N925" s="2"/>
      <c r="O925" s="2"/>
      <c r="P925" s="2"/>
      <c r="Q925" s="2"/>
      <c r="R925" s="2"/>
    </row>
    <row r="926">
      <c r="A926" s="2"/>
      <c r="B926" s="2"/>
      <c r="C926" s="2"/>
      <c r="D926" s="2"/>
      <c r="E926" s="2"/>
      <c r="F926" s="2"/>
      <c r="G926" s="2"/>
      <c r="H926" s="2"/>
      <c r="I926" s="2"/>
      <c r="J926" s="2"/>
      <c r="K926" s="2"/>
      <c r="L926" s="2"/>
      <c r="M926" s="2"/>
      <c r="N926" s="2"/>
      <c r="O926" s="2"/>
      <c r="P926" s="2"/>
      <c r="Q926" s="2"/>
      <c r="R926" s="2"/>
    </row>
    <row r="927">
      <c r="A927" s="2"/>
      <c r="B927" s="2"/>
      <c r="C927" s="2"/>
      <c r="D927" s="2"/>
      <c r="E927" s="2"/>
      <c r="F927" s="2"/>
      <c r="G927" s="2"/>
      <c r="H927" s="2"/>
      <c r="I927" s="2"/>
      <c r="J927" s="2"/>
      <c r="K927" s="2"/>
      <c r="L927" s="2"/>
      <c r="M927" s="2"/>
      <c r="N927" s="2"/>
      <c r="O927" s="2"/>
      <c r="P927" s="2"/>
      <c r="Q927" s="2"/>
      <c r="R927" s="2"/>
    </row>
    <row r="928">
      <c r="A928" s="2"/>
      <c r="B928" s="2"/>
      <c r="C928" s="2"/>
      <c r="D928" s="2"/>
      <c r="E928" s="2"/>
      <c r="F928" s="2"/>
      <c r="G928" s="2"/>
      <c r="H928" s="2"/>
      <c r="I928" s="2"/>
      <c r="J928" s="2"/>
      <c r="K928" s="2"/>
      <c r="L928" s="2"/>
      <c r="M928" s="2"/>
      <c r="N928" s="2"/>
      <c r="O928" s="2"/>
      <c r="P928" s="2"/>
      <c r="Q928" s="2"/>
      <c r="R928" s="2"/>
    </row>
    <row r="929">
      <c r="A929" s="2"/>
      <c r="B929" s="2"/>
      <c r="C929" s="2"/>
      <c r="D929" s="2"/>
      <c r="E929" s="2"/>
      <c r="F929" s="2"/>
      <c r="G929" s="2"/>
      <c r="H929" s="2"/>
      <c r="I929" s="2"/>
      <c r="J929" s="2"/>
      <c r="K929" s="2"/>
      <c r="L929" s="2"/>
      <c r="M929" s="2"/>
      <c r="N929" s="2"/>
      <c r="O929" s="2"/>
      <c r="P929" s="2"/>
      <c r="Q929" s="2"/>
      <c r="R929" s="2"/>
    </row>
    <row r="930">
      <c r="A930" s="2"/>
      <c r="B930" s="2"/>
      <c r="C930" s="2"/>
      <c r="D930" s="2"/>
      <c r="E930" s="2"/>
      <c r="F930" s="2"/>
      <c r="G930" s="2"/>
      <c r="H930" s="2"/>
      <c r="I930" s="2"/>
      <c r="J930" s="2"/>
      <c r="K930" s="2"/>
      <c r="L930" s="2"/>
      <c r="M930" s="2"/>
      <c r="N930" s="2"/>
      <c r="O930" s="2"/>
      <c r="P930" s="2"/>
      <c r="Q930" s="2"/>
      <c r="R930" s="2"/>
    </row>
    <row r="931">
      <c r="A931" s="2"/>
      <c r="B931" s="2"/>
      <c r="C931" s="2"/>
      <c r="D931" s="2"/>
      <c r="E931" s="2"/>
      <c r="F931" s="2"/>
      <c r="G931" s="2"/>
      <c r="H931" s="2"/>
      <c r="I931" s="2"/>
      <c r="J931" s="2"/>
      <c r="K931" s="2"/>
      <c r="L931" s="2"/>
      <c r="M931" s="2"/>
      <c r="N931" s="2"/>
      <c r="O931" s="2"/>
      <c r="P931" s="2"/>
      <c r="Q931" s="2"/>
      <c r="R931" s="2"/>
    </row>
    <row r="932">
      <c r="A932" s="2"/>
      <c r="B932" s="2"/>
      <c r="C932" s="2"/>
      <c r="D932" s="2"/>
      <c r="E932" s="2"/>
      <c r="F932" s="2"/>
      <c r="G932" s="2"/>
      <c r="H932" s="2"/>
      <c r="I932" s="2"/>
      <c r="J932" s="2"/>
      <c r="K932" s="2"/>
      <c r="L932" s="2"/>
      <c r="M932" s="2"/>
      <c r="N932" s="2"/>
      <c r="O932" s="2"/>
      <c r="P932" s="2"/>
      <c r="Q932" s="2"/>
      <c r="R932" s="2"/>
    </row>
    <row r="933">
      <c r="A933" s="2"/>
      <c r="B933" s="2"/>
      <c r="C933" s="2"/>
      <c r="D933" s="2"/>
      <c r="E933" s="2"/>
      <c r="F933" s="2"/>
      <c r="G933" s="2"/>
      <c r="H933" s="2"/>
      <c r="I933" s="2"/>
      <c r="J933" s="2"/>
      <c r="K933" s="2"/>
      <c r="L933" s="2"/>
      <c r="M933" s="2"/>
      <c r="N933" s="2"/>
      <c r="O933" s="2"/>
      <c r="P933" s="2"/>
      <c r="Q933" s="2"/>
      <c r="R933" s="2"/>
    </row>
    <row r="934">
      <c r="A934" s="2"/>
      <c r="B934" s="2"/>
      <c r="C934" s="2"/>
      <c r="D934" s="2"/>
      <c r="E934" s="2"/>
      <c r="F934" s="2"/>
      <c r="G934" s="2"/>
      <c r="H934" s="2"/>
      <c r="I934" s="2"/>
      <c r="J934" s="2"/>
      <c r="K934" s="2"/>
      <c r="L934" s="2"/>
      <c r="M934" s="2"/>
      <c r="N934" s="2"/>
      <c r="O934" s="2"/>
      <c r="P934" s="2"/>
      <c r="Q934" s="2"/>
      <c r="R934" s="2"/>
    </row>
    <row r="935">
      <c r="A935" s="2"/>
      <c r="B935" s="2"/>
      <c r="C935" s="2"/>
      <c r="D935" s="2"/>
      <c r="E935" s="2"/>
      <c r="F935" s="2"/>
      <c r="G935" s="2"/>
      <c r="H935" s="2"/>
      <c r="I935" s="2"/>
      <c r="J935" s="2"/>
      <c r="K935" s="2"/>
      <c r="L935" s="2"/>
      <c r="M935" s="2"/>
      <c r="N935" s="2"/>
      <c r="O935" s="2"/>
      <c r="P935" s="2"/>
      <c r="Q935" s="2"/>
      <c r="R935" s="2"/>
    </row>
    <row r="936">
      <c r="A936" s="2"/>
      <c r="B936" s="2"/>
      <c r="C936" s="2"/>
      <c r="D936" s="2"/>
      <c r="E936" s="2"/>
      <c r="F936" s="2"/>
      <c r="G936" s="2"/>
      <c r="H936" s="2"/>
      <c r="I936" s="2"/>
      <c r="J936" s="2"/>
      <c r="K936" s="2"/>
      <c r="L936" s="2"/>
      <c r="M936" s="2"/>
      <c r="N936" s="2"/>
      <c r="O936" s="2"/>
      <c r="P936" s="2"/>
      <c r="Q936" s="2"/>
      <c r="R936" s="2"/>
    </row>
    <row r="937">
      <c r="A937" s="2"/>
      <c r="B937" s="2"/>
      <c r="C937" s="2"/>
      <c r="D937" s="2"/>
      <c r="E937" s="2"/>
      <c r="F937" s="2"/>
      <c r="G937" s="2"/>
      <c r="H937" s="2"/>
      <c r="I937" s="2"/>
      <c r="J937" s="2"/>
      <c r="K937" s="2"/>
      <c r="L937" s="2"/>
      <c r="M937" s="2"/>
      <c r="N937" s="2"/>
      <c r="O937" s="2"/>
      <c r="P937" s="2"/>
      <c r="Q937" s="2"/>
      <c r="R937" s="2"/>
    </row>
    <row r="938">
      <c r="A938" s="2"/>
      <c r="B938" s="2"/>
      <c r="C938" s="2"/>
      <c r="D938" s="2"/>
      <c r="E938" s="2"/>
      <c r="F938" s="2"/>
      <c r="G938" s="2"/>
      <c r="H938" s="2"/>
      <c r="I938" s="2"/>
      <c r="J938" s="2"/>
      <c r="K938" s="2"/>
      <c r="L938" s="2"/>
      <c r="M938" s="2"/>
      <c r="N938" s="2"/>
      <c r="O938" s="2"/>
      <c r="P938" s="2"/>
      <c r="Q938" s="2"/>
      <c r="R938" s="2"/>
    </row>
    <row r="939">
      <c r="A939" s="2"/>
      <c r="B939" s="2"/>
      <c r="C939" s="2"/>
      <c r="D939" s="2"/>
      <c r="E939" s="2"/>
      <c r="F939" s="2"/>
      <c r="G939" s="2"/>
      <c r="H939" s="2"/>
      <c r="I939" s="2"/>
      <c r="J939" s="2"/>
      <c r="K939" s="2"/>
      <c r="L939" s="2"/>
      <c r="M939" s="2"/>
      <c r="N939" s="2"/>
      <c r="O939" s="2"/>
      <c r="P939" s="2"/>
      <c r="Q939" s="2"/>
      <c r="R939" s="2"/>
    </row>
    <row r="940">
      <c r="A940" s="2"/>
      <c r="B940" s="2"/>
      <c r="C940" s="2"/>
      <c r="D940" s="2"/>
      <c r="E940" s="2"/>
      <c r="F940" s="2"/>
      <c r="G940" s="2"/>
      <c r="H940" s="2"/>
      <c r="I940" s="2"/>
      <c r="J940" s="2"/>
      <c r="K940" s="2"/>
      <c r="L940" s="2"/>
      <c r="M940" s="2"/>
      <c r="N940" s="2"/>
      <c r="O940" s="2"/>
      <c r="P940" s="2"/>
      <c r="Q940" s="2"/>
      <c r="R940" s="2"/>
    </row>
    <row r="941">
      <c r="A941" s="2"/>
      <c r="B941" s="2"/>
      <c r="C941" s="2"/>
      <c r="D941" s="2"/>
      <c r="E941" s="2"/>
      <c r="F941" s="2"/>
      <c r="G941" s="2"/>
      <c r="H941" s="2"/>
      <c r="I941" s="2"/>
      <c r="J941" s="2"/>
      <c r="K941" s="2"/>
      <c r="L941" s="2"/>
      <c r="M941" s="2"/>
      <c r="N941" s="2"/>
      <c r="O941" s="2"/>
      <c r="P941" s="2"/>
      <c r="Q941" s="2"/>
      <c r="R941" s="2"/>
    </row>
    <row r="942">
      <c r="A942" s="2"/>
      <c r="B942" s="2"/>
      <c r="C942" s="2"/>
      <c r="D942" s="2"/>
      <c r="E942" s="2"/>
      <c r="F942" s="2"/>
      <c r="G942" s="2"/>
      <c r="H942" s="2"/>
      <c r="I942" s="2"/>
      <c r="J942" s="2"/>
      <c r="K942" s="2"/>
      <c r="L942" s="2"/>
      <c r="M942" s="2"/>
      <c r="N942" s="2"/>
      <c r="O942" s="2"/>
      <c r="P942" s="2"/>
      <c r="Q942" s="2"/>
      <c r="R942" s="2"/>
    </row>
    <row r="943">
      <c r="A943" s="2"/>
      <c r="B943" s="2"/>
      <c r="C943" s="2"/>
      <c r="D943" s="2"/>
      <c r="E943" s="2"/>
      <c r="F943" s="2"/>
      <c r="G943" s="2"/>
      <c r="H943" s="2"/>
      <c r="I943" s="2"/>
      <c r="J943" s="2"/>
      <c r="K943" s="2"/>
      <c r="L943" s="2"/>
      <c r="M943" s="2"/>
      <c r="N943" s="2"/>
      <c r="O943" s="2"/>
      <c r="P943" s="2"/>
      <c r="Q943" s="2"/>
      <c r="R943" s="2"/>
    </row>
    <row r="944">
      <c r="A944" s="2"/>
      <c r="B944" s="2"/>
      <c r="C944" s="2"/>
      <c r="D944" s="2"/>
      <c r="E944" s="2"/>
      <c r="F944" s="2"/>
      <c r="G944" s="2"/>
      <c r="H944" s="2"/>
      <c r="I944" s="2"/>
      <c r="J944" s="2"/>
      <c r="K944" s="2"/>
      <c r="L944" s="2"/>
      <c r="M944" s="2"/>
      <c r="N944" s="2"/>
      <c r="O944" s="2"/>
      <c r="P944" s="2"/>
      <c r="Q944" s="2"/>
      <c r="R944" s="2"/>
    </row>
    <row r="945">
      <c r="A945" s="2"/>
      <c r="B945" s="2"/>
      <c r="C945" s="2"/>
      <c r="D945" s="2"/>
      <c r="E945" s="2"/>
      <c r="F945" s="2"/>
      <c r="G945" s="2"/>
      <c r="H945" s="2"/>
      <c r="I945" s="2"/>
      <c r="J945" s="2"/>
      <c r="K945" s="2"/>
      <c r="L945" s="2"/>
      <c r="M945" s="2"/>
      <c r="N945" s="2"/>
      <c r="O945" s="2"/>
      <c r="P945" s="2"/>
      <c r="Q945" s="2"/>
      <c r="R945" s="2"/>
    </row>
    <row r="946">
      <c r="A946" s="2"/>
      <c r="B946" s="2"/>
      <c r="C946" s="2"/>
      <c r="D946" s="2"/>
      <c r="E946" s="2"/>
      <c r="F946" s="2"/>
      <c r="G946" s="2"/>
      <c r="H946" s="2"/>
      <c r="I946" s="2"/>
      <c r="J946" s="2"/>
      <c r="K946" s="2"/>
      <c r="L946" s="2"/>
      <c r="M946" s="2"/>
      <c r="N946" s="2"/>
      <c r="O946" s="2"/>
      <c r="P946" s="2"/>
      <c r="Q946" s="2"/>
      <c r="R946" s="2"/>
    </row>
    <row r="947">
      <c r="A947" s="2"/>
      <c r="B947" s="2"/>
      <c r="C947" s="2"/>
      <c r="D947" s="2"/>
      <c r="E947" s="2"/>
      <c r="F947" s="2"/>
      <c r="G947" s="2"/>
      <c r="H947" s="2"/>
      <c r="I947" s="2"/>
      <c r="J947" s="2"/>
      <c r="K947" s="2"/>
      <c r="L947" s="2"/>
      <c r="M947" s="2"/>
      <c r="N947" s="2"/>
      <c r="O947" s="2"/>
      <c r="P947" s="2"/>
      <c r="Q947" s="2"/>
      <c r="R947" s="2"/>
    </row>
    <row r="948">
      <c r="A948" s="2"/>
      <c r="B948" s="2"/>
      <c r="C948" s="2"/>
      <c r="D948" s="2"/>
      <c r="E948" s="2"/>
      <c r="F948" s="2"/>
      <c r="G948" s="2"/>
      <c r="H948" s="2"/>
      <c r="I948" s="2"/>
      <c r="J948" s="2"/>
      <c r="K948" s="2"/>
      <c r="L948" s="2"/>
      <c r="M948" s="2"/>
      <c r="N948" s="2"/>
      <c r="O948" s="2"/>
      <c r="P948" s="2"/>
      <c r="Q948" s="2"/>
      <c r="R948" s="2"/>
    </row>
    <row r="949">
      <c r="A949" s="2"/>
      <c r="B949" s="2"/>
      <c r="C949" s="2"/>
      <c r="D949" s="2"/>
      <c r="E949" s="2"/>
      <c r="F949" s="2"/>
      <c r="G949" s="2"/>
      <c r="H949" s="2"/>
      <c r="I949" s="2"/>
      <c r="J949" s="2"/>
      <c r="K949" s="2"/>
      <c r="L949" s="2"/>
      <c r="M949" s="2"/>
      <c r="N949" s="2"/>
      <c r="O949" s="2"/>
      <c r="P949" s="2"/>
      <c r="Q949" s="2"/>
      <c r="R949" s="2"/>
    </row>
    <row r="950">
      <c r="A950" s="2"/>
      <c r="B950" s="2"/>
      <c r="C950" s="2"/>
      <c r="D950" s="2"/>
      <c r="E950" s="2"/>
      <c r="F950" s="2"/>
      <c r="G950" s="2"/>
      <c r="H950" s="2"/>
      <c r="I950" s="2"/>
      <c r="J950" s="2"/>
      <c r="K950" s="2"/>
      <c r="L950" s="2"/>
      <c r="M950" s="2"/>
      <c r="N950" s="2"/>
      <c r="O950" s="2"/>
      <c r="P950" s="2"/>
      <c r="Q950" s="2"/>
      <c r="R950" s="2"/>
    </row>
    <row r="951">
      <c r="A951" s="2"/>
      <c r="B951" s="2"/>
      <c r="C951" s="2"/>
      <c r="D951" s="2"/>
      <c r="E951" s="2"/>
      <c r="F951" s="2"/>
      <c r="G951" s="2"/>
      <c r="H951" s="2"/>
      <c r="I951" s="2"/>
      <c r="J951" s="2"/>
      <c r="K951" s="2"/>
      <c r="L951" s="2"/>
      <c r="M951" s="2"/>
      <c r="N951" s="2"/>
      <c r="O951" s="2"/>
      <c r="P951" s="2"/>
      <c r="Q951" s="2"/>
      <c r="R951" s="2"/>
    </row>
    <row r="952">
      <c r="A952" s="2"/>
      <c r="B952" s="2"/>
      <c r="C952" s="2"/>
      <c r="D952" s="2"/>
      <c r="E952" s="2"/>
      <c r="F952" s="2"/>
      <c r="G952" s="2"/>
      <c r="H952" s="2"/>
      <c r="I952" s="2"/>
      <c r="J952" s="2"/>
      <c r="K952" s="2"/>
      <c r="L952" s="2"/>
      <c r="M952" s="2"/>
      <c r="N952" s="2"/>
      <c r="O952" s="2"/>
      <c r="P952" s="2"/>
      <c r="Q952" s="2"/>
      <c r="R952" s="2"/>
    </row>
    <row r="953">
      <c r="A953" s="2"/>
      <c r="B953" s="2"/>
      <c r="C953" s="2"/>
      <c r="D953" s="2"/>
      <c r="E953" s="2"/>
      <c r="F953" s="2"/>
      <c r="G953" s="2"/>
      <c r="H953" s="2"/>
      <c r="I953" s="2"/>
      <c r="J953" s="2"/>
      <c r="K953" s="2"/>
      <c r="L953" s="2"/>
      <c r="M953" s="2"/>
      <c r="N953" s="2"/>
      <c r="O953" s="2"/>
      <c r="P953" s="2"/>
      <c r="Q953" s="2"/>
      <c r="R953" s="2"/>
    </row>
    <row r="954">
      <c r="A954" s="2"/>
      <c r="B954" s="2"/>
      <c r="C954" s="2"/>
      <c r="D954" s="2"/>
      <c r="E954" s="2"/>
      <c r="F954" s="2"/>
      <c r="G954" s="2"/>
      <c r="H954" s="2"/>
      <c r="I954" s="2"/>
      <c r="J954" s="2"/>
      <c r="K954" s="2"/>
      <c r="L954" s="2"/>
      <c r="M954" s="2"/>
      <c r="N954" s="2"/>
      <c r="O954" s="2"/>
      <c r="P954" s="2"/>
      <c r="Q954" s="2"/>
      <c r="R954" s="2"/>
    </row>
    <row r="955">
      <c r="A955" s="2"/>
      <c r="B955" s="2"/>
      <c r="C955" s="2"/>
      <c r="D955" s="2"/>
      <c r="E955" s="2"/>
      <c r="F955" s="2"/>
      <c r="G955" s="2"/>
      <c r="H955" s="2"/>
      <c r="I955" s="2"/>
      <c r="J955" s="2"/>
      <c r="K955" s="2"/>
      <c r="L955" s="2"/>
      <c r="M955" s="2"/>
      <c r="N955" s="2"/>
      <c r="O955" s="2"/>
      <c r="P955" s="2"/>
      <c r="Q955" s="2"/>
      <c r="R955" s="2"/>
    </row>
    <row r="956">
      <c r="A956" s="2"/>
      <c r="B956" s="2"/>
      <c r="C956" s="2"/>
      <c r="D956" s="2"/>
      <c r="E956" s="2"/>
      <c r="F956" s="2"/>
      <c r="G956" s="2"/>
      <c r="H956" s="2"/>
      <c r="I956" s="2"/>
      <c r="J956" s="2"/>
      <c r="K956" s="2"/>
      <c r="L956" s="2"/>
      <c r="M956" s="2"/>
      <c r="N956" s="2"/>
      <c r="O956" s="2"/>
      <c r="P956" s="2"/>
      <c r="Q956" s="2"/>
      <c r="R956" s="2"/>
    </row>
    <row r="957">
      <c r="A957" s="2"/>
      <c r="B957" s="2"/>
      <c r="C957" s="2"/>
      <c r="D957" s="2"/>
      <c r="E957" s="2"/>
      <c r="F957" s="2"/>
      <c r="G957" s="2"/>
      <c r="H957" s="2"/>
      <c r="I957" s="2"/>
      <c r="J957" s="2"/>
      <c r="K957" s="2"/>
      <c r="L957" s="2"/>
      <c r="M957" s="2"/>
      <c r="N957" s="2"/>
      <c r="O957" s="2"/>
      <c r="P957" s="2"/>
      <c r="Q957" s="2"/>
      <c r="R957" s="2"/>
    </row>
    <row r="958">
      <c r="A958" s="2"/>
      <c r="B958" s="2"/>
      <c r="C958" s="2"/>
      <c r="D958" s="2"/>
      <c r="E958" s="2"/>
      <c r="F958" s="2"/>
      <c r="G958" s="2"/>
      <c r="H958" s="2"/>
      <c r="I958" s="2"/>
      <c r="J958" s="2"/>
      <c r="K958" s="2"/>
      <c r="L958" s="2"/>
      <c r="M958" s="2"/>
      <c r="N958" s="2"/>
      <c r="O958" s="2"/>
      <c r="P958" s="2"/>
      <c r="Q958" s="2"/>
      <c r="R958" s="2"/>
    </row>
    <row r="959">
      <c r="A959" s="2"/>
      <c r="B959" s="2"/>
      <c r="C959" s="2"/>
      <c r="D959" s="2"/>
      <c r="E959" s="2"/>
      <c r="F959" s="2"/>
      <c r="G959" s="2"/>
      <c r="H959" s="2"/>
      <c r="I959" s="2"/>
      <c r="J959" s="2"/>
      <c r="K959" s="2"/>
      <c r="L959" s="2"/>
      <c r="M959" s="2"/>
      <c r="N959" s="2"/>
      <c r="O959" s="2"/>
      <c r="P959" s="2"/>
      <c r="Q959" s="2"/>
      <c r="R959" s="2"/>
    </row>
    <row r="960">
      <c r="A960" s="2"/>
      <c r="B960" s="2"/>
      <c r="C960" s="2"/>
      <c r="D960" s="2"/>
      <c r="E960" s="2"/>
      <c r="F960" s="2"/>
      <c r="G960" s="2"/>
      <c r="H960" s="2"/>
      <c r="I960" s="2"/>
      <c r="J960" s="2"/>
      <c r="K960" s="2"/>
      <c r="L960" s="2"/>
      <c r="M960" s="2"/>
      <c r="N960" s="2"/>
      <c r="O960" s="2"/>
      <c r="P960" s="2"/>
      <c r="Q960" s="2"/>
      <c r="R960" s="2"/>
    </row>
    <row r="961">
      <c r="A961" s="2"/>
      <c r="B961" s="2"/>
      <c r="C961" s="2"/>
      <c r="D961" s="2"/>
      <c r="E961" s="2"/>
      <c r="F961" s="2"/>
      <c r="G961" s="2"/>
      <c r="H961" s="2"/>
      <c r="I961" s="2"/>
      <c r="J961" s="2"/>
      <c r="K961" s="2"/>
      <c r="L961" s="2"/>
      <c r="M961" s="2"/>
      <c r="N961" s="2"/>
      <c r="O961" s="2"/>
      <c r="P961" s="2"/>
      <c r="Q961" s="2"/>
      <c r="R961" s="2"/>
    </row>
    <row r="962">
      <c r="A962" s="2"/>
      <c r="B962" s="2"/>
      <c r="C962" s="2"/>
      <c r="D962" s="2"/>
      <c r="E962" s="2"/>
      <c r="F962" s="2"/>
      <c r="G962" s="2"/>
      <c r="H962" s="2"/>
      <c r="I962" s="2"/>
      <c r="J962" s="2"/>
      <c r="K962" s="2"/>
      <c r="L962" s="2"/>
      <c r="M962" s="2"/>
      <c r="N962" s="2"/>
      <c r="O962" s="2"/>
      <c r="P962" s="2"/>
      <c r="Q962" s="2"/>
      <c r="R962" s="2"/>
    </row>
    <row r="963">
      <c r="A963" s="2"/>
      <c r="B963" s="2"/>
      <c r="C963" s="2"/>
      <c r="D963" s="2"/>
      <c r="E963" s="2"/>
      <c r="F963" s="2"/>
      <c r="G963" s="2"/>
      <c r="H963" s="2"/>
      <c r="I963" s="2"/>
      <c r="J963" s="2"/>
      <c r="K963" s="2"/>
      <c r="L963" s="2"/>
      <c r="M963" s="2"/>
      <c r="N963" s="2"/>
      <c r="O963" s="2"/>
      <c r="P963" s="2"/>
      <c r="Q963" s="2"/>
      <c r="R963" s="2"/>
    </row>
    <row r="964">
      <c r="A964" s="2"/>
      <c r="B964" s="2"/>
      <c r="C964" s="2"/>
      <c r="D964" s="2"/>
      <c r="E964" s="2"/>
      <c r="F964" s="2"/>
      <c r="G964" s="2"/>
      <c r="H964" s="2"/>
      <c r="I964" s="2"/>
      <c r="J964" s="2"/>
      <c r="K964" s="2"/>
      <c r="L964" s="2"/>
      <c r="M964" s="2"/>
      <c r="N964" s="2"/>
      <c r="O964" s="2"/>
      <c r="P964" s="2"/>
      <c r="Q964" s="2"/>
      <c r="R964" s="2"/>
    </row>
    <row r="965">
      <c r="A965" s="2"/>
      <c r="B965" s="2"/>
      <c r="C965" s="2"/>
      <c r="D965" s="2"/>
      <c r="E965" s="2"/>
      <c r="F965" s="2"/>
      <c r="G965" s="2"/>
      <c r="H965" s="2"/>
      <c r="I965" s="2"/>
      <c r="J965" s="2"/>
      <c r="K965" s="2"/>
      <c r="L965" s="2"/>
      <c r="M965" s="2"/>
      <c r="N965" s="2"/>
      <c r="O965" s="2"/>
      <c r="P965" s="2"/>
      <c r="Q965" s="2"/>
      <c r="R965" s="2"/>
    </row>
    <row r="966">
      <c r="A966" s="2"/>
      <c r="B966" s="2"/>
      <c r="C966" s="2"/>
      <c r="D966" s="2"/>
      <c r="E966" s="2"/>
      <c r="F966" s="2"/>
      <c r="G966" s="2"/>
      <c r="H966" s="2"/>
      <c r="I966" s="2"/>
      <c r="J966" s="2"/>
      <c r="K966" s="2"/>
      <c r="L966" s="2"/>
      <c r="M966" s="2"/>
      <c r="N966" s="2"/>
      <c r="O966" s="2"/>
      <c r="P966" s="2"/>
      <c r="Q966" s="2"/>
      <c r="R966" s="2"/>
    </row>
    <row r="967">
      <c r="A967" s="2"/>
      <c r="B967" s="2"/>
      <c r="C967" s="2"/>
      <c r="D967" s="2"/>
      <c r="E967" s="2"/>
      <c r="F967" s="2"/>
      <c r="G967" s="2"/>
      <c r="H967" s="2"/>
      <c r="I967" s="2"/>
      <c r="J967" s="2"/>
      <c r="K967" s="2"/>
      <c r="L967" s="2"/>
      <c r="M967" s="2"/>
      <c r="N967" s="2"/>
      <c r="O967" s="2"/>
      <c r="P967" s="2"/>
      <c r="Q967" s="2"/>
      <c r="R967" s="2"/>
    </row>
    <row r="968">
      <c r="A968" s="2"/>
      <c r="B968" s="2"/>
      <c r="C968" s="2"/>
      <c r="D968" s="2"/>
      <c r="E968" s="2"/>
      <c r="F968" s="2"/>
      <c r="G968" s="2"/>
      <c r="H968" s="2"/>
      <c r="I968" s="2"/>
      <c r="J968" s="2"/>
      <c r="K968" s="2"/>
      <c r="L968" s="2"/>
      <c r="M968" s="2"/>
      <c r="N968" s="2"/>
      <c r="O968" s="2"/>
      <c r="P968" s="2"/>
      <c r="Q968" s="2"/>
      <c r="R968" s="2"/>
    </row>
    <row r="969">
      <c r="A969" s="2"/>
      <c r="B969" s="2"/>
      <c r="C969" s="2"/>
      <c r="D969" s="2"/>
      <c r="E969" s="2"/>
      <c r="F969" s="2"/>
      <c r="G969" s="2"/>
      <c r="H969" s="2"/>
      <c r="I969" s="2"/>
      <c r="J969" s="2"/>
      <c r="K969" s="2"/>
      <c r="L969" s="2"/>
      <c r="M969" s="2"/>
      <c r="N969" s="2"/>
      <c r="O969" s="2"/>
      <c r="P969" s="2"/>
      <c r="Q969" s="2"/>
      <c r="R969" s="2"/>
    </row>
    <row r="970">
      <c r="A970" s="2"/>
      <c r="B970" s="2"/>
      <c r="C970" s="2"/>
      <c r="D970" s="2"/>
      <c r="E970" s="2"/>
      <c r="F970" s="2"/>
      <c r="G970" s="2"/>
      <c r="H970" s="2"/>
      <c r="I970" s="2"/>
      <c r="J970" s="2"/>
      <c r="K970" s="2"/>
      <c r="L970" s="2"/>
      <c r="M970" s="2"/>
      <c r="N970" s="2"/>
      <c r="O970" s="2"/>
      <c r="P970" s="2"/>
      <c r="Q970" s="2"/>
      <c r="R970" s="2"/>
    </row>
    <row r="971">
      <c r="A971" s="2"/>
      <c r="B971" s="2"/>
      <c r="C971" s="2"/>
      <c r="D971" s="2"/>
      <c r="E971" s="2"/>
      <c r="F971" s="2"/>
      <c r="G971" s="2"/>
      <c r="H971" s="2"/>
      <c r="I971" s="2"/>
      <c r="J971" s="2"/>
      <c r="K971" s="2"/>
      <c r="L971" s="2"/>
      <c r="M971" s="2"/>
      <c r="N971" s="2"/>
      <c r="O971" s="2"/>
      <c r="P971" s="2"/>
      <c r="Q971" s="2"/>
      <c r="R971" s="2"/>
    </row>
    <row r="972">
      <c r="A972" s="2"/>
      <c r="B972" s="2"/>
      <c r="C972" s="2"/>
      <c r="D972" s="2"/>
      <c r="E972" s="2"/>
      <c r="F972" s="2"/>
      <c r="G972" s="2"/>
      <c r="H972" s="2"/>
      <c r="I972" s="2"/>
      <c r="J972" s="2"/>
      <c r="K972" s="2"/>
      <c r="L972" s="2"/>
      <c r="M972" s="2"/>
      <c r="N972" s="2"/>
      <c r="O972" s="2"/>
      <c r="P972" s="2"/>
      <c r="Q972" s="2"/>
      <c r="R972" s="2"/>
    </row>
    <row r="973">
      <c r="A973" s="2"/>
      <c r="B973" s="2"/>
      <c r="C973" s="2"/>
      <c r="D973" s="2"/>
      <c r="E973" s="2"/>
      <c r="F973" s="2"/>
      <c r="G973" s="2"/>
      <c r="H973" s="2"/>
      <c r="I973" s="2"/>
      <c r="J973" s="2"/>
      <c r="K973" s="2"/>
      <c r="L973" s="2"/>
      <c r="M973" s="2"/>
      <c r="N973" s="2"/>
      <c r="O973" s="2"/>
      <c r="P973" s="2"/>
      <c r="Q973" s="2"/>
      <c r="R973" s="2"/>
    </row>
    <row r="974">
      <c r="A974" s="2"/>
      <c r="B974" s="2"/>
      <c r="C974" s="2"/>
      <c r="D974" s="2"/>
      <c r="E974" s="2"/>
      <c r="F974" s="2"/>
      <c r="G974" s="2"/>
      <c r="H974" s="2"/>
      <c r="I974" s="2"/>
      <c r="J974" s="2"/>
      <c r="K974" s="2"/>
      <c r="L974" s="2"/>
      <c r="M974" s="2"/>
      <c r="N974" s="2"/>
      <c r="O974" s="2"/>
      <c r="P974" s="2"/>
      <c r="Q974" s="2"/>
      <c r="R974" s="2"/>
    </row>
    <row r="975">
      <c r="A975" s="2"/>
      <c r="B975" s="2"/>
      <c r="C975" s="2"/>
      <c r="D975" s="2"/>
      <c r="E975" s="2"/>
      <c r="F975" s="2"/>
      <c r="G975" s="2"/>
      <c r="H975" s="2"/>
      <c r="I975" s="2"/>
      <c r="J975" s="2"/>
      <c r="K975" s="2"/>
      <c r="L975" s="2"/>
      <c r="M975" s="2"/>
      <c r="N975" s="2"/>
      <c r="O975" s="2"/>
      <c r="P975" s="2"/>
      <c r="Q975" s="2"/>
      <c r="R975" s="2"/>
    </row>
    <row r="976">
      <c r="A976" s="2"/>
      <c r="B976" s="2"/>
      <c r="C976" s="2"/>
      <c r="D976" s="2"/>
      <c r="E976" s="2"/>
      <c r="F976" s="2"/>
      <c r="G976" s="2"/>
      <c r="H976" s="2"/>
      <c r="I976" s="2"/>
      <c r="J976" s="2"/>
      <c r="K976" s="2"/>
      <c r="L976" s="2"/>
      <c r="M976" s="2"/>
      <c r="N976" s="2"/>
      <c r="O976" s="2"/>
      <c r="P976" s="2"/>
      <c r="Q976" s="2"/>
      <c r="R976" s="2"/>
    </row>
    <row r="977">
      <c r="A977" s="2"/>
      <c r="B977" s="2"/>
      <c r="C977" s="2"/>
      <c r="D977" s="2"/>
      <c r="E977" s="2"/>
      <c r="F977" s="2"/>
      <c r="G977" s="2"/>
      <c r="H977" s="2"/>
      <c r="I977" s="2"/>
      <c r="J977" s="2"/>
      <c r="K977" s="2"/>
      <c r="L977" s="2"/>
      <c r="M977" s="2"/>
      <c r="N977" s="2"/>
      <c r="O977" s="2"/>
      <c r="P977" s="2"/>
      <c r="Q977" s="2"/>
      <c r="R977" s="2"/>
    </row>
    <row r="978">
      <c r="A978" s="2"/>
      <c r="B978" s="2"/>
      <c r="C978" s="2"/>
      <c r="D978" s="2"/>
      <c r="E978" s="2"/>
      <c r="F978" s="2"/>
      <c r="G978" s="2"/>
      <c r="H978" s="2"/>
      <c r="I978" s="2"/>
      <c r="J978" s="2"/>
      <c r="K978" s="2"/>
      <c r="L978" s="2"/>
      <c r="M978" s="2"/>
      <c r="N978" s="2"/>
      <c r="O978" s="2"/>
      <c r="P978" s="2"/>
      <c r="Q978" s="2"/>
      <c r="R978" s="2"/>
    </row>
    <row r="979">
      <c r="A979" s="2"/>
      <c r="B979" s="2"/>
      <c r="C979" s="2"/>
      <c r="D979" s="2"/>
      <c r="E979" s="2"/>
      <c r="F979" s="2"/>
      <c r="G979" s="2"/>
      <c r="H979" s="2"/>
      <c r="I979" s="2"/>
      <c r="J979" s="2"/>
      <c r="K979" s="2"/>
      <c r="L979" s="2"/>
      <c r="M979" s="2"/>
      <c r="N979" s="2"/>
      <c r="O979" s="2"/>
      <c r="P979" s="2"/>
      <c r="Q979" s="2"/>
      <c r="R979" s="2"/>
    </row>
    <row r="980">
      <c r="A980" s="2"/>
      <c r="B980" s="2"/>
      <c r="C980" s="2"/>
      <c r="D980" s="2"/>
      <c r="E980" s="2"/>
      <c r="F980" s="2"/>
      <c r="G980" s="2"/>
      <c r="H980" s="2"/>
      <c r="I980" s="2"/>
      <c r="J980" s="2"/>
      <c r="K980" s="2"/>
      <c r="L980" s="2"/>
      <c r="M980" s="2"/>
      <c r="N980" s="2"/>
      <c r="O980" s="2"/>
      <c r="P980" s="2"/>
      <c r="Q980" s="2"/>
      <c r="R980" s="2"/>
    </row>
    <row r="981">
      <c r="A981" s="2"/>
      <c r="B981" s="2"/>
      <c r="C981" s="2"/>
      <c r="D981" s="2"/>
      <c r="E981" s="2"/>
      <c r="F981" s="2"/>
      <c r="G981" s="2"/>
      <c r="H981" s="2"/>
      <c r="I981" s="2"/>
      <c r="J981" s="2"/>
      <c r="K981" s="2"/>
      <c r="L981" s="2"/>
      <c r="M981" s="2"/>
      <c r="N981" s="2"/>
      <c r="O981" s="2"/>
      <c r="P981" s="2"/>
      <c r="Q981" s="2"/>
      <c r="R981" s="2"/>
    </row>
    <row r="982">
      <c r="A982" s="2"/>
      <c r="B982" s="2"/>
      <c r="C982" s="2"/>
      <c r="D982" s="2"/>
      <c r="E982" s="2"/>
      <c r="F982" s="2"/>
      <c r="G982" s="2"/>
      <c r="H982" s="2"/>
      <c r="I982" s="2"/>
      <c r="J982" s="2"/>
      <c r="K982" s="2"/>
      <c r="L982" s="2"/>
      <c r="M982" s="2"/>
      <c r="N982" s="2"/>
      <c r="O982" s="2"/>
      <c r="P982" s="2"/>
      <c r="Q982" s="2"/>
      <c r="R982" s="2"/>
    </row>
    <row r="983">
      <c r="A983" s="2"/>
      <c r="B983" s="2"/>
      <c r="C983" s="2"/>
      <c r="D983" s="2"/>
      <c r="E983" s="2"/>
      <c r="F983" s="2"/>
      <c r="G983" s="2"/>
      <c r="H983" s="2"/>
      <c r="I983" s="2"/>
      <c r="J983" s="2"/>
      <c r="K983" s="2"/>
      <c r="L983" s="2"/>
      <c r="M983" s="2"/>
      <c r="N983" s="2"/>
      <c r="O983" s="2"/>
      <c r="P983" s="2"/>
      <c r="Q983" s="2"/>
      <c r="R983" s="2"/>
    </row>
    <row r="984">
      <c r="A984" s="2"/>
      <c r="B984" s="2"/>
      <c r="C984" s="2"/>
      <c r="D984" s="2"/>
      <c r="E984" s="2"/>
      <c r="F984" s="2"/>
      <c r="G984" s="2"/>
      <c r="H984" s="2"/>
      <c r="I984" s="2"/>
      <c r="J984" s="2"/>
      <c r="K984" s="2"/>
      <c r="L984" s="2"/>
      <c r="M984" s="2"/>
      <c r="N984" s="2"/>
      <c r="O984" s="2"/>
      <c r="P984" s="2"/>
      <c r="Q984" s="2"/>
      <c r="R984" s="2"/>
    </row>
    <row r="985">
      <c r="A985" s="2"/>
      <c r="B985" s="2"/>
      <c r="C985" s="2"/>
      <c r="D985" s="2"/>
      <c r="E985" s="2"/>
      <c r="F985" s="2"/>
      <c r="G985" s="2"/>
      <c r="H985" s="2"/>
      <c r="I985" s="2"/>
      <c r="J985" s="2"/>
      <c r="K985" s="2"/>
      <c r="L985" s="2"/>
      <c r="M985" s="2"/>
      <c r="N985" s="2"/>
      <c r="O985" s="2"/>
      <c r="P985" s="2"/>
      <c r="Q985" s="2"/>
      <c r="R985" s="2"/>
    </row>
    <row r="986">
      <c r="A986" s="2"/>
      <c r="B986" s="2"/>
      <c r="C986" s="2"/>
      <c r="D986" s="2"/>
      <c r="E986" s="2"/>
      <c r="F986" s="2"/>
      <c r="G986" s="2"/>
      <c r="H986" s="2"/>
      <c r="I986" s="2"/>
      <c r="J986" s="2"/>
      <c r="K986" s="2"/>
      <c r="L986" s="2"/>
      <c r="M986" s="2"/>
      <c r="N986" s="2"/>
      <c r="O986" s="2"/>
      <c r="P986" s="2"/>
      <c r="Q986" s="2"/>
      <c r="R986" s="2"/>
    </row>
    <row r="987">
      <c r="A987" s="2"/>
      <c r="B987" s="2"/>
      <c r="C987" s="2"/>
      <c r="D987" s="2"/>
      <c r="E987" s="2"/>
      <c r="F987" s="2"/>
      <c r="G987" s="2"/>
      <c r="H987" s="2"/>
      <c r="I987" s="2"/>
      <c r="J987" s="2"/>
      <c r="K987" s="2"/>
      <c r="L987" s="2"/>
      <c r="M987" s="2"/>
      <c r="N987" s="2"/>
      <c r="O987" s="2"/>
      <c r="P987" s="2"/>
      <c r="Q987" s="2"/>
      <c r="R987" s="2"/>
    </row>
    <row r="988">
      <c r="A988" s="2"/>
      <c r="B988" s="2"/>
      <c r="C988" s="2"/>
      <c r="D988" s="2"/>
      <c r="E988" s="2"/>
      <c r="F988" s="2"/>
      <c r="G988" s="2"/>
      <c r="H988" s="2"/>
      <c r="I988" s="2"/>
      <c r="J988" s="2"/>
      <c r="K988" s="2"/>
      <c r="L988" s="2"/>
      <c r="M988" s="2"/>
      <c r="N988" s="2"/>
      <c r="O988" s="2"/>
      <c r="P988" s="2"/>
      <c r="Q988" s="2"/>
      <c r="R988" s="2"/>
    </row>
    <row r="989">
      <c r="A989" s="2"/>
      <c r="B989" s="2"/>
      <c r="C989" s="2"/>
      <c r="D989" s="2"/>
      <c r="E989" s="2"/>
      <c r="F989" s="2"/>
      <c r="G989" s="2"/>
      <c r="H989" s="2"/>
      <c r="I989" s="2"/>
      <c r="J989" s="2"/>
      <c r="K989" s="2"/>
      <c r="L989" s="2"/>
      <c r="M989" s="2"/>
      <c r="N989" s="2"/>
      <c r="O989" s="2"/>
      <c r="P989" s="2"/>
      <c r="Q989" s="2"/>
      <c r="R989" s="2"/>
    </row>
    <row r="990">
      <c r="A990" s="2"/>
      <c r="B990" s="2"/>
      <c r="C990" s="2"/>
      <c r="D990" s="2"/>
      <c r="E990" s="2"/>
      <c r="F990" s="2"/>
      <c r="G990" s="2"/>
      <c r="H990" s="2"/>
      <c r="I990" s="2"/>
      <c r="J990" s="2"/>
      <c r="K990" s="2"/>
      <c r="L990" s="2"/>
      <c r="M990" s="2"/>
      <c r="N990" s="2"/>
      <c r="O990" s="2"/>
      <c r="P990" s="2"/>
      <c r="Q990" s="2"/>
      <c r="R990" s="2"/>
    </row>
    <row r="991">
      <c r="A991" s="2"/>
      <c r="B991" s="2"/>
      <c r="C991" s="2"/>
      <c r="D991" s="2"/>
      <c r="E991" s="2"/>
      <c r="F991" s="2"/>
      <c r="G991" s="2"/>
      <c r="H991" s="2"/>
      <c r="I991" s="2"/>
      <c r="J991" s="2"/>
      <c r="K991" s="2"/>
      <c r="L991" s="2"/>
      <c r="M991" s="2"/>
      <c r="N991" s="2"/>
      <c r="O991" s="2"/>
      <c r="P991" s="2"/>
      <c r="Q991" s="2"/>
      <c r="R991" s="2"/>
    </row>
    <row r="992">
      <c r="A992" s="2"/>
      <c r="B992" s="2"/>
      <c r="C992" s="2"/>
      <c r="D992" s="2"/>
      <c r="E992" s="2"/>
      <c r="F992" s="2"/>
      <c r="G992" s="2"/>
      <c r="H992" s="2"/>
      <c r="I992" s="2"/>
      <c r="J992" s="2"/>
      <c r="K992" s="2"/>
      <c r="L992" s="2"/>
      <c r="M992" s="2"/>
      <c r="N992" s="2"/>
      <c r="O992" s="2"/>
      <c r="P992" s="2"/>
      <c r="Q992" s="2"/>
      <c r="R992" s="2"/>
    </row>
    <row r="993">
      <c r="A993" s="2"/>
      <c r="B993" s="2"/>
      <c r="C993" s="2"/>
      <c r="D993" s="2"/>
      <c r="E993" s="2"/>
      <c r="F993" s="2"/>
      <c r="G993" s="2"/>
      <c r="H993" s="2"/>
      <c r="I993" s="2"/>
      <c r="J993" s="2"/>
      <c r="K993" s="2"/>
      <c r="L993" s="2"/>
      <c r="M993" s="2"/>
      <c r="N993" s="2"/>
      <c r="O993" s="2"/>
      <c r="P993" s="2"/>
      <c r="Q993" s="2"/>
      <c r="R993" s="2"/>
    </row>
    <row r="994">
      <c r="A994" s="2"/>
      <c r="B994" s="2"/>
      <c r="C994" s="2"/>
      <c r="D994" s="2"/>
      <c r="E994" s="2"/>
      <c r="F994" s="2"/>
      <c r="G994" s="2"/>
      <c r="H994" s="2"/>
      <c r="I994" s="2"/>
      <c r="J994" s="2"/>
      <c r="K994" s="2"/>
      <c r="L994" s="2"/>
      <c r="M994" s="2"/>
      <c r="N994" s="2"/>
      <c r="O994" s="2"/>
      <c r="P994" s="2"/>
      <c r="Q994" s="2"/>
      <c r="R994" s="2"/>
    </row>
    <row r="995">
      <c r="A995" s="2"/>
      <c r="B995" s="2"/>
      <c r="C995" s="2"/>
      <c r="D995" s="2"/>
      <c r="E995" s="2"/>
      <c r="F995" s="2"/>
      <c r="G995" s="2"/>
      <c r="H995" s="2"/>
      <c r="I995" s="2"/>
      <c r="J995" s="2"/>
      <c r="K995" s="2"/>
      <c r="L995" s="2"/>
      <c r="M995" s="2"/>
      <c r="N995" s="2"/>
      <c r="O995" s="2"/>
      <c r="P995" s="2"/>
      <c r="Q995" s="2"/>
      <c r="R995" s="2"/>
    </row>
    <row r="996">
      <c r="A996" s="2"/>
      <c r="B996" s="2"/>
      <c r="C996" s="2"/>
      <c r="D996" s="2"/>
      <c r="E996" s="2"/>
      <c r="F996" s="2"/>
      <c r="G996" s="2"/>
      <c r="H996" s="2"/>
      <c r="I996" s="2"/>
      <c r="J996" s="2"/>
      <c r="K996" s="2"/>
      <c r="L996" s="2"/>
      <c r="M996" s="2"/>
      <c r="N996" s="2"/>
      <c r="O996" s="2"/>
      <c r="P996" s="2"/>
      <c r="Q996" s="2"/>
      <c r="R996" s="2"/>
    </row>
    <row r="997">
      <c r="A997" s="2"/>
      <c r="B997" s="2"/>
      <c r="C997" s="2"/>
      <c r="D997" s="2"/>
      <c r="E997" s="2"/>
      <c r="F997" s="2"/>
      <c r="G997" s="2"/>
      <c r="H997" s="2"/>
      <c r="I997" s="2"/>
      <c r="J997" s="2"/>
      <c r="K997" s="2"/>
      <c r="L997" s="2"/>
      <c r="M997" s="2"/>
      <c r="N997" s="2"/>
      <c r="O997" s="2"/>
      <c r="P997" s="2"/>
      <c r="Q997" s="2"/>
      <c r="R997" s="2"/>
    </row>
    <row r="998">
      <c r="A998" s="2"/>
      <c r="B998" s="2"/>
      <c r="C998" s="2"/>
      <c r="D998" s="2"/>
      <c r="E998" s="2"/>
      <c r="F998" s="2"/>
      <c r="G998" s="2"/>
      <c r="H998" s="2"/>
      <c r="I998" s="2"/>
      <c r="J998" s="2"/>
      <c r="K998" s="2"/>
      <c r="L998" s="2"/>
      <c r="M998" s="2"/>
      <c r="N998" s="2"/>
      <c r="O998" s="2"/>
      <c r="P998" s="2"/>
      <c r="Q998" s="2"/>
      <c r="R998" s="2"/>
    </row>
    <row r="999">
      <c r="A999" s="2"/>
      <c r="B999" s="2"/>
      <c r="C999" s="2"/>
      <c r="D999" s="2"/>
      <c r="E999" s="2"/>
      <c r="F999" s="2"/>
      <c r="G999" s="2"/>
      <c r="H999" s="2"/>
      <c r="I999" s="2"/>
      <c r="J999" s="2"/>
      <c r="K999" s="2"/>
      <c r="L999" s="2"/>
      <c r="M999" s="2"/>
      <c r="N999" s="2"/>
      <c r="O999" s="2"/>
      <c r="P999" s="2"/>
      <c r="Q999" s="2"/>
      <c r="R999" s="2"/>
    </row>
    <row r="1000">
      <c r="A1000" s="2"/>
      <c r="B1000" s="2"/>
      <c r="C1000" s="2"/>
      <c r="D1000" s="2"/>
      <c r="E1000" s="2"/>
      <c r="F1000" s="2"/>
      <c r="G1000" s="2"/>
      <c r="H1000" s="2"/>
      <c r="I1000" s="2"/>
      <c r="J1000" s="2"/>
      <c r="K1000" s="2"/>
      <c r="L1000" s="2"/>
      <c r="M1000" s="2"/>
      <c r="N1000" s="2"/>
      <c r="O1000" s="2"/>
      <c r="P1000" s="2"/>
      <c r="Q1000" s="2"/>
      <c r="R1000" s="2"/>
    </row>
    <row r="1001">
      <c r="A1001" s="2"/>
      <c r="B1001" s="2"/>
      <c r="C1001" s="2"/>
      <c r="D1001" s="2"/>
      <c r="E1001" s="2"/>
      <c r="F1001" s="2"/>
      <c r="G1001" s="2"/>
      <c r="H1001" s="2"/>
      <c r="I1001" s="2"/>
      <c r="J1001" s="2"/>
      <c r="K1001" s="2"/>
      <c r="L1001" s="2"/>
      <c r="M1001" s="2"/>
      <c r="N1001" s="2"/>
      <c r="O1001" s="2"/>
      <c r="P1001" s="2"/>
      <c r="Q1001" s="2"/>
      <c r="R1001" s="2"/>
    </row>
    <row r="1002">
      <c r="A1002" s="2"/>
      <c r="B1002" s="2"/>
      <c r="C1002" s="2"/>
      <c r="D1002" s="2"/>
      <c r="E1002" s="2"/>
      <c r="F1002" s="2"/>
      <c r="G1002" s="2"/>
      <c r="H1002" s="2"/>
      <c r="I1002" s="2"/>
      <c r="J1002" s="2"/>
      <c r="K1002" s="2"/>
      <c r="L1002" s="2"/>
      <c r="M1002" s="2"/>
      <c r="N1002" s="2"/>
      <c r="O1002" s="2"/>
      <c r="P1002" s="2"/>
      <c r="Q1002" s="2"/>
      <c r="R1002" s="2"/>
    </row>
    <row r="1003">
      <c r="A1003" s="2"/>
      <c r="B1003" s="2"/>
      <c r="C1003" s="2"/>
      <c r="D1003" s="2"/>
      <c r="E1003" s="2"/>
      <c r="F1003" s="2"/>
      <c r="G1003" s="2"/>
      <c r="H1003" s="2"/>
      <c r="I1003" s="2"/>
      <c r="J1003" s="2"/>
      <c r="K1003" s="2"/>
      <c r="L1003" s="2"/>
      <c r="M1003" s="2"/>
      <c r="N1003" s="2"/>
      <c r="O1003" s="2"/>
      <c r="P1003" s="2"/>
      <c r="Q1003" s="2"/>
      <c r="R1003" s="2"/>
    </row>
    <row r="1004">
      <c r="A1004" s="2"/>
      <c r="B1004" s="2"/>
      <c r="C1004" s="2"/>
      <c r="D1004" s="2"/>
      <c r="E1004" s="2"/>
      <c r="F1004" s="2"/>
      <c r="G1004" s="2"/>
      <c r="H1004" s="2"/>
      <c r="I1004" s="2"/>
      <c r="J1004" s="2"/>
      <c r="K1004" s="2"/>
      <c r="L1004" s="2"/>
      <c r="M1004" s="2"/>
      <c r="N1004" s="2"/>
      <c r="O1004" s="2"/>
      <c r="P1004" s="2"/>
      <c r="Q1004" s="2"/>
      <c r="R1004" s="2"/>
    </row>
    <row r="1005">
      <c r="A1005" s="2"/>
      <c r="B1005" s="2"/>
      <c r="C1005" s="2"/>
      <c r="D1005" s="2"/>
      <c r="E1005" s="2"/>
      <c r="F1005" s="2"/>
      <c r="G1005" s="2"/>
      <c r="H1005" s="2"/>
      <c r="I1005" s="2"/>
      <c r="J1005" s="2"/>
      <c r="K1005" s="2"/>
      <c r="L1005" s="2"/>
      <c r="M1005" s="2"/>
      <c r="N1005" s="2"/>
      <c r="O1005" s="2"/>
      <c r="P1005" s="2"/>
      <c r="Q1005" s="2"/>
      <c r="R1005" s="2"/>
    </row>
    <row r="1006">
      <c r="A1006" s="2"/>
      <c r="B1006" s="2"/>
      <c r="C1006" s="2"/>
      <c r="D1006" s="2"/>
      <c r="E1006" s="2"/>
      <c r="F1006" s="2"/>
      <c r="G1006" s="2"/>
      <c r="H1006" s="2"/>
      <c r="I1006" s="2"/>
      <c r="J1006" s="2"/>
      <c r="K1006" s="2"/>
      <c r="L1006" s="2"/>
      <c r="M1006" s="2"/>
      <c r="N1006" s="2"/>
      <c r="O1006" s="2"/>
      <c r="P1006" s="2"/>
      <c r="Q1006" s="2"/>
      <c r="R1006" s="2"/>
    </row>
    <row r="1007">
      <c r="A1007" s="2"/>
      <c r="B1007" s="2"/>
      <c r="C1007" s="2"/>
      <c r="D1007" s="2"/>
      <c r="E1007" s="2"/>
      <c r="F1007" s="2"/>
      <c r="G1007" s="2"/>
      <c r="H1007" s="2"/>
      <c r="I1007" s="2"/>
      <c r="J1007" s="2"/>
      <c r="K1007" s="2"/>
      <c r="L1007" s="2"/>
      <c r="M1007" s="2"/>
      <c r="N1007" s="2"/>
      <c r="O1007" s="2"/>
      <c r="P1007" s="2"/>
      <c r="Q1007" s="2"/>
      <c r="R1007" s="2"/>
    </row>
    <row r="1008">
      <c r="A1008" s="2"/>
      <c r="B1008" s="2"/>
      <c r="C1008" s="2"/>
      <c r="D1008" s="2"/>
      <c r="E1008" s="2"/>
      <c r="F1008" s="2"/>
      <c r="G1008" s="2"/>
      <c r="H1008" s="2"/>
      <c r="I1008" s="2"/>
      <c r="J1008" s="2"/>
      <c r="K1008" s="2"/>
      <c r="L1008" s="2"/>
      <c r="M1008" s="2"/>
      <c r="N1008" s="2"/>
      <c r="O1008" s="2"/>
      <c r="P1008" s="2"/>
      <c r="Q1008" s="2"/>
      <c r="R1008" s="2"/>
    </row>
    <row r="1009">
      <c r="A1009" s="2"/>
      <c r="B1009" s="2"/>
      <c r="C1009" s="2"/>
      <c r="D1009" s="2"/>
      <c r="E1009" s="2"/>
      <c r="F1009" s="2"/>
      <c r="G1009" s="2"/>
      <c r="H1009" s="2"/>
      <c r="I1009" s="2"/>
      <c r="J1009" s="2"/>
      <c r="K1009" s="2"/>
      <c r="L1009" s="2"/>
      <c r="M1009" s="2"/>
      <c r="N1009" s="2"/>
      <c r="O1009" s="2"/>
      <c r="P1009" s="2"/>
      <c r="Q1009" s="2"/>
      <c r="R1009" s="2"/>
    </row>
    <row r="1010">
      <c r="A1010" s="2"/>
      <c r="B1010" s="2"/>
      <c r="C1010" s="2"/>
      <c r="D1010" s="2"/>
      <c r="E1010" s="2"/>
      <c r="F1010" s="2"/>
      <c r="G1010" s="2"/>
      <c r="H1010" s="2"/>
      <c r="I1010" s="2"/>
      <c r="J1010" s="2"/>
      <c r="K1010" s="2"/>
      <c r="L1010" s="2"/>
      <c r="M1010" s="2"/>
      <c r="N1010" s="2"/>
      <c r="O1010" s="2"/>
      <c r="P1010" s="2"/>
      <c r="Q1010" s="2"/>
      <c r="R1010" s="2"/>
    </row>
    <row r="1011">
      <c r="A1011" s="2"/>
      <c r="B1011" s="2"/>
      <c r="C1011" s="2"/>
      <c r="D1011" s="2"/>
      <c r="E1011" s="2"/>
      <c r="F1011" s="2"/>
      <c r="G1011" s="2"/>
      <c r="H1011" s="2"/>
      <c r="I1011" s="2"/>
      <c r="J1011" s="2"/>
      <c r="K1011" s="2"/>
      <c r="L1011" s="2"/>
      <c r="M1011" s="2"/>
      <c r="N1011" s="2"/>
      <c r="O1011" s="2"/>
      <c r="P1011" s="2"/>
      <c r="Q1011" s="2"/>
      <c r="R1011" s="2"/>
    </row>
    <row r="1012">
      <c r="A1012" s="2"/>
      <c r="B1012" s="2"/>
      <c r="C1012" s="2"/>
      <c r="D1012" s="2"/>
      <c r="E1012" s="2"/>
      <c r="F1012" s="2"/>
      <c r="G1012" s="2"/>
      <c r="H1012" s="2"/>
      <c r="I1012" s="2"/>
      <c r="J1012" s="2"/>
      <c r="K1012" s="2"/>
      <c r="L1012" s="2"/>
      <c r="M1012" s="2"/>
      <c r="N1012" s="2"/>
      <c r="O1012" s="2"/>
      <c r="P1012" s="2"/>
      <c r="Q1012" s="2"/>
      <c r="R1012" s="2"/>
    </row>
    <row r="1013">
      <c r="A1013" s="2"/>
      <c r="B1013" s="2"/>
      <c r="C1013" s="2"/>
      <c r="D1013" s="2"/>
      <c r="E1013" s="2"/>
      <c r="F1013" s="2"/>
      <c r="G1013" s="2"/>
      <c r="H1013" s="2"/>
      <c r="I1013" s="2"/>
      <c r="J1013" s="2"/>
      <c r="K1013" s="2"/>
      <c r="L1013" s="2"/>
      <c r="M1013" s="2"/>
      <c r="N1013" s="2"/>
      <c r="O1013" s="2"/>
      <c r="P1013" s="2"/>
      <c r="Q1013" s="2"/>
      <c r="R1013" s="2"/>
    </row>
    <row r="1014">
      <c r="A1014" s="2"/>
      <c r="B1014" s="2"/>
      <c r="C1014" s="2"/>
      <c r="D1014" s="2"/>
      <c r="E1014" s="2"/>
      <c r="F1014" s="2"/>
      <c r="G1014" s="2"/>
      <c r="H1014" s="2"/>
      <c r="I1014" s="2"/>
      <c r="J1014" s="2"/>
      <c r="K1014" s="2"/>
      <c r="L1014" s="2"/>
      <c r="M1014" s="2"/>
      <c r="N1014" s="2"/>
      <c r="O1014" s="2"/>
      <c r="P1014" s="2"/>
      <c r="Q1014" s="2"/>
      <c r="R1014" s="2"/>
    </row>
    <row r="1015">
      <c r="A1015" s="2"/>
      <c r="B1015" s="2"/>
      <c r="C1015" s="2"/>
      <c r="D1015" s="2"/>
      <c r="E1015" s="2"/>
      <c r="F1015" s="2"/>
      <c r="G1015" s="2"/>
      <c r="H1015" s="2"/>
      <c r="I1015" s="2"/>
      <c r="J1015" s="2"/>
      <c r="K1015" s="2"/>
      <c r="L1015" s="2"/>
      <c r="M1015" s="2"/>
      <c r="N1015" s="2"/>
      <c r="O1015" s="2"/>
      <c r="P1015" s="2"/>
      <c r="Q1015" s="2"/>
      <c r="R1015" s="2"/>
    </row>
    <row r="1016">
      <c r="A1016" s="2"/>
      <c r="B1016" s="2"/>
      <c r="C1016" s="2"/>
      <c r="D1016" s="2"/>
      <c r="E1016" s="2"/>
      <c r="F1016" s="2"/>
      <c r="G1016" s="2"/>
      <c r="H1016" s="2"/>
      <c r="I1016" s="2"/>
      <c r="J1016" s="2"/>
      <c r="K1016" s="2"/>
      <c r="L1016" s="2"/>
      <c r="M1016" s="2"/>
      <c r="N1016" s="2"/>
      <c r="O1016" s="2"/>
      <c r="P1016" s="2"/>
      <c r="Q1016" s="2"/>
      <c r="R1016" s="2"/>
    </row>
    <row r="1017">
      <c r="A1017" s="2"/>
      <c r="B1017" s="2"/>
      <c r="C1017" s="2"/>
      <c r="D1017" s="2"/>
      <c r="E1017" s="2"/>
      <c r="F1017" s="2"/>
      <c r="G1017" s="2"/>
      <c r="H1017" s="2"/>
      <c r="I1017" s="2"/>
      <c r="J1017" s="2"/>
      <c r="K1017" s="2"/>
      <c r="L1017" s="2"/>
      <c r="M1017" s="2"/>
      <c r="N1017" s="2"/>
      <c r="O1017" s="2"/>
      <c r="P1017" s="2"/>
      <c r="Q1017" s="2"/>
      <c r="R1017" s="2"/>
    </row>
    <row r="1018">
      <c r="A1018" s="2"/>
      <c r="B1018" s="2"/>
      <c r="C1018" s="2"/>
      <c r="D1018" s="2"/>
      <c r="E1018" s="2"/>
      <c r="F1018" s="2"/>
      <c r="G1018" s="2"/>
      <c r="H1018" s="2"/>
      <c r="I1018" s="2"/>
      <c r="J1018" s="2"/>
      <c r="K1018" s="2"/>
      <c r="L1018" s="2"/>
      <c r="M1018" s="2"/>
      <c r="N1018" s="2"/>
      <c r="O1018" s="2"/>
      <c r="P1018" s="2"/>
      <c r="Q1018" s="2"/>
      <c r="R1018" s="2"/>
    </row>
    <row r="1019">
      <c r="A1019" s="2"/>
      <c r="B1019" s="2"/>
      <c r="C1019" s="2"/>
      <c r="D1019" s="2"/>
      <c r="E1019" s="2"/>
      <c r="F1019" s="2"/>
      <c r="G1019" s="2"/>
      <c r="H1019" s="2"/>
      <c r="I1019" s="2"/>
      <c r="J1019" s="2"/>
      <c r="K1019" s="2"/>
      <c r="L1019" s="2"/>
      <c r="M1019" s="2"/>
      <c r="N1019" s="2"/>
      <c r="O1019" s="2"/>
      <c r="P1019" s="2"/>
      <c r="Q1019" s="2"/>
      <c r="R1019" s="2"/>
    </row>
    <row r="1020">
      <c r="A1020" s="2"/>
      <c r="B1020" s="2"/>
      <c r="C1020" s="2"/>
      <c r="D1020" s="2"/>
      <c r="E1020" s="2"/>
      <c r="F1020" s="2"/>
      <c r="G1020" s="2"/>
      <c r="H1020" s="2"/>
      <c r="I1020" s="2"/>
      <c r="J1020" s="2"/>
      <c r="K1020" s="2"/>
      <c r="L1020" s="2"/>
      <c r="M1020" s="2"/>
      <c r="N1020" s="2"/>
      <c r="O1020" s="2"/>
      <c r="P1020" s="2"/>
      <c r="Q1020" s="2"/>
      <c r="R1020" s="2"/>
    </row>
    <row r="1021">
      <c r="A1021" s="2"/>
      <c r="B1021" s="2"/>
      <c r="C1021" s="2"/>
      <c r="D1021" s="2"/>
      <c r="E1021" s="2"/>
      <c r="F1021" s="2"/>
      <c r="G1021" s="2"/>
      <c r="H1021" s="2"/>
      <c r="I1021" s="2"/>
      <c r="J1021" s="2"/>
      <c r="K1021" s="2"/>
      <c r="L1021" s="2"/>
      <c r="M1021" s="2"/>
      <c r="N1021" s="2"/>
      <c r="O1021" s="2"/>
      <c r="P1021" s="2"/>
      <c r="Q1021" s="2"/>
      <c r="R1021" s="2"/>
    </row>
    <row r="1022">
      <c r="A1022" s="2"/>
      <c r="B1022" s="2"/>
      <c r="C1022" s="2"/>
      <c r="D1022" s="2"/>
      <c r="E1022" s="2"/>
      <c r="F1022" s="2"/>
      <c r="G1022" s="2"/>
      <c r="H1022" s="2"/>
      <c r="I1022" s="2"/>
      <c r="J1022" s="2"/>
      <c r="K1022" s="2"/>
      <c r="L1022" s="2"/>
      <c r="M1022" s="2"/>
      <c r="N1022" s="2"/>
      <c r="O1022" s="2"/>
      <c r="P1022" s="2"/>
      <c r="Q1022" s="2"/>
      <c r="R1022" s="2"/>
    </row>
    <row r="1023">
      <c r="A1023" s="2"/>
      <c r="B1023" s="2"/>
      <c r="C1023" s="2"/>
      <c r="D1023" s="2"/>
      <c r="E1023" s="2"/>
      <c r="F1023" s="2"/>
      <c r="G1023" s="2"/>
      <c r="H1023" s="2"/>
      <c r="I1023" s="2"/>
      <c r="J1023" s="2"/>
      <c r="K1023" s="2"/>
      <c r="L1023" s="2"/>
      <c r="M1023" s="2"/>
      <c r="N1023" s="2"/>
      <c r="O1023" s="2"/>
      <c r="P1023" s="2"/>
      <c r="Q1023" s="2"/>
      <c r="R1023" s="2"/>
    </row>
    <row r="1024">
      <c r="A1024" s="2"/>
      <c r="B1024" s="2"/>
      <c r="C1024" s="2"/>
      <c r="D1024" s="2"/>
      <c r="E1024" s="2"/>
      <c r="F1024" s="2"/>
      <c r="G1024" s="2"/>
      <c r="H1024" s="2"/>
      <c r="I1024" s="2"/>
      <c r="J1024" s="2"/>
      <c r="K1024" s="2"/>
      <c r="L1024" s="2"/>
      <c r="M1024" s="2"/>
      <c r="N1024" s="2"/>
      <c r="O1024" s="2"/>
      <c r="P1024" s="2"/>
      <c r="Q1024" s="2"/>
      <c r="R1024" s="2"/>
    </row>
    <row r="1025">
      <c r="A1025" s="2"/>
      <c r="B1025" s="2"/>
      <c r="C1025" s="2"/>
      <c r="D1025" s="2"/>
      <c r="E1025" s="2"/>
      <c r="F1025" s="2"/>
      <c r="G1025" s="2"/>
      <c r="H1025" s="2"/>
      <c r="I1025" s="2"/>
      <c r="J1025" s="2"/>
      <c r="K1025" s="2"/>
      <c r="L1025" s="2"/>
      <c r="M1025" s="2"/>
      <c r="N1025" s="2"/>
      <c r="O1025" s="2"/>
      <c r="P1025" s="2"/>
      <c r="Q1025" s="2"/>
      <c r="R1025" s="2"/>
    </row>
    <row r="1026">
      <c r="A1026" s="2"/>
      <c r="B1026" s="2"/>
      <c r="C1026" s="2"/>
      <c r="D1026" s="2"/>
      <c r="E1026" s="2"/>
      <c r="F1026" s="2"/>
      <c r="G1026" s="2"/>
      <c r="H1026" s="2"/>
      <c r="I1026" s="2"/>
      <c r="J1026" s="2"/>
      <c r="K1026" s="2"/>
      <c r="L1026" s="2"/>
      <c r="M1026" s="2"/>
      <c r="N1026" s="2"/>
      <c r="O1026" s="2"/>
      <c r="P1026" s="2"/>
      <c r="Q1026" s="2"/>
      <c r="R1026" s="2"/>
    </row>
    <row r="1027">
      <c r="A1027" s="2"/>
      <c r="B1027" s="2"/>
      <c r="C1027" s="2"/>
      <c r="D1027" s="2"/>
      <c r="E1027" s="2"/>
      <c r="F1027" s="2"/>
      <c r="G1027" s="2"/>
      <c r="H1027" s="2"/>
      <c r="I1027" s="2"/>
      <c r="J1027" s="2"/>
      <c r="K1027" s="2"/>
      <c r="L1027" s="2"/>
      <c r="M1027" s="2"/>
      <c r="N1027" s="2"/>
      <c r="O1027" s="2"/>
      <c r="P1027" s="2"/>
      <c r="Q1027" s="2"/>
      <c r="R1027" s="2"/>
    </row>
    <row r="1028">
      <c r="A1028" s="2"/>
      <c r="B1028" s="2"/>
      <c r="C1028" s="2"/>
      <c r="D1028" s="2"/>
      <c r="E1028" s="2"/>
      <c r="F1028" s="2"/>
      <c r="G1028" s="2"/>
      <c r="H1028" s="2"/>
      <c r="I1028" s="2"/>
      <c r="J1028" s="2"/>
      <c r="K1028" s="2"/>
      <c r="L1028" s="2"/>
      <c r="M1028" s="2"/>
      <c r="N1028" s="2"/>
      <c r="O1028" s="2"/>
      <c r="P1028" s="2"/>
      <c r="Q1028" s="2"/>
      <c r="R1028" s="2"/>
    </row>
    <row r="1029">
      <c r="A1029" s="2"/>
      <c r="B1029" s="2"/>
      <c r="C1029" s="2"/>
      <c r="D1029" s="2"/>
      <c r="E1029" s="2"/>
      <c r="F1029" s="2"/>
      <c r="G1029" s="2"/>
      <c r="H1029" s="2"/>
      <c r="I1029" s="2"/>
      <c r="J1029" s="2"/>
      <c r="K1029" s="2"/>
      <c r="L1029" s="2"/>
      <c r="M1029" s="2"/>
      <c r="N1029" s="2"/>
      <c r="O1029" s="2"/>
      <c r="P1029" s="2"/>
      <c r="Q1029" s="2"/>
      <c r="R1029" s="2"/>
    </row>
    <row r="1030">
      <c r="A1030" s="2"/>
      <c r="B1030" s="2"/>
      <c r="C1030" s="2"/>
      <c r="D1030" s="2"/>
      <c r="E1030" s="2"/>
      <c r="F1030" s="2"/>
      <c r="G1030" s="2"/>
      <c r="H1030" s="2"/>
      <c r="I1030" s="2"/>
      <c r="J1030" s="2"/>
      <c r="K1030" s="2"/>
      <c r="L1030" s="2"/>
      <c r="M1030" s="2"/>
      <c r="N1030" s="2"/>
      <c r="O1030" s="2"/>
      <c r="P1030" s="2"/>
      <c r="Q1030" s="2"/>
      <c r="R1030" s="2"/>
    </row>
    <row r="1031">
      <c r="A1031" s="2"/>
      <c r="B1031" s="2"/>
      <c r="C1031" s="2"/>
      <c r="D1031" s="2"/>
      <c r="E1031" s="2"/>
      <c r="F1031" s="2"/>
      <c r="G1031" s="2"/>
      <c r="H1031" s="2"/>
      <c r="I1031" s="2"/>
      <c r="J1031" s="2"/>
      <c r="K1031" s="2"/>
      <c r="L1031" s="2"/>
      <c r="M1031" s="2"/>
      <c r="N1031" s="2"/>
      <c r="O1031" s="2"/>
      <c r="P1031" s="2"/>
      <c r="Q1031" s="2"/>
      <c r="R1031" s="2"/>
    </row>
    <row r="1032">
      <c r="A1032" s="2"/>
      <c r="B1032" s="2"/>
      <c r="C1032" s="2"/>
      <c r="D1032" s="2"/>
      <c r="E1032" s="2"/>
      <c r="F1032" s="2"/>
      <c r="G1032" s="2"/>
      <c r="H1032" s="2"/>
      <c r="I1032" s="2"/>
      <c r="J1032" s="2"/>
      <c r="K1032" s="2"/>
      <c r="L1032" s="2"/>
      <c r="M1032" s="2"/>
      <c r="N1032" s="2"/>
      <c r="O1032" s="2"/>
      <c r="P1032" s="2"/>
      <c r="Q1032" s="2"/>
      <c r="R1032" s="2"/>
    </row>
    <row r="1033">
      <c r="A1033" s="2"/>
      <c r="B1033" s="2"/>
      <c r="C1033" s="2"/>
      <c r="D1033" s="2"/>
      <c r="E1033" s="2"/>
      <c r="F1033" s="2"/>
      <c r="G1033" s="2"/>
      <c r="H1033" s="2"/>
      <c r="I1033" s="2"/>
      <c r="J1033" s="2"/>
      <c r="K1033" s="2"/>
      <c r="L1033" s="2"/>
      <c r="M1033" s="2"/>
      <c r="N1033" s="2"/>
      <c r="O1033" s="2"/>
      <c r="P1033" s="2"/>
      <c r="Q1033" s="2"/>
      <c r="R1033" s="2"/>
    </row>
    <row r="1034">
      <c r="A1034" s="2"/>
      <c r="B1034" s="2"/>
      <c r="C1034" s="2"/>
      <c r="D1034" s="2"/>
      <c r="E1034" s="2"/>
      <c r="F1034" s="2"/>
      <c r="G1034" s="2"/>
      <c r="H1034" s="2"/>
      <c r="I1034" s="2"/>
      <c r="J1034" s="2"/>
      <c r="K1034" s="2"/>
      <c r="L1034" s="2"/>
      <c r="M1034" s="2"/>
      <c r="N1034" s="2"/>
      <c r="O1034" s="2"/>
      <c r="P1034" s="2"/>
      <c r="Q1034" s="2"/>
      <c r="R1034" s="2"/>
    </row>
    <row r="1035">
      <c r="A1035" s="2"/>
      <c r="B1035" s="2"/>
      <c r="C1035" s="2"/>
      <c r="D1035" s="2"/>
      <c r="E1035" s="2"/>
      <c r="F1035" s="2"/>
      <c r="G1035" s="2"/>
      <c r="H1035" s="2"/>
      <c r="I1035" s="2"/>
      <c r="J1035" s="2"/>
      <c r="K1035" s="2"/>
      <c r="L1035" s="2"/>
      <c r="M1035" s="2"/>
      <c r="N1035" s="2"/>
      <c r="O1035" s="2"/>
      <c r="P1035" s="2"/>
      <c r="Q1035" s="2"/>
      <c r="R1035" s="2"/>
    </row>
    <row r="1036">
      <c r="A1036" s="2"/>
      <c r="B1036" s="2"/>
      <c r="C1036" s="2"/>
      <c r="D1036" s="2"/>
      <c r="E1036" s="2"/>
      <c r="F1036" s="2"/>
      <c r="G1036" s="2"/>
      <c r="H1036" s="2"/>
      <c r="I1036" s="2"/>
      <c r="J1036" s="2"/>
      <c r="K1036" s="2"/>
      <c r="L1036" s="2"/>
      <c r="M1036" s="2"/>
      <c r="N1036" s="2"/>
      <c r="O1036" s="2"/>
      <c r="P1036" s="2"/>
      <c r="Q1036" s="2"/>
      <c r="R1036" s="2"/>
    </row>
    <row r="1037">
      <c r="A1037" s="2"/>
      <c r="B1037" s="2"/>
      <c r="C1037" s="2"/>
      <c r="D1037" s="2"/>
      <c r="E1037" s="2"/>
      <c r="F1037" s="2"/>
      <c r="G1037" s="2"/>
      <c r="H1037" s="2"/>
      <c r="I1037" s="2"/>
      <c r="J1037" s="2"/>
      <c r="K1037" s="2"/>
      <c r="L1037" s="2"/>
      <c r="M1037" s="2"/>
      <c r="N1037" s="2"/>
      <c r="O1037" s="2"/>
      <c r="P1037" s="2"/>
      <c r="Q1037" s="2"/>
      <c r="R1037" s="2"/>
    </row>
    <row r="1038">
      <c r="A1038" s="2"/>
      <c r="B1038" s="2"/>
      <c r="C1038" s="2"/>
      <c r="D1038" s="2"/>
      <c r="E1038" s="2"/>
      <c r="F1038" s="2"/>
      <c r="G1038" s="2"/>
      <c r="H1038" s="2"/>
      <c r="I1038" s="2"/>
      <c r="J1038" s="2"/>
      <c r="K1038" s="2"/>
      <c r="L1038" s="2"/>
      <c r="M1038" s="2"/>
      <c r="N1038" s="2"/>
      <c r="O1038" s="2"/>
      <c r="P1038" s="2"/>
      <c r="Q1038" s="2"/>
      <c r="R1038" s="2"/>
    </row>
    <row r="1039">
      <c r="A1039" s="2"/>
      <c r="B1039" s="2"/>
      <c r="C1039" s="2"/>
      <c r="D1039" s="2"/>
      <c r="E1039" s="2"/>
      <c r="F1039" s="2"/>
      <c r="G1039" s="2"/>
      <c r="H1039" s="2"/>
      <c r="I1039" s="2"/>
      <c r="J1039" s="2"/>
      <c r="K1039" s="2"/>
      <c r="L1039" s="2"/>
      <c r="M1039" s="2"/>
      <c r="N1039" s="2"/>
      <c r="O1039" s="2"/>
      <c r="P1039" s="2"/>
      <c r="Q1039" s="2"/>
      <c r="R1039" s="2"/>
    </row>
    <row r="1040">
      <c r="A1040" s="2"/>
      <c r="B1040" s="2"/>
      <c r="C1040" s="2"/>
      <c r="D1040" s="2"/>
      <c r="E1040" s="2"/>
      <c r="F1040" s="2"/>
      <c r="G1040" s="2"/>
      <c r="H1040" s="2"/>
      <c r="I1040" s="2"/>
      <c r="J1040" s="2"/>
      <c r="K1040" s="2"/>
      <c r="L1040" s="2"/>
      <c r="M1040" s="2"/>
      <c r="N1040" s="2"/>
      <c r="O1040" s="2"/>
      <c r="P1040" s="2"/>
      <c r="Q1040" s="2"/>
      <c r="R1040" s="2"/>
    </row>
    <row r="1041">
      <c r="A1041" s="2"/>
      <c r="B1041" s="2"/>
      <c r="C1041" s="2"/>
      <c r="D1041" s="2"/>
      <c r="E1041" s="2"/>
      <c r="F1041" s="2"/>
      <c r="G1041" s="2"/>
      <c r="H1041" s="2"/>
      <c r="I1041" s="2"/>
      <c r="J1041" s="2"/>
      <c r="K1041" s="2"/>
      <c r="L1041" s="2"/>
      <c r="M1041" s="2"/>
      <c r="N1041" s="2"/>
      <c r="O1041" s="2"/>
      <c r="P1041" s="2"/>
      <c r="Q1041" s="2"/>
      <c r="R1041" s="2"/>
    </row>
    <row r="1042">
      <c r="A1042" s="2"/>
      <c r="B1042" s="2"/>
      <c r="C1042" s="2"/>
      <c r="D1042" s="2"/>
      <c r="E1042" s="2"/>
      <c r="F1042" s="2"/>
      <c r="G1042" s="2"/>
      <c r="H1042" s="2"/>
      <c r="I1042" s="2"/>
      <c r="J1042" s="2"/>
      <c r="K1042" s="2"/>
      <c r="L1042" s="2"/>
      <c r="M1042" s="2"/>
      <c r="N1042" s="2"/>
      <c r="O1042" s="2"/>
      <c r="P1042" s="2"/>
      <c r="Q1042" s="2"/>
      <c r="R1042" s="2"/>
    </row>
    <row r="1043">
      <c r="A1043" s="2"/>
      <c r="B1043" s="2"/>
      <c r="C1043" s="2"/>
      <c r="D1043" s="2"/>
      <c r="E1043" s="2"/>
      <c r="F1043" s="2"/>
      <c r="G1043" s="2"/>
      <c r="H1043" s="2"/>
      <c r="I1043" s="2"/>
      <c r="J1043" s="2"/>
      <c r="K1043" s="2"/>
      <c r="L1043" s="2"/>
      <c r="M1043" s="2"/>
      <c r="N1043" s="2"/>
      <c r="O1043" s="2"/>
      <c r="P1043" s="2"/>
      <c r="Q1043" s="2"/>
      <c r="R1043" s="2"/>
    </row>
    <row r="1044">
      <c r="A1044" s="2"/>
      <c r="B1044" s="2"/>
      <c r="C1044" s="2"/>
      <c r="D1044" s="2"/>
      <c r="E1044" s="2"/>
      <c r="F1044" s="2"/>
      <c r="G1044" s="2"/>
      <c r="H1044" s="2"/>
      <c r="I1044" s="2"/>
      <c r="J1044" s="2"/>
      <c r="K1044" s="2"/>
      <c r="L1044" s="2"/>
      <c r="M1044" s="2"/>
      <c r="N1044" s="2"/>
      <c r="O1044" s="2"/>
      <c r="P1044" s="2"/>
      <c r="Q1044" s="2"/>
      <c r="R1044" s="2"/>
    </row>
    <row r="1045">
      <c r="A1045" s="2"/>
      <c r="B1045" s="2"/>
      <c r="C1045" s="2"/>
      <c r="D1045" s="2"/>
      <c r="E1045" s="2"/>
      <c r="F1045" s="2"/>
      <c r="G1045" s="2"/>
      <c r="H1045" s="2"/>
      <c r="I1045" s="2"/>
      <c r="J1045" s="2"/>
      <c r="K1045" s="2"/>
      <c r="L1045" s="2"/>
      <c r="M1045" s="2"/>
      <c r="N1045" s="2"/>
      <c r="O1045" s="2"/>
      <c r="P1045" s="2"/>
      <c r="Q1045" s="2"/>
      <c r="R1045" s="2"/>
    </row>
    <row r="1046">
      <c r="A1046" s="2"/>
      <c r="B1046" s="2"/>
      <c r="C1046" s="2"/>
      <c r="D1046" s="2"/>
      <c r="E1046" s="2"/>
      <c r="F1046" s="2"/>
      <c r="G1046" s="2"/>
      <c r="H1046" s="2"/>
      <c r="I1046" s="2"/>
      <c r="J1046" s="2"/>
      <c r="K1046" s="2"/>
      <c r="L1046" s="2"/>
      <c r="M1046" s="2"/>
      <c r="N1046" s="2"/>
      <c r="O1046" s="2"/>
      <c r="P1046" s="2"/>
      <c r="Q1046" s="2"/>
      <c r="R1046" s="2"/>
    </row>
    <row r="1047">
      <c r="A1047" s="2"/>
      <c r="B1047" s="2"/>
      <c r="C1047" s="2"/>
      <c r="D1047" s="2"/>
      <c r="E1047" s="2"/>
      <c r="F1047" s="2"/>
      <c r="G1047" s="2"/>
      <c r="H1047" s="2"/>
      <c r="I1047" s="2"/>
      <c r="J1047" s="2"/>
      <c r="K1047" s="2"/>
      <c r="L1047" s="2"/>
      <c r="M1047" s="2"/>
      <c r="N1047" s="2"/>
      <c r="O1047" s="2"/>
      <c r="P1047" s="2"/>
      <c r="Q1047" s="2"/>
      <c r="R1047" s="2"/>
    </row>
    <row r="1048">
      <c r="A1048" s="2"/>
      <c r="B1048" s="2"/>
      <c r="C1048" s="2"/>
      <c r="D1048" s="2"/>
      <c r="E1048" s="2"/>
      <c r="F1048" s="2"/>
      <c r="G1048" s="2"/>
      <c r="H1048" s="2"/>
      <c r="I1048" s="2"/>
      <c r="J1048" s="2"/>
      <c r="K1048" s="2"/>
      <c r="L1048" s="2"/>
      <c r="M1048" s="2"/>
      <c r="N1048" s="2"/>
      <c r="O1048" s="2"/>
      <c r="P1048" s="2"/>
      <c r="Q1048" s="2"/>
      <c r="R1048" s="2"/>
    </row>
    <row r="1049">
      <c r="A1049" s="2"/>
      <c r="B1049" s="2"/>
      <c r="C1049" s="2"/>
      <c r="D1049" s="2"/>
      <c r="E1049" s="2"/>
      <c r="F1049" s="2"/>
      <c r="G1049" s="2"/>
      <c r="H1049" s="2"/>
      <c r="I1049" s="2"/>
      <c r="J1049" s="2"/>
      <c r="K1049" s="2"/>
      <c r="L1049" s="2"/>
      <c r="M1049" s="2"/>
      <c r="N1049" s="2"/>
      <c r="O1049" s="2"/>
      <c r="P1049" s="2"/>
      <c r="Q1049" s="2"/>
      <c r="R1049" s="2"/>
    </row>
    <row r="1050">
      <c r="A1050" s="2"/>
      <c r="B1050" s="2"/>
      <c r="C1050" s="2"/>
      <c r="D1050" s="2"/>
      <c r="E1050" s="2"/>
      <c r="F1050" s="2"/>
      <c r="G1050" s="2"/>
      <c r="H1050" s="2"/>
      <c r="I1050" s="2"/>
      <c r="J1050" s="2"/>
      <c r="K1050" s="2"/>
      <c r="L1050" s="2"/>
      <c r="M1050" s="2"/>
      <c r="N1050" s="2"/>
      <c r="O1050" s="2"/>
      <c r="P1050" s="2"/>
      <c r="Q1050" s="2"/>
      <c r="R1050" s="2"/>
    </row>
    <row r="1051">
      <c r="A1051" s="2"/>
      <c r="B1051" s="2"/>
      <c r="C1051" s="2"/>
      <c r="D1051" s="2"/>
      <c r="E1051" s="2"/>
      <c r="F1051" s="2"/>
      <c r="G1051" s="2"/>
      <c r="H1051" s="2"/>
      <c r="I1051" s="2"/>
      <c r="J1051" s="2"/>
      <c r="K1051" s="2"/>
      <c r="L1051" s="2"/>
      <c r="M1051" s="2"/>
      <c r="N1051" s="2"/>
      <c r="O1051" s="2"/>
      <c r="P1051" s="2"/>
      <c r="Q1051" s="2"/>
      <c r="R1051" s="2"/>
    </row>
    <row r="1052">
      <c r="A1052" s="2"/>
      <c r="B1052" s="2"/>
      <c r="C1052" s="2"/>
      <c r="D1052" s="2"/>
      <c r="E1052" s="2"/>
      <c r="F1052" s="2"/>
      <c r="G1052" s="2"/>
      <c r="H1052" s="2"/>
      <c r="I1052" s="2"/>
      <c r="J1052" s="2"/>
      <c r="K1052" s="2"/>
      <c r="L1052" s="2"/>
      <c r="M1052" s="2"/>
      <c r="N1052" s="2"/>
      <c r="O1052" s="2"/>
      <c r="P1052" s="2"/>
      <c r="Q1052" s="2"/>
      <c r="R1052" s="2"/>
    </row>
    <row r="1053">
      <c r="A1053" s="2"/>
      <c r="B1053" s="2"/>
      <c r="C1053" s="2"/>
      <c r="D1053" s="2"/>
      <c r="E1053" s="2"/>
      <c r="F1053" s="2"/>
      <c r="G1053" s="2"/>
      <c r="H1053" s="2"/>
      <c r="I1053" s="2"/>
      <c r="J1053" s="2"/>
      <c r="K1053" s="2"/>
      <c r="L1053" s="2"/>
      <c r="M1053" s="2"/>
      <c r="N1053" s="2"/>
      <c r="O1053" s="2"/>
      <c r="P1053" s="2"/>
      <c r="Q1053" s="2"/>
      <c r="R1053" s="2"/>
    </row>
    <row r="1054">
      <c r="A1054" s="2"/>
      <c r="B1054" s="2"/>
      <c r="C1054" s="2"/>
      <c r="D1054" s="2"/>
      <c r="E1054" s="2"/>
      <c r="F1054" s="2"/>
      <c r="G1054" s="2"/>
      <c r="H1054" s="2"/>
      <c r="I1054" s="2"/>
      <c r="J1054" s="2"/>
      <c r="K1054" s="2"/>
      <c r="L1054" s="2"/>
      <c r="M1054" s="2"/>
      <c r="N1054" s="2"/>
      <c r="O1054" s="2"/>
      <c r="P1054" s="2"/>
      <c r="Q1054" s="2"/>
      <c r="R1054" s="2"/>
    </row>
    <row r="1055">
      <c r="A1055" s="2"/>
      <c r="B1055" s="2"/>
      <c r="C1055" s="2"/>
      <c r="D1055" s="2"/>
      <c r="E1055" s="2"/>
      <c r="F1055" s="2"/>
      <c r="G1055" s="2"/>
      <c r="H1055" s="2"/>
      <c r="I1055" s="2"/>
      <c r="J1055" s="2"/>
      <c r="K1055" s="2"/>
      <c r="L1055" s="2"/>
      <c r="M1055" s="2"/>
      <c r="N1055" s="2"/>
      <c r="O1055" s="2"/>
      <c r="P1055" s="2"/>
      <c r="Q1055" s="2"/>
      <c r="R1055" s="2"/>
    </row>
    <row r="1056">
      <c r="A1056" s="2"/>
      <c r="B1056" s="2"/>
      <c r="C1056" s="2"/>
      <c r="D1056" s="2"/>
      <c r="E1056" s="2"/>
      <c r="F1056" s="2"/>
      <c r="G1056" s="2"/>
      <c r="H1056" s="2"/>
      <c r="I1056" s="2"/>
      <c r="J1056" s="2"/>
      <c r="K1056" s="2"/>
      <c r="L1056" s="2"/>
      <c r="M1056" s="2"/>
      <c r="N1056" s="2"/>
      <c r="O1056" s="2"/>
      <c r="P1056" s="2"/>
      <c r="Q1056" s="2"/>
      <c r="R1056" s="2"/>
    </row>
    <row r="1057">
      <c r="A1057" s="2"/>
      <c r="B1057" s="2"/>
      <c r="C1057" s="2"/>
      <c r="D1057" s="2"/>
      <c r="E1057" s="2"/>
      <c r="F1057" s="2"/>
      <c r="G1057" s="2"/>
      <c r="H1057" s="2"/>
      <c r="I1057" s="2"/>
      <c r="J1057" s="2"/>
      <c r="K1057" s="2"/>
      <c r="L1057" s="2"/>
      <c r="M1057" s="2"/>
      <c r="N1057" s="2"/>
      <c r="O1057" s="2"/>
      <c r="P1057" s="2"/>
      <c r="Q1057" s="2"/>
      <c r="R1057" s="2"/>
    </row>
    <row r="1058">
      <c r="A1058" s="2"/>
      <c r="B1058" s="2"/>
      <c r="C1058" s="2"/>
      <c r="D1058" s="2"/>
      <c r="E1058" s="2"/>
      <c r="F1058" s="2"/>
      <c r="G1058" s="2"/>
      <c r="H1058" s="2"/>
      <c r="I1058" s="2"/>
      <c r="J1058" s="2"/>
      <c r="K1058" s="2"/>
      <c r="L1058" s="2"/>
      <c r="M1058" s="2"/>
      <c r="N1058" s="2"/>
      <c r="O1058" s="2"/>
      <c r="P1058" s="2"/>
      <c r="Q1058" s="2"/>
      <c r="R1058" s="2"/>
    </row>
    <row r="1059">
      <c r="A1059" s="2"/>
      <c r="B1059" s="2"/>
      <c r="C1059" s="2"/>
      <c r="D1059" s="2"/>
      <c r="E1059" s="2"/>
      <c r="F1059" s="2"/>
      <c r="G1059" s="2"/>
      <c r="H1059" s="2"/>
      <c r="I1059" s="2"/>
      <c r="J1059" s="2"/>
      <c r="K1059" s="2"/>
      <c r="L1059" s="2"/>
      <c r="M1059" s="2"/>
      <c r="N1059" s="2"/>
      <c r="O1059" s="2"/>
      <c r="P1059" s="2"/>
      <c r="Q1059" s="2"/>
      <c r="R1059" s="2"/>
    </row>
    <row r="1060">
      <c r="A1060" s="2"/>
      <c r="B1060" s="2"/>
      <c r="C1060" s="2"/>
      <c r="D1060" s="2"/>
      <c r="E1060" s="2"/>
      <c r="F1060" s="2"/>
      <c r="G1060" s="2"/>
      <c r="H1060" s="2"/>
      <c r="I1060" s="2"/>
      <c r="J1060" s="2"/>
      <c r="K1060" s="2"/>
      <c r="L1060" s="2"/>
      <c r="M1060" s="2"/>
      <c r="N1060" s="2"/>
      <c r="O1060" s="2"/>
      <c r="P1060" s="2"/>
      <c r="Q1060" s="2"/>
      <c r="R1060" s="2"/>
    </row>
    <row r="1061">
      <c r="A1061" s="2"/>
      <c r="B1061" s="2"/>
      <c r="C1061" s="2"/>
      <c r="D1061" s="2"/>
      <c r="E1061" s="2"/>
      <c r="F1061" s="2"/>
      <c r="G1061" s="2"/>
      <c r="H1061" s="2"/>
      <c r="I1061" s="2"/>
      <c r="J1061" s="2"/>
      <c r="K1061" s="2"/>
      <c r="L1061" s="2"/>
      <c r="M1061" s="2"/>
      <c r="N1061" s="2"/>
      <c r="O1061" s="2"/>
      <c r="P1061" s="2"/>
      <c r="Q1061" s="2"/>
      <c r="R1061" s="2"/>
    </row>
    <row r="1062">
      <c r="A1062" s="2"/>
      <c r="B1062" s="2"/>
      <c r="C1062" s="2"/>
      <c r="D1062" s="2"/>
      <c r="E1062" s="2"/>
      <c r="F1062" s="2"/>
      <c r="G1062" s="2"/>
      <c r="H1062" s="2"/>
      <c r="I1062" s="2"/>
      <c r="J1062" s="2"/>
      <c r="K1062" s="2"/>
      <c r="L1062" s="2"/>
      <c r="M1062" s="2"/>
      <c r="N1062" s="2"/>
      <c r="O1062" s="2"/>
      <c r="P1062" s="2"/>
      <c r="Q1062" s="2"/>
      <c r="R1062" s="2"/>
    </row>
    <row r="1063">
      <c r="A1063" s="2"/>
      <c r="B1063" s="2"/>
      <c r="C1063" s="2"/>
      <c r="D1063" s="2"/>
      <c r="E1063" s="2"/>
      <c r="F1063" s="2"/>
      <c r="G1063" s="2"/>
      <c r="H1063" s="2"/>
      <c r="I1063" s="2"/>
      <c r="J1063" s="2"/>
      <c r="K1063" s="2"/>
      <c r="L1063" s="2"/>
      <c r="M1063" s="2"/>
      <c r="N1063" s="2"/>
      <c r="O1063" s="2"/>
      <c r="P1063" s="2"/>
      <c r="Q1063" s="2"/>
      <c r="R1063" s="2"/>
    </row>
    <row r="1064">
      <c r="A1064" s="2"/>
      <c r="B1064" s="2"/>
      <c r="C1064" s="2"/>
      <c r="D1064" s="2"/>
      <c r="E1064" s="2"/>
      <c r="F1064" s="2"/>
      <c r="G1064" s="2"/>
      <c r="H1064" s="2"/>
      <c r="I1064" s="2"/>
      <c r="J1064" s="2"/>
      <c r="K1064" s="2"/>
      <c r="L1064" s="2"/>
      <c r="M1064" s="2"/>
      <c r="N1064" s="2"/>
      <c r="O1064" s="2"/>
      <c r="P1064" s="2"/>
      <c r="Q1064" s="2"/>
      <c r="R1064" s="2"/>
    </row>
    <row r="1065">
      <c r="A1065" s="2"/>
      <c r="B1065" s="2"/>
      <c r="C1065" s="2"/>
      <c r="D1065" s="2"/>
      <c r="E1065" s="2"/>
      <c r="F1065" s="2"/>
      <c r="G1065" s="2"/>
      <c r="H1065" s="2"/>
      <c r="I1065" s="2"/>
      <c r="J1065" s="2"/>
      <c r="K1065" s="2"/>
      <c r="L1065" s="2"/>
      <c r="M1065" s="2"/>
      <c r="N1065" s="2"/>
      <c r="O1065" s="2"/>
      <c r="P1065" s="2"/>
      <c r="Q1065" s="2"/>
      <c r="R1065" s="2"/>
    </row>
    <row r="1066">
      <c r="A1066" s="2"/>
      <c r="B1066" s="2"/>
      <c r="C1066" s="2"/>
      <c r="D1066" s="2"/>
      <c r="E1066" s="2"/>
      <c r="F1066" s="2"/>
      <c r="G1066" s="2"/>
      <c r="H1066" s="2"/>
      <c r="I1066" s="2"/>
      <c r="J1066" s="2"/>
      <c r="K1066" s="2"/>
      <c r="L1066" s="2"/>
      <c r="M1066" s="2"/>
      <c r="N1066" s="2"/>
      <c r="O1066" s="2"/>
      <c r="P1066" s="2"/>
      <c r="Q1066" s="2"/>
      <c r="R1066" s="2"/>
    </row>
    <row r="1067">
      <c r="A1067" s="2"/>
      <c r="B1067" s="2"/>
      <c r="C1067" s="2"/>
      <c r="D1067" s="2"/>
      <c r="E1067" s="2"/>
      <c r="F1067" s="2"/>
      <c r="G1067" s="2"/>
      <c r="H1067" s="2"/>
      <c r="I1067" s="2"/>
      <c r="J1067" s="2"/>
      <c r="K1067" s="2"/>
      <c r="L1067" s="2"/>
      <c r="M1067" s="2"/>
      <c r="N1067" s="2"/>
      <c r="O1067" s="2"/>
      <c r="P1067" s="2"/>
      <c r="Q1067" s="2"/>
      <c r="R1067" s="2"/>
    </row>
    <row r="1068">
      <c r="A1068" s="2"/>
      <c r="B1068" s="2"/>
      <c r="C1068" s="2"/>
      <c r="D1068" s="2"/>
      <c r="E1068" s="2"/>
      <c r="F1068" s="2"/>
      <c r="G1068" s="2"/>
      <c r="H1068" s="2"/>
      <c r="I1068" s="2"/>
      <c r="J1068" s="2"/>
      <c r="K1068" s="2"/>
      <c r="L1068" s="2"/>
      <c r="M1068" s="2"/>
      <c r="N1068" s="2"/>
      <c r="O1068" s="2"/>
      <c r="P1068" s="2"/>
      <c r="Q1068" s="2"/>
      <c r="R1068" s="2"/>
    </row>
    <row r="1069">
      <c r="A1069" s="2"/>
      <c r="B1069" s="2"/>
      <c r="C1069" s="2"/>
      <c r="D1069" s="2"/>
      <c r="E1069" s="2"/>
      <c r="F1069" s="2"/>
      <c r="G1069" s="2"/>
      <c r="H1069" s="2"/>
      <c r="I1069" s="2"/>
      <c r="J1069" s="2"/>
      <c r="K1069" s="2"/>
      <c r="L1069" s="2"/>
      <c r="M1069" s="2"/>
      <c r="N1069" s="2"/>
      <c r="O1069" s="2"/>
      <c r="P1069" s="2"/>
      <c r="Q1069" s="2"/>
      <c r="R1069" s="2"/>
    </row>
    <row r="1070">
      <c r="A1070" s="2"/>
      <c r="B1070" s="2"/>
      <c r="C1070" s="2"/>
      <c r="D1070" s="2"/>
      <c r="E1070" s="2"/>
      <c r="F1070" s="2"/>
      <c r="G1070" s="2"/>
      <c r="H1070" s="2"/>
      <c r="I1070" s="2"/>
      <c r="J1070" s="2"/>
      <c r="K1070" s="2"/>
      <c r="L1070" s="2"/>
      <c r="M1070" s="2"/>
      <c r="N1070" s="2"/>
      <c r="O1070" s="2"/>
      <c r="P1070" s="2"/>
      <c r="Q1070" s="2"/>
      <c r="R1070" s="2"/>
    </row>
    <row r="1071">
      <c r="A1071" s="2"/>
      <c r="B1071" s="2"/>
      <c r="C1071" s="2"/>
      <c r="D1071" s="2"/>
      <c r="E1071" s="2"/>
      <c r="F1071" s="2"/>
      <c r="G1071" s="2"/>
      <c r="H1071" s="2"/>
      <c r="I1071" s="2"/>
      <c r="J1071" s="2"/>
      <c r="K1071" s="2"/>
      <c r="L1071" s="2"/>
      <c r="M1071" s="2"/>
      <c r="N1071" s="2"/>
      <c r="O1071" s="2"/>
      <c r="P1071" s="2"/>
      <c r="Q1071" s="2"/>
      <c r="R1071" s="2"/>
    </row>
    <row r="1072">
      <c r="A1072" s="2"/>
      <c r="B1072" s="2"/>
      <c r="C1072" s="2"/>
      <c r="D1072" s="2"/>
      <c r="E1072" s="2"/>
      <c r="F1072" s="2"/>
      <c r="G1072" s="2"/>
      <c r="H1072" s="2"/>
      <c r="I1072" s="2"/>
      <c r="J1072" s="2"/>
      <c r="K1072" s="2"/>
      <c r="L1072" s="2"/>
      <c r="M1072" s="2"/>
      <c r="N1072" s="2"/>
      <c r="O1072" s="2"/>
      <c r="P1072" s="2"/>
      <c r="Q1072" s="2"/>
      <c r="R1072" s="2"/>
    </row>
    <row r="1073">
      <c r="A1073" s="2"/>
      <c r="B1073" s="2"/>
      <c r="C1073" s="2"/>
      <c r="D1073" s="2"/>
      <c r="E1073" s="2"/>
      <c r="F1073" s="2"/>
      <c r="G1073" s="2"/>
      <c r="H1073" s="2"/>
      <c r="I1073" s="2"/>
      <c r="J1073" s="2"/>
      <c r="K1073" s="2"/>
      <c r="L1073" s="2"/>
      <c r="M1073" s="2"/>
      <c r="N1073" s="2"/>
      <c r="O1073" s="2"/>
      <c r="P1073" s="2"/>
      <c r="Q1073" s="2"/>
      <c r="R1073" s="2"/>
    </row>
    <row r="1074">
      <c r="A1074" s="2"/>
      <c r="B1074" s="2"/>
      <c r="C1074" s="2"/>
      <c r="D1074" s="2"/>
      <c r="E1074" s="2"/>
      <c r="F1074" s="2"/>
      <c r="G1074" s="2"/>
      <c r="H1074" s="2"/>
      <c r="I1074" s="2"/>
      <c r="J1074" s="2"/>
      <c r="K1074" s="2"/>
      <c r="L1074" s="2"/>
      <c r="M1074" s="2"/>
      <c r="N1074" s="2"/>
      <c r="O1074" s="2"/>
      <c r="P1074" s="2"/>
      <c r="Q1074" s="2"/>
      <c r="R1074" s="2"/>
    </row>
    <row r="1075">
      <c r="A1075" s="2"/>
      <c r="B1075" s="2"/>
      <c r="C1075" s="2"/>
      <c r="D1075" s="2"/>
      <c r="E1075" s="2"/>
      <c r="F1075" s="2"/>
      <c r="G1075" s="2"/>
      <c r="H1075" s="2"/>
      <c r="I1075" s="2"/>
      <c r="J1075" s="2"/>
      <c r="K1075" s="2"/>
      <c r="L1075" s="2"/>
      <c r="M1075" s="2"/>
      <c r="N1075" s="2"/>
      <c r="O1075" s="2"/>
      <c r="P1075" s="2"/>
      <c r="Q1075" s="2"/>
      <c r="R1075" s="2"/>
    </row>
    <row r="1076">
      <c r="A1076" s="2"/>
      <c r="B1076" s="2"/>
      <c r="C1076" s="2"/>
      <c r="D1076" s="2"/>
      <c r="E1076" s="2"/>
      <c r="F1076" s="2"/>
      <c r="G1076" s="2"/>
      <c r="H1076" s="2"/>
      <c r="I1076" s="2"/>
      <c r="J1076" s="2"/>
      <c r="K1076" s="2"/>
      <c r="L1076" s="2"/>
      <c r="M1076" s="2"/>
      <c r="N1076" s="2"/>
      <c r="O1076" s="2"/>
      <c r="P1076" s="2"/>
      <c r="Q1076" s="2"/>
      <c r="R1076" s="2"/>
    </row>
    <row r="1077">
      <c r="A1077" s="2"/>
      <c r="B1077" s="2"/>
      <c r="C1077" s="2"/>
      <c r="D1077" s="2"/>
      <c r="E1077" s="2"/>
      <c r="F1077" s="2"/>
      <c r="G1077" s="2"/>
      <c r="H1077" s="2"/>
      <c r="I1077" s="2"/>
      <c r="J1077" s="2"/>
      <c r="K1077" s="2"/>
      <c r="L1077" s="2"/>
      <c r="M1077" s="2"/>
      <c r="N1077" s="2"/>
      <c r="O1077" s="2"/>
      <c r="P1077" s="2"/>
      <c r="Q1077" s="2"/>
      <c r="R1077" s="2"/>
    </row>
    <row r="1078">
      <c r="A1078" s="2"/>
      <c r="B1078" s="2"/>
      <c r="C1078" s="2"/>
      <c r="D1078" s="2"/>
      <c r="E1078" s="2"/>
      <c r="F1078" s="2"/>
      <c r="G1078" s="2"/>
      <c r="H1078" s="2"/>
      <c r="I1078" s="2"/>
      <c r="J1078" s="2"/>
      <c r="K1078" s="2"/>
      <c r="L1078" s="2"/>
      <c r="M1078" s="2"/>
      <c r="N1078" s="2"/>
      <c r="O1078" s="2"/>
      <c r="P1078" s="2"/>
      <c r="Q1078" s="2"/>
      <c r="R1078" s="2"/>
    </row>
    <row r="1079">
      <c r="A1079" s="2"/>
      <c r="B1079" s="2"/>
      <c r="C1079" s="2"/>
      <c r="D1079" s="2"/>
      <c r="E1079" s="2"/>
      <c r="F1079" s="2"/>
      <c r="G1079" s="2"/>
      <c r="H1079" s="2"/>
      <c r="I1079" s="2"/>
      <c r="J1079" s="2"/>
      <c r="K1079" s="2"/>
      <c r="L1079" s="2"/>
      <c r="M1079" s="2"/>
      <c r="N1079" s="2"/>
      <c r="O1079" s="2"/>
      <c r="P1079" s="2"/>
      <c r="Q1079" s="2"/>
      <c r="R1079" s="2"/>
    </row>
    <row r="1080">
      <c r="A1080" s="2"/>
      <c r="B1080" s="2"/>
      <c r="C1080" s="2"/>
      <c r="D1080" s="2"/>
      <c r="E1080" s="2"/>
      <c r="F1080" s="2"/>
      <c r="G1080" s="2"/>
      <c r="H1080" s="2"/>
      <c r="I1080" s="2"/>
      <c r="J1080" s="2"/>
      <c r="K1080" s="2"/>
      <c r="L1080" s="2"/>
      <c r="M1080" s="2"/>
      <c r="N1080" s="2"/>
      <c r="O1080" s="2"/>
      <c r="P1080" s="2"/>
      <c r="Q1080" s="2"/>
      <c r="R1080" s="2"/>
    </row>
    <row r="1081">
      <c r="A1081" s="2"/>
      <c r="B1081" s="2"/>
      <c r="C1081" s="2"/>
      <c r="D1081" s="2"/>
      <c r="E1081" s="2"/>
      <c r="F1081" s="2"/>
      <c r="G1081" s="2"/>
      <c r="H1081" s="2"/>
      <c r="I1081" s="2"/>
      <c r="J1081" s="2"/>
      <c r="K1081" s="2"/>
      <c r="L1081" s="2"/>
      <c r="M1081" s="2"/>
      <c r="N1081" s="2"/>
      <c r="O1081" s="2"/>
      <c r="P1081" s="2"/>
      <c r="Q1081" s="2"/>
      <c r="R1081" s="2"/>
    </row>
    <row r="1082">
      <c r="A1082" s="2"/>
      <c r="B1082" s="2"/>
      <c r="C1082" s="2"/>
      <c r="D1082" s="2"/>
      <c r="E1082" s="2"/>
      <c r="F1082" s="2"/>
      <c r="G1082" s="2"/>
      <c r="H1082" s="2"/>
      <c r="I1082" s="2"/>
      <c r="J1082" s="2"/>
      <c r="K1082" s="2"/>
      <c r="L1082" s="2"/>
      <c r="M1082" s="2"/>
      <c r="N1082" s="2"/>
      <c r="O1082" s="2"/>
      <c r="P1082" s="2"/>
      <c r="Q1082" s="2"/>
      <c r="R1082" s="2"/>
    </row>
    <row r="1083">
      <c r="A1083" s="2"/>
      <c r="B1083" s="2"/>
      <c r="C1083" s="2"/>
      <c r="D1083" s="2"/>
      <c r="E1083" s="2"/>
      <c r="F1083" s="2"/>
      <c r="G1083" s="2"/>
      <c r="H1083" s="2"/>
      <c r="I1083" s="2"/>
      <c r="J1083" s="2"/>
      <c r="K1083" s="2"/>
      <c r="L1083" s="2"/>
      <c r="M1083" s="2"/>
      <c r="N1083" s="2"/>
      <c r="O1083" s="2"/>
      <c r="P1083" s="2"/>
      <c r="Q1083" s="2"/>
      <c r="R1083" s="2"/>
    </row>
    <row r="1084">
      <c r="A1084" s="2"/>
      <c r="B1084" s="2"/>
      <c r="C1084" s="2"/>
      <c r="D1084" s="2"/>
      <c r="E1084" s="2"/>
      <c r="F1084" s="2"/>
      <c r="G1084" s="2"/>
      <c r="H1084" s="2"/>
      <c r="I1084" s="2"/>
      <c r="J1084" s="2"/>
      <c r="K1084" s="2"/>
      <c r="L1084" s="2"/>
      <c r="M1084" s="2"/>
      <c r="N1084" s="2"/>
      <c r="O1084" s="2"/>
      <c r="P1084" s="2"/>
      <c r="Q1084" s="2"/>
      <c r="R1084" s="2"/>
    </row>
    <row r="1085">
      <c r="A1085" s="2"/>
      <c r="B1085" s="2"/>
      <c r="C1085" s="2"/>
      <c r="D1085" s="2"/>
      <c r="E1085" s="2"/>
      <c r="F1085" s="2"/>
      <c r="G1085" s="2"/>
      <c r="H1085" s="2"/>
      <c r="I1085" s="2"/>
      <c r="J1085" s="2"/>
      <c r="K1085" s="2"/>
      <c r="L1085" s="2"/>
      <c r="M1085" s="2"/>
      <c r="N1085" s="2"/>
      <c r="O1085" s="2"/>
      <c r="P1085" s="2"/>
      <c r="Q1085" s="2"/>
      <c r="R1085" s="2"/>
    </row>
    <row r="1086">
      <c r="A1086" s="2"/>
      <c r="B1086" s="2"/>
      <c r="C1086" s="2"/>
      <c r="D1086" s="2"/>
      <c r="E1086" s="2"/>
      <c r="F1086" s="2"/>
      <c r="G1086" s="2"/>
      <c r="H1086" s="2"/>
      <c r="I1086" s="2"/>
      <c r="J1086" s="2"/>
      <c r="K1086" s="2"/>
      <c r="L1086" s="2"/>
      <c r="M1086" s="2"/>
      <c r="N1086" s="2"/>
      <c r="O1086" s="2"/>
      <c r="P1086" s="2"/>
      <c r="Q1086" s="2"/>
      <c r="R1086" s="2"/>
    </row>
    <row r="1087">
      <c r="A1087" s="2"/>
      <c r="B1087" s="2"/>
      <c r="C1087" s="2"/>
      <c r="D1087" s="2"/>
      <c r="E1087" s="2"/>
      <c r="F1087" s="2"/>
      <c r="G1087" s="2"/>
      <c r="H1087" s="2"/>
      <c r="I1087" s="2"/>
      <c r="J1087" s="2"/>
      <c r="K1087" s="2"/>
      <c r="L1087" s="2"/>
      <c r="M1087" s="2"/>
      <c r="N1087" s="2"/>
      <c r="O1087" s="2"/>
      <c r="P1087" s="2"/>
      <c r="Q1087" s="2"/>
      <c r="R1087" s="2"/>
    </row>
    <row r="1088">
      <c r="A1088" s="2"/>
      <c r="B1088" s="2"/>
      <c r="C1088" s="2"/>
      <c r="D1088" s="2"/>
      <c r="E1088" s="2"/>
      <c r="F1088" s="2"/>
      <c r="G1088" s="2"/>
      <c r="H1088" s="2"/>
      <c r="I1088" s="2"/>
      <c r="J1088" s="2"/>
      <c r="K1088" s="2"/>
      <c r="L1088" s="2"/>
      <c r="M1088" s="2"/>
      <c r="N1088" s="2"/>
      <c r="O1088" s="2"/>
      <c r="P1088" s="2"/>
      <c r="Q1088" s="2"/>
      <c r="R1088" s="2"/>
    </row>
    <row r="1089">
      <c r="A1089" s="2"/>
      <c r="B1089" s="2"/>
      <c r="C1089" s="2"/>
      <c r="D1089" s="2"/>
      <c r="E1089" s="2"/>
      <c r="F1089" s="2"/>
      <c r="G1089" s="2"/>
      <c r="H1089" s="2"/>
      <c r="I1089" s="2"/>
      <c r="J1089" s="2"/>
      <c r="K1089" s="2"/>
      <c r="L1089" s="2"/>
      <c r="M1089" s="2"/>
      <c r="N1089" s="2"/>
      <c r="O1089" s="2"/>
      <c r="P1089" s="2"/>
      <c r="Q1089" s="2"/>
      <c r="R1089" s="2"/>
    </row>
    <row r="1090">
      <c r="A1090" s="2"/>
      <c r="B1090" s="2"/>
      <c r="C1090" s="2"/>
      <c r="D1090" s="2"/>
      <c r="E1090" s="2"/>
      <c r="F1090" s="2"/>
      <c r="G1090" s="2"/>
      <c r="H1090" s="2"/>
      <c r="I1090" s="2"/>
      <c r="J1090" s="2"/>
      <c r="K1090" s="2"/>
      <c r="L1090" s="2"/>
      <c r="M1090" s="2"/>
      <c r="N1090" s="2"/>
      <c r="O1090" s="2"/>
      <c r="P1090" s="2"/>
      <c r="Q1090" s="2"/>
      <c r="R1090" s="2"/>
    </row>
    <row r="1091">
      <c r="A1091" s="2"/>
      <c r="B1091" s="2"/>
      <c r="C1091" s="2"/>
      <c r="D1091" s="2"/>
      <c r="E1091" s="2"/>
      <c r="F1091" s="2"/>
      <c r="G1091" s="2"/>
      <c r="H1091" s="2"/>
      <c r="I1091" s="2"/>
      <c r="J1091" s="2"/>
      <c r="K1091" s="2"/>
      <c r="L1091" s="2"/>
      <c r="M1091" s="2"/>
      <c r="N1091" s="2"/>
      <c r="O1091" s="2"/>
      <c r="P1091" s="2"/>
      <c r="Q1091" s="2"/>
      <c r="R1091" s="2"/>
    </row>
    <row r="1092">
      <c r="A1092" s="2"/>
      <c r="B1092" s="2"/>
      <c r="C1092" s="2"/>
      <c r="D1092" s="2"/>
      <c r="E1092" s="2"/>
      <c r="F1092" s="2"/>
      <c r="G1092" s="2"/>
      <c r="H1092" s="2"/>
      <c r="I1092" s="2"/>
      <c r="J1092" s="2"/>
      <c r="K1092" s="2"/>
      <c r="L1092" s="2"/>
      <c r="M1092" s="2"/>
      <c r="N1092" s="2"/>
      <c r="O1092" s="2"/>
      <c r="P1092" s="2"/>
      <c r="Q1092" s="2"/>
      <c r="R1092" s="2"/>
    </row>
    <row r="1093">
      <c r="A1093" s="2"/>
      <c r="B1093" s="2"/>
      <c r="C1093" s="2"/>
      <c r="D1093" s="2"/>
      <c r="E1093" s="2"/>
      <c r="F1093" s="2"/>
      <c r="G1093" s="2"/>
      <c r="H1093" s="2"/>
      <c r="I1093" s="2"/>
      <c r="J1093" s="2"/>
      <c r="K1093" s="2"/>
      <c r="L1093" s="2"/>
      <c r="M1093" s="2"/>
      <c r="N1093" s="2"/>
      <c r="O1093" s="2"/>
      <c r="P1093" s="2"/>
      <c r="Q1093" s="2"/>
      <c r="R1093" s="2"/>
    </row>
    <row r="1094">
      <c r="A1094" s="2"/>
      <c r="B1094" s="2"/>
      <c r="C1094" s="2"/>
      <c r="D1094" s="2"/>
      <c r="E1094" s="2"/>
      <c r="F1094" s="2"/>
      <c r="G1094" s="2"/>
      <c r="H1094" s="2"/>
      <c r="I1094" s="2"/>
      <c r="J1094" s="2"/>
      <c r="K1094" s="2"/>
      <c r="L1094" s="2"/>
      <c r="M1094" s="2"/>
      <c r="N1094" s="2"/>
      <c r="O1094" s="2"/>
      <c r="P1094" s="2"/>
      <c r="Q1094" s="2"/>
      <c r="R1094" s="2"/>
    </row>
    <row r="1095">
      <c r="A1095" s="2"/>
      <c r="B1095" s="2"/>
      <c r="C1095" s="2"/>
      <c r="D1095" s="2"/>
      <c r="E1095" s="2"/>
      <c r="F1095" s="2"/>
      <c r="G1095" s="2"/>
      <c r="H1095" s="2"/>
      <c r="I1095" s="2"/>
      <c r="J1095" s="2"/>
      <c r="K1095" s="2"/>
      <c r="L1095" s="2"/>
      <c r="M1095" s="2"/>
      <c r="N1095" s="2"/>
      <c r="O1095" s="2"/>
      <c r="P1095" s="2"/>
      <c r="Q1095" s="2"/>
      <c r="R1095" s="2"/>
    </row>
    <row r="1096">
      <c r="A1096" s="2"/>
      <c r="B1096" s="2"/>
      <c r="C1096" s="2"/>
      <c r="D1096" s="2"/>
      <c r="E1096" s="2"/>
      <c r="F1096" s="2"/>
      <c r="G1096" s="2"/>
      <c r="H1096" s="2"/>
      <c r="I1096" s="2"/>
      <c r="J1096" s="2"/>
      <c r="K1096" s="2"/>
      <c r="L1096" s="2"/>
      <c r="M1096" s="2"/>
      <c r="N1096" s="2"/>
      <c r="O1096" s="2"/>
      <c r="P1096" s="2"/>
      <c r="Q1096" s="2"/>
      <c r="R1096" s="2"/>
    </row>
    <row r="1097">
      <c r="A1097" s="2"/>
      <c r="B1097" s="2"/>
      <c r="C1097" s="2"/>
      <c r="D1097" s="2"/>
      <c r="E1097" s="2"/>
      <c r="F1097" s="2"/>
      <c r="G1097" s="2"/>
      <c r="H1097" s="2"/>
      <c r="I1097" s="2"/>
      <c r="J1097" s="2"/>
      <c r="K1097" s="2"/>
      <c r="L1097" s="2"/>
      <c r="M1097" s="2"/>
      <c r="N1097" s="2"/>
      <c r="O1097" s="2"/>
      <c r="P1097" s="2"/>
      <c r="Q1097" s="2"/>
      <c r="R1097" s="2"/>
    </row>
    <row r="1098">
      <c r="A1098" s="2"/>
      <c r="B1098" s="2"/>
      <c r="C1098" s="2"/>
      <c r="D1098" s="2"/>
      <c r="E1098" s="2"/>
      <c r="F1098" s="2"/>
      <c r="G1098" s="2"/>
      <c r="H1098" s="2"/>
      <c r="I1098" s="2"/>
      <c r="J1098" s="2"/>
      <c r="K1098" s="2"/>
      <c r="L1098" s="2"/>
      <c r="M1098" s="2"/>
      <c r="N1098" s="2"/>
      <c r="O1098" s="2"/>
      <c r="P1098" s="2"/>
      <c r="Q1098" s="2"/>
      <c r="R1098" s="2"/>
    </row>
    <row r="1099">
      <c r="A1099" s="2"/>
      <c r="B1099" s="2"/>
      <c r="C1099" s="2"/>
      <c r="D1099" s="2"/>
      <c r="E1099" s="2"/>
      <c r="F1099" s="2"/>
      <c r="G1099" s="2"/>
      <c r="H1099" s="2"/>
      <c r="I1099" s="2"/>
      <c r="J1099" s="2"/>
      <c r="K1099" s="2"/>
      <c r="L1099" s="2"/>
      <c r="M1099" s="2"/>
      <c r="N1099" s="2"/>
      <c r="O1099" s="2"/>
      <c r="P1099" s="2"/>
      <c r="Q1099" s="2"/>
      <c r="R1099" s="2"/>
    </row>
    <row r="1100">
      <c r="A1100" s="2"/>
      <c r="B1100" s="2"/>
      <c r="C1100" s="2"/>
      <c r="D1100" s="2"/>
      <c r="E1100" s="2"/>
      <c r="F1100" s="2"/>
      <c r="G1100" s="2"/>
      <c r="H1100" s="2"/>
      <c r="I1100" s="2"/>
      <c r="J1100" s="2"/>
      <c r="K1100" s="2"/>
      <c r="L1100" s="2"/>
      <c r="M1100" s="2"/>
      <c r="N1100" s="2"/>
      <c r="O1100" s="2"/>
      <c r="P1100" s="2"/>
      <c r="Q1100" s="2"/>
      <c r="R1100" s="2"/>
    </row>
    <row r="1101">
      <c r="A1101" s="2"/>
      <c r="B1101" s="2"/>
      <c r="C1101" s="2"/>
      <c r="D1101" s="2"/>
      <c r="E1101" s="2"/>
      <c r="F1101" s="2"/>
      <c r="G1101" s="2"/>
      <c r="H1101" s="2"/>
      <c r="I1101" s="2"/>
      <c r="J1101" s="2"/>
      <c r="K1101" s="2"/>
      <c r="L1101" s="2"/>
      <c r="M1101" s="2"/>
      <c r="N1101" s="2"/>
      <c r="O1101" s="2"/>
      <c r="P1101" s="2"/>
      <c r="Q1101" s="2"/>
      <c r="R1101" s="2"/>
    </row>
    <row r="1102">
      <c r="A1102" s="2"/>
      <c r="B1102" s="2"/>
      <c r="C1102" s="2"/>
      <c r="D1102" s="2"/>
      <c r="E1102" s="2"/>
      <c r="F1102" s="2"/>
      <c r="G1102" s="2"/>
      <c r="H1102" s="2"/>
      <c r="I1102" s="2"/>
      <c r="J1102" s="2"/>
      <c r="K1102" s="2"/>
      <c r="L1102" s="2"/>
      <c r="M1102" s="2"/>
      <c r="N1102" s="2"/>
      <c r="O1102" s="2"/>
      <c r="P1102" s="2"/>
      <c r="Q1102" s="2"/>
      <c r="R1102" s="2"/>
    </row>
    <row r="1103">
      <c r="A1103" s="2"/>
      <c r="B1103" s="2"/>
      <c r="C1103" s="2"/>
      <c r="D1103" s="2"/>
      <c r="E1103" s="2"/>
      <c r="F1103" s="2"/>
      <c r="G1103" s="2"/>
      <c r="H1103" s="2"/>
      <c r="I1103" s="2"/>
      <c r="J1103" s="2"/>
      <c r="K1103" s="2"/>
      <c r="L1103" s="2"/>
      <c r="M1103" s="2"/>
      <c r="N1103" s="2"/>
      <c r="O1103" s="2"/>
      <c r="P1103" s="2"/>
      <c r="Q1103" s="2"/>
      <c r="R1103" s="2"/>
    </row>
    <row r="1104">
      <c r="A1104" s="2"/>
      <c r="B1104" s="2"/>
      <c r="C1104" s="2"/>
      <c r="D1104" s="2"/>
      <c r="E1104" s="2"/>
      <c r="F1104" s="2"/>
      <c r="G1104" s="2"/>
      <c r="H1104" s="2"/>
      <c r="I1104" s="2"/>
      <c r="J1104" s="2"/>
      <c r="K1104" s="2"/>
      <c r="L1104" s="2"/>
      <c r="M1104" s="2"/>
      <c r="N1104" s="2"/>
      <c r="O1104" s="2"/>
      <c r="P1104" s="2"/>
      <c r="Q1104" s="2"/>
      <c r="R1104" s="2"/>
    </row>
    <row r="1105">
      <c r="A1105" s="2"/>
      <c r="B1105" s="2"/>
      <c r="C1105" s="2"/>
      <c r="D1105" s="2"/>
      <c r="E1105" s="2"/>
      <c r="F1105" s="2"/>
      <c r="G1105" s="2"/>
      <c r="H1105" s="2"/>
      <c r="I1105" s="2"/>
      <c r="J1105" s="2"/>
      <c r="K1105" s="2"/>
      <c r="L1105" s="2"/>
      <c r="M1105" s="2"/>
      <c r="N1105" s="2"/>
      <c r="O1105" s="2"/>
      <c r="P1105" s="2"/>
      <c r="Q1105" s="2"/>
      <c r="R1105" s="2"/>
    </row>
    <row r="1106">
      <c r="A1106" s="2"/>
      <c r="B1106" s="2"/>
      <c r="C1106" s="2"/>
      <c r="D1106" s="2"/>
      <c r="E1106" s="2"/>
      <c r="F1106" s="2"/>
      <c r="G1106" s="2"/>
      <c r="H1106" s="2"/>
      <c r="I1106" s="2"/>
      <c r="J1106" s="2"/>
      <c r="K1106" s="2"/>
      <c r="L1106" s="2"/>
      <c r="M1106" s="2"/>
      <c r="N1106" s="2"/>
      <c r="O1106" s="2"/>
      <c r="P1106" s="2"/>
      <c r="Q1106" s="2"/>
      <c r="R1106" s="2"/>
    </row>
    <row r="1107">
      <c r="A1107" s="2"/>
      <c r="B1107" s="2"/>
      <c r="C1107" s="2"/>
      <c r="D1107" s="2"/>
      <c r="E1107" s="2"/>
      <c r="F1107" s="2"/>
      <c r="G1107" s="2"/>
      <c r="H1107" s="2"/>
      <c r="I1107" s="2"/>
      <c r="J1107" s="2"/>
      <c r="K1107" s="2"/>
      <c r="L1107" s="2"/>
      <c r="M1107" s="2"/>
      <c r="N1107" s="2"/>
      <c r="O1107" s="2"/>
      <c r="P1107" s="2"/>
      <c r="Q1107" s="2"/>
      <c r="R1107" s="2"/>
    </row>
    <row r="1108">
      <c r="A1108" s="2"/>
      <c r="B1108" s="2"/>
      <c r="C1108" s="2"/>
      <c r="D1108" s="2"/>
      <c r="E1108" s="2"/>
      <c r="F1108" s="2"/>
      <c r="G1108" s="2"/>
      <c r="H1108" s="2"/>
      <c r="I1108" s="2"/>
      <c r="J1108" s="2"/>
      <c r="K1108" s="2"/>
      <c r="L1108" s="2"/>
      <c r="M1108" s="2"/>
      <c r="N1108" s="2"/>
      <c r="O1108" s="2"/>
      <c r="P1108" s="2"/>
      <c r="Q1108" s="2"/>
      <c r="R1108" s="2"/>
    </row>
    <row r="1109">
      <c r="A1109" s="2"/>
      <c r="B1109" s="2"/>
      <c r="C1109" s="2"/>
      <c r="D1109" s="2"/>
      <c r="E1109" s="2"/>
      <c r="F1109" s="2"/>
      <c r="G1109" s="2"/>
      <c r="H1109" s="2"/>
      <c r="I1109" s="2"/>
      <c r="J1109" s="2"/>
      <c r="K1109" s="2"/>
      <c r="L1109" s="2"/>
      <c r="M1109" s="2"/>
      <c r="N1109" s="2"/>
      <c r="O1109" s="2"/>
      <c r="P1109" s="2"/>
      <c r="Q1109" s="2"/>
      <c r="R1109" s="2"/>
    </row>
    <row r="1110">
      <c r="A1110" s="2"/>
      <c r="B1110" s="2"/>
      <c r="C1110" s="2"/>
      <c r="D1110" s="2"/>
      <c r="E1110" s="2"/>
      <c r="F1110" s="2"/>
      <c r="G1110" s="2"/>
      <c r="H1110" s="2"/>
      <c r="I1110" s="2"/>
      <c r="J1110" s="2"/>
      <c r="K1110" s="2"/>
      <c r="L1110" s="2"/>
      <c r="M1110" s="2"/>
      <c r="N1110" s="2"/>
      <c r="O1110" s="2"/>
      <c r="P1110" s="2"/>
      <c r="Q1110" s="2"/>
      <c r="R1110" s="2"/>
    </row>
    <row r="1111">
      <c r="A1111" s="2"/>
      <c r="B1111" s="2"/>
      <c r="C1111" s="2"/>
      <c r="D1111" s="2"/>
      <c r="E1111" s="2"/>
      <c r="F1111" s="2"/>
      <c r="G1111" s="2"/>
      <c r="H1111" s="2"/>
      <c r="I1111" s="2"/>
      <c r="J1111" s="2"/>
      <c r="K1111" s="2"/>
      <c r="L1111" s="2"/>
      <c r="M1111" s="2"/>
      <c r="N1111" s="2"/>
      <c r="O1111" s="2"/>
      <c r="P1111" s="2"/>
      <c r="Q1111" s="2"/>
      <c r="R1111" s="2"/>
    </row>
    <row r="1112">
      <c r="A1112" s="2"/>
      <c r="B1112" s="2"/>
      <c r="C1112" s="2"/>
      <c r="D1112" s="2"/>
      <c r="E1112" s="2"/>
      <c r="F1112" s="2"/>
      <c r="G1112" s="2"/>
      <c r="H1112" s="2"/>
      <c r="I1112" s="2"/>
      <c r="J1112" s="2"/>
      <c r="K1112" s="2"/>
      <c r="L1112" s="2"/>
      <c r="M1112" s="2"/>
      <c r="N1112" s="2"/>
      <c r="O1112" s="2"/>
      <c r="P1112" s="2"/>
      <c r="Q1112" s="2"/>
      <c r="R1112" s="2"/>
    </row>
    <row r="1113">
      <c r="A1113" s="2"/>
      <c r="B1113" s="2"/>
      <c r="C1113" s="2"/>
      <c r="D1113" s="2"/>
      <c r="E1113" s="2"/>
      <c r="F1113" s="2"/>
      <c r="G1113" s="2"/>
      <c r="H1113" s="2"/>
      <c r="I1113" s="2"/>
      <c r="J1113" s="2"/>
      <c r="K1113" s="2"/>
      <c r="L1113" s="2"/>
      <c r="M1113" s="2"/>
      <c r="N1113" s="2"/>
      <c r="O1113" s="2"/>
      <c r="P1113" s="2"/>
      <c r="Q1113" s="2"/>
      <c r="R1113" s="2"/>
    </row>
    <row r="1114">
      <c r="A1114" s="2"/>
      <c r="B1114" s="2"/>
      <c r="C1114" s="2"/>
      <c r="D1114" s="2"/>
      <c r="E1114" s="2"/>
      <c r="F1114" s="2"/>
      <c r="G1114" s="2"/>
      <c r="H1114" s="2"/>
      <c r="I1114" s="2"/>
      <c r="J1114" s="2"/>
      <c r="K1114" s="2"/>
      <c r="L1114" s="2"/>
      <c r="M1114" s="2"/>
      <c r="N1114" s="2"/>
      <c r="O1114" s="2"/>
      <c r="P1114" s="2"/>
      <c r="Q1114" s="2"/>
      <c r="R1114" s="2"/>
    </row>
    <row r="1115">
      <c r="A1115" s="2"/>
      <c r="B1115" s="2"/>
      <c r="C1115" s="2"/>
      <c r="D1115" s="2"/>
      <c r="E1115" s="2"/>
      <c r="F1115" s="2"/>
      <c r="G1115" s="2"/>
      <c r="H1115" s="2"/>
      <c r="I1115" s="2"/>
      <c r="J1115" s="2"/>
      <c r="K1115" s="2"/>
      <c r="L1115" s="2"/>
      <c r="M1115" s="2"/>
      <c r="N1115" s="2"/>
      <c r="O1115" s="2"/>
      <c r="P1115" s="2"/>
      <c r="Q1115" s="2"/>
      <c r="R1115" s="2"/>
    </row>
  </sheetData>
  <drawing r:id="rId1"/>
  <tableParts count="88">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75"/>
    <col customWidth="1" min="5" max="5" width="25.13"/>
  </cols>
  <sheetData>
    <row r="1">
      <c r="A1" s="1" t="s">
        <v>0</v>
      </c>
      <c r="B1" s="1" t="s">
        <v>1</v>
      </c>
      <c r="C1" s="1" t="s">
        <v>2</v>
      </c>
      <c r="D1" s="1" t="s">
        <v>3</v>
      </c>
      <c r="E1" s="1" t="s">
        <v>4</v>
      </c>
      <c r="F1" s="2"/>
      <c r="G1" s="2"/>
      <c r="H1" s="2"/>
      <c r="I1" s="2"/>
      <c r="J1" s="2"/>
      <c r="K1" s="2"/>
      <c r="L1" s="2"/>
      <c r="M1" s="2"/>
      <c r="N1" s="2"/>
      <c r="O1" s="2"/>
      <c r="P1" s="2"/>
      <c r="Q1" s="2"/>
      <c r="R1" s="2"/>
    </row>
    <row r="2">
      <c r="A2" s="3" t="s">
        <v>5</v>
      </c>
      <c r="B2" s="4">
        <v>1.0</v>
      </c>
      <c r="C2" s="3" t="s">
        <v>6</v>
      </c>
      <c r="D2" s="4">
        <v>15.0</v>
      </c>
      <c r="E2" s="4">
        <v>7.720064326E9</v>
      </c>
      <c r="F2" s="3"/>
      <c r="G2" s="3"/>
      <c r="H2" s="3"/>
      <c r="I2" s="3"/>
      <c r="J2" s="3"/>
      <c r="K2" s="3"/>
      <c r="L2" s="2"/>
      <c r="M2" s="2"/>
      <c r="N2" s="2"/>
      <c r="O2" s="2"/>
      <c r="P2" s="2"/>
      <c r="Q2" s="2"/>
      <c r="R2" s="2"/>
    </row>
    <row r="3">
      <c r="A3" s="3" t="s">
        <v>7</v>
      </c>
      <c r="B3" s="4">
        <v>2.0</v>
      </c>
      <c r="C3" s="3" t="s">
        <v>8</v>
      </c>
      <c r="D3" s="4">
        <v>26.0</v>
      </c>
      <c r="E3" s="4">
        <v>9.399238454E9</v>
      </c>
      <c r="F3" s="3"/>
      <c r="G3" s="3"/>
      <c r="H3" s="3"/>
      <c r="I3" s="3"/>
      <c r="J3" s="3"/>
      <c r="K3" s="3"/>
      <c r="L3" s="2"/>
      <c r="M3" s="2"/>
      <c r="N3" s="2"/>
      <c r="O3" s="2"/>
      <c r="P3" s="2"/>
      <c r="Q3" s="2"/>
      <c r="R3" s="2"/>
    </row>
    <row r="4">
      <c r="A4" s="3" t="s">
        <v>9</v>
      </c>
      <c r="B4" s="4">
        <v>3.0</v>
      </c>
      <c r="C4" s="3" t="s">
        <v>10</v>
      </c>
      <c r="D4" s="3"/>
      <c r="E4" s="5">
        <v>7.405658429E9</v>
      </c>
      <c r="F4" s="3"/>
      <c r="G4" s="3"/>
      <c r="H4" s="3"/>
      <c r="I4" s="3"/>
      <c r="J4" s="3"/>
      <c r="K4" s="3"/>
      <c r="L4" s="2"/>
      <c r="M4" s="2"/>
      <c r="N4" s="2"/>
      <c r="O4" s="2"/>
      <c r="P4" s="2"/>
      <c r="Q4" s="2"/>
      <c r="R4" s="2"/>
    </row>
    <row r="5">
      <c r="A5" s="3" t="s">
        <v>11</v>
      </c>
      <c r="B5" s="4">
        <v>4.0</v>
      </c>
      <c r="C5" s="3" t="s">
        <v>12</v>
      </c>
      <c r="D5" s="3"/>
      <c r="E5" s="5">
        <v>9.90408206E9</v>
      </c>
      <c r="F5" s="3"/>
      <c r="G5" s="3"/>
      <c r="H5" s="3"/>
      <c r="I5" s="3"/>
      <c r="J5" s="3"/>
      <c r="K5" s="3"/>
      <c r="L5" s="2"/>
      <c r="M5" s="2"/>
      <c r="N5" s="2"/>
      <c r="O5" s="2"/>
      <c r="P5" s="2"/>
      <c r="Q5" s="2"/>
      <c r="R5" s="2"/>
    </row>
    <row r="6">
      <c r="A6" s="3" t="s">
        <v>13</v>
      </c>
      <c r="B6" s="4">
        <v>5.0</v>
      </c>
      <c r="C6" s="3" t="s">
        <v>14</v>
      </c>
      <c r="D6" s="4">
        <v>16.0</v>
      </c>
      <c r="E6" s="4">
        <v>9.827637699E9</v>
      </c>
      <c r="F6" s="3"/>
      <c r="G6" s="3"/>
      <c r="H6" s="3"/>
      <c r="I6" s="3"/>
      <c r="J6" s="3"/>
      <c r="K6" s="3"/>
      <c r="L6" s="2"/>
      <c r="M6" s="2"/>
      <c r="N6" s="2"/>
      <c r="O6" s="2"/>
      <c r="P6" s="2"/>
      <c r="Q6" s="2"/>
      <c r="R6" s="2"/>
    </row>
    <row r="7">
      <c r="A7" s="3" t="s">
        <v>5</v>
      </c>
      <c r="B7" s="4">
        <v>6.0</v>
      </c>
      <c r="C7" s="3" t="s">
        <v>15</v>
      </c>
      <c r="D7" s="4">
        <v>15.0</v>
      </c>
      <c r="E7" s="4">
        <v>7.000496236E9</v>
      </c>
      <c r="F7" s="3"/>
      <c r="G7" s="3"/>
      <c r="H7" s="3"/>
      <c r="I7" s="3"/>
      <c r="J7" s="3"/>
      <c r="K7" s="3"/>
      <c r="L7" s="2"/>
      <c r="M7" s="2"/>
      <c r="N7" s="2"/>
      <c r="O7" s="2"/>
      <c r="P7" s="2"/>
      <c r="Q7" s="2"/>
      <c r="R7" s="2"/>
    </row>
    <row r="8">
      <c r="A8" s="3" t="s">
        <v>7</v>
      </c>
      <c r="B8" s="4">
        <v>7.0</v>
      </c>
      <c r="C8" s="6" t="s">
        <v>16</v>
      </c>
      <c r="D8" s="7">
        <v>19.0</v>
      </c>
      <c r="E8" s="7">
        <v>8.815243359E9</v>
      </c>
      <c r="F8" s="3"/>
      <c r="G8" s="3"/>
      <c r="H8" s="3"/>
      <c r="I8" s="3"/>
      <c r="J8" s="3"/>
      <c r="K8" s="3"/>
      <c r="L8" s="2"/>
      <c r="M8" s="2"/>
      <c r="N8" s="2"/>
      <c r="O8" s="2"/>
      <c r="P8" s="2"/>
      <c r="Q8" s="2"/>
      <c r="R8" s="2"/>
    </row>
    <row r="9">
      <c r="A9" s="3" t="s">
        <v>9</v>
      </c>
      <c r="B9" s="4">
        <v>8.0</v>
      </c>
      <c r="C9" s="3" t="s">
        <v>17</v>
      </c>
      <c r="D9" s="4">
        <v>25.0</v>
      </c>
      <c r="E9" s="4">
        <v>7.506246643E9</v>
      </c>
      <c r="F9" s="3"/>
      <c r="G9" s="3"/>
      <c r="H9" s="3"/>
      <c r="I9" s="3"/>
      <c r="J9" s="3"/>
      <c r="K9" s="3"/>
      <c r="L9" s="2"/>
      <c r="M9" s="2"/>
      <c r="N9" s="2"/>
      <c r="O9" s="2"/>
      <c r="P9" s="2"/>
      <c r="Q9" s="2"/>
      <c r="R9" s="2"/>
    </row>
    <row r="10">
      <c r="A10" s="3" t="s">
        <v>11</v>
      </c>
      <c r="B10" s="4">
        <v>9.0</v>
      </c>
      <c r="C10" s="3" t="s">
        <v>18</v>
      </c>
      <c r="D10" s="4">
        <v>34.0</v>
      </c>
      <c r="E10" s="4">
        <v>7.089024861E9</v>
      </c>
      <c r="F10" s="3"/>
      <c r="G10" s="3"/>
      <c r="H10" s="3"/>
      <c r="I10" s="3"/>
      <c r="J10" s="3"/>
      <c r="K10" s="3"/>
      <c r="L10" s="2"/>
      <c r="M10" s="2"/>
      <c r="N10" s="2"/>
      <c r="O10" s="2"/>
      <c r="P10" s="2"/>
      <c r="Q10" s="2"/>
      <c r="R10" s="2"/>
    </row>
    <row r="11">
      <c r="A11" s="3" t="s">
        <v>13</v>
      </c>
      <c r="B11" s="4">
        <v>10.0</v>
      </c>
      <c r="C11" s="3" t="s">
        <v>19</v>
      </c>
      <c r="D11" s="4">
        <v>22.0</v>
      </c>
      <c r="E11" s="4">
        <v>8.667641257E9</v>
      </c>
      <c r="F11" s="3"/>
      <c r="G11" s="3"/>
      <c r="H11" s="3"/>
      <c r="I11" s="3"/>
      <c r="J11" s="3"/>
      <c r="K11" s="3"/>
      <c r="L11" s="2"/>
      <c r="M11" s="2"/>
      <c r="N11" s="2"/>
      <c r="O11" s="2"/>
      <c r="P11" s="2"/>
      <c r="Q11" s="2"/>
      <c r="R11" s="2"/>
    </row>
    <row r="12">
      <c r="A12" s="3" t="s">
        <v>5</v>
      </c>
      <c r="B12" s="4">
        <v>11.0</v>
      </c>
      <c r="C12" s="3" t="s">
        <v>20</v>
      </c>
      <c r="D12" s="3"/>
      <c r="E12" s="4">
        <v>8.104916757E9</v>
      </c>
      <c r="F12" s="3"/>
      <c r="G12" s="3"/>
      <c r="H12" s="3"/>
      <c r="I12" s="3"/>
      <c r="J12" s="3"/>
      <c r="K12" s="3"/>
      <c r="L12" s="2"/>
      <c r="M12" s="2"/>
      <c r="N12" s="2"/>
      <c r="O12" s="2"/>
      <c r="P12" s="2"/>
      <c r="Q12" s="2"/>
      <c r="R12" s="2"/>
    </row>
    <row r="13">
      <c r="A13" s="3" t="s">
        <v>7</v>
      </c>
      <c r="B13" s="4">
        <v>12.0</v>
      </c>
      <c r="C13" s="3" t="s">
        <v>21</v>
      </c>
      <c r="D13" s="3"/>
      <c r="E13" s="4">
        <v>9.413351847E9</v>
      </c>
      <c r="F13" s="3"/>
      <c r="G13" s="3"/>
      <c r="H13" s="3"/>
      <c r="I13" s="3"/>
      <c r="J13" s="3"/>
      <c r="K13" s="3"/>
      <c r="L13" s="2"/>
      <c r="M13" s="2"/>
      <c r="N13" s="2"/>
      <c r="O13" s="2"/>
      <c r="P13" s="2"/>
      <c r="Q13" s="2"/>
      <c r="R13" s="2"/>
    </row>
    <row r="14">
      <c r="A14" s="3" t="s">
        <v>9</v>
      </c>
      <c r="B14" s="4">
        <v>13.0</v>
      </c>
      <c r="C14" s="3" t="s">
        <v>22</v>
      </c>
      <c r="D14" s="4">
        <v>22.0</v>
      </c>
      <c r="E14" s="4">
        <v>9.039946841E9</v>
      </c>
      <c r="F14" s="3"/>
      <c r="G14" s="3"/>
      <c r="H14" s="3"/>
      <c r="I14" s="3"/>
      <c r="J14" s="3"/>
      <c r="K14" s="3"/>
      <c r="L14" s="2"/>
      <c r="M14" s="2"/>
      <c r="N14" s="2"/>
      <c r="O14" s="2"/>
      <c r="P14" s="2"/>
      <c r="Q14" s="2"/>
      <c r="R14" s="2"/>
    </row>
    <row r="15">
      <c r="A15" s="3" t="s">
        <v>11</v>
      </c>
      <c r="B15" s="4">
        <v>14.0</v>
      </c>
      <c r="C15" s="3" t="s">
        <v>23</v>
      </c>
      <c r="D15" s="4">
        <v>26.0</v>
      </c>
      <c r="E15" s="4">
        <v>8.10991827E9</v>
      </c>
      <c r="F15" s="3"/>
      <c r="G15" s="3"/>
      <c r="H15" s="3"/>
      <c r="I15" s="3"/>
      <c r="J15" s="3"/>
      <c r="K15" s="3"/>
      <c r="L15" s="2"/>
      <c r="M15" s="2"/>
      <c r="N15" s="2"/>
      <c r="O15" s="2"/>
      <c r="P15" s="2"/>
      <c r="Q15" s="2"/>
      <c r="R15" s="2"/>
    </row>
    <row r="16">
      <c r="A16" s="3" t="s">
        <v>13</v>
      </c>
      <c r="B16" s="4">
        <v>15.0</v>
      </c>
      <c r="C16" s="6" t="s">
        <v>24</v>
      </c>
      <c r="D16" s="7">
        <v>16.0</v>
      </c>
      <c r="E16" s="7">
        <v>9.584175407E9</v>
      </c>
      <c r="F16" s="3"/>
      <c r="G16" s="3"/>
      <c r="H16" s="3"/>
      <c r="I16" s="3"/>
      <c r="J16" s="3"/>
      <c r="K16" s="3"/>
      <c r="L16" s="2"/>
      <c r="M16" s="2"/>
      <c r="N16" s="2"/>
      <c r="O16" s="2"/>
      <c r="P16" s="2"/>
      <c r="Q16" s="2"/>
      <c r="R16" s="2"/>
    </row>
    <row r="17">
      <c r="A17" s="3" t="s">
        <v>5</v>
      </c>
      <c r="B17" s="4">
        <v>16.0</v>
      </c>
      <c r="C17" s="3" t="s">
        <v>25</v>
      </c>
      <c r="D17" s="4">
        <v>17.0</v>
      </c>
      <c r="E17" s="4">
        <v>8.25300371E9</v>
      </c>
      <c r="F17" s="3"/>
      <c r="G17" s="3"/>
      <c r="H17" s="3"/>
      <c r="I17" s="3"/>
      <c r="J17" s="3"/>
      <c r="K17" s="3"/>
      <c r="L17" s="2"/>
      <c r="M17" s="2"/>
      <c r="N17" s="2"/>
      <c r="O17" s="2"/>
      <c r="P17" s="2"/>
      <c r="Q17" s="2"/>
      <c r="R17" s="2"/>
    </row>
    <row r="18">
      <c r="A18" s="3" t="s">
        <v>9</v>
      </c>
      <c r="B18" s="4">
        <v>18.0</v>
      </c>
      <c r="C18" s="6" t="s">
        <v>26</v>
      </c>
      <c r="D18" s="7">
        <v>25.0</v>
      </c>
      <c r="E18" s="7">
        <v>9.399332675E9</v>
      </c>
      <c r="F18" s="3"/>
      <c r="G18" s="3"/>
      <c r="H18" s="3"/>
      <c r="I18" s="3"/>
      <c r="J18" s="3"/>
      <c r="K18" s="3"/>
      <c r="L18" s="2"/>
      <c r="M18" s="2"/>
      <c r="N18" s="2"/>
      <c r="O18" s="2"/>
      <c r="P18" s="2"/>
      <c r="Q18" s="2"/>
      <c r="R18" s="2"/>
    </row>
    <row r="19">
      <c r="A19" s="3" t="s">
        <v>11</v>
      </c>
      <c r="B19" s="4">
        <v>19.0</v>
      </c>
      <c r="C19" s="3" t="s">
        <v>27</v>
      </c>
      <c r="D19" s="4">
        <v>32.0</v>
      </c>
      <c r="E19" s="4">
        <v>9.422982899E9</v>
      </c>
      <c r="F19" s="3"/>
      <c r="G19" s="3"/>
      <c r="H19" s="3"/>
      <c r="I19" s="3"/>
      <c r="J19" s="3"/>
      <c r="K19" s="3"/>
      <c r="L19" s="2"/>
      <c r="M19" s="2"/>
      <c r="N19" s="2"/>
      <c r="O19" s="2"/>
      <c r="P19" s="2"/>
      <c r="Q19" s="2"/>
      <c r="R19" s="2"/>
    </row>
    <row r="20">
      <c r="A20" s="3" t="s">
        <v>13</v>
      </c>
      <c r="B20" s="4">
        <v>20.0</v>
      </c>
      <c r="C20" s="3" t="s">
        <v>28</v>
      </c>
      <c r="D20" s="4">
        <v>19.0</v>
      </c>
      <c r="E20" s="4">
        <v>9.737943472E9</v>
      </c>
      <c r="F20" s="3"/>
      <c r="G20" s="3"/>
      <c r="H20" s="3"/>
      <c r="I20" s="3"/>
      <c r="J20" s="3"/>
      <c r="K20" s="3"/>
      <c r="L20" s="2"/>
      <c r="M20" s="2"/>
      <c r="N20" s="2"/>
      <c r="O20" s="2"/>
      <c r="P20" s="2"/>
      <c r="Q20" s="2"/>
      <c r="R20" s="2"/>
    </row>
    <row r="21">
      <c r="A21" s="3" t="s">
        <v>5</v>
      </c>
      <c r="B21" s="4">
        <v>21.0</v>
      </c>
      <c r="C21" s="3" t="s">
        <v>29</v>
      </c>
      <c r="D21" s="4">
        <v>40.0</v>
      </c>
      <c r="E21" s="4">
        <v>9.390006566E9</v>
      </c>
      <c r="F21" s="3"/>
      <c r="G21" s="3"/>
      <c r="H21" s="3"/>
      <c r="I21" s="3"/>
      <c r="J21" s="3"/>
      <c r="K21" s="3"/>
      <c r="L21" s="2"/>
      <c r="M21" s="2"/>
      <c r="N21" s="2"/>
      <c r="O21" s="2"/>
      <c r="P21" s="2"/>
      <c r="Q21" s="2"/>
      <c r="R21" s="2"/>
    </row>
    <row r="22">
      <c r="A22" s="3" t="s">
        <v>7</v>
      </c>
      <c r="B22" s="4">
        <v>22.0</v>
      </c>
      <c r="C22" s="3" t="s">
        <v>30</v>
      </c>
      <c r="D22" s="4">
        <v>24.0</v>
      </c>
      <c r="E22" s="4">
        <v>9.131310377E9</v>
      </c>
      <c r="F22" s="3"/>
      <c r="G22" s="3"/>
      <c r="H22" s="3"/>
      <c r="I22" s="3"/>
      <c r="J22" s="3"/>
      <c r="K22" s="3"/>
      <c r="L22" s="2"/>
      <c r="M22" s="2"/>
      <c r="N22" s="2"/>
      <c r="O22" s="2"/>
      <c r="P22" s="2"/>
      <c r="Q22" s="2"/>
      <c r="R22" s="2"/>
    </row>
    <row r="23">
      <c r="A23" s="3" t="s">
        <v>9</v>
      </c>
      <c r="B23" s="4">
        <v>23.0</v>
      </c>
      <c r="C23" s="8" t="s">
        <v>31</v>
      </c>
      <c r="D23" s="3"/>
      <c r="E23" s="5">
        <v>7.000085196E9</v>
      </c>
      <c r="F23" s="3"/>
      <c r="G23" s="3"/>
      <c r="H23" s="3"/>
      <c r="I23" s="3"/>
      <c r="J23" s="3"/>
      <c r="K23" s="3"/>
      <c r="L23" s="2"/>
      <c r="M23" s="2"/>
      <c r="N23" s="2"/>
      <c r="O23" s="2"/>
      <c r="P23" s="2"/>
      <c r="Q23" s="2"/>
      <c r="R23" s="2"/>
    </row>
    <row r="24">
      <c r="A24" s="3" t="s">
        <v>13</v>
      </c>
      <c r="B24" s="4">
        <v>25.0</v>
      </c>
      <c r="C24" s="3" t="s">
        <v>32</v>
      </c>
      <c r="D24" s="4">
        <v>31.0</v>
      </c>
      <c r="E24" s="4">
        <v>8.965933229E9</v>
      </c>
      <c r="F24" s="3"/>
      <c r="G24" s="3"/>
      <c r="H24" s="3"/>
      <c r="I24" s="3"/>
      <c r="J24" s="3"/>
      <c r="K24" s="3"/>
      <c r="L24" s="2"/>
      <c r="M24" s="2"/>
      <c r="N24" s="2"/>
      <c r="O24" s="2"/>
      <c r="P24" s="2"/>
      <c r="Q24" s="2"/>
      <c r="R24" s="2"/>
    </row>
    <row r="25">
      <c r="A25" s="3" t="s">
        <v>5</v>
      </c>
      <c r="B25" s="4">
        <v>26.0</v>
      </c>
      <c r="C25" s="3" t="s">
        <v>33</v>
      </c>
      <c r="D25" s="4">
        <v>26.0</v>
      </c>
      <c r="E25" s="47" t="s">
        <v>421</v>
      </c>
      <c r="F25" s="3"/>
      <c r="G25" s="3"/>
      <c r="H25" s="3"/>
      <c r="I25" s="3"/>
      <c r="J25" s="3"/>
      <c r="K25" s="3"/>
      <c r="L25" s="2"/>
      <c r="M25" s="2"/>
      <c r="N25" s="2"/>
      <c r="O25" s="2"/>
      <c r="P25" s="2"/>
      <c r="Q25" s="2"/>
      <c r="R25" s="2"/>
    </row>
    <row r="26">
      <c r="A26" s="3" t="s">
        <v>7</v>
      </c>
      <c r="B26" s="4">
        <v>27.0</v>
      </c>
      <c r="C26" s="3" t="s">
        <v>34</v>
      </c>
      <c r="D26" s="4">
        <v>23.0</v>
      </c>
      <c r="E26" s="4">
        <v>9.17935231E9</v>
      </c>
      <c r="F26" s="3"/>
      <c r="G26" s="3"/>
      <c r="H26" s="3"/>
      <c r="I26" s="3"/>
      <c r="J26" s="3"/>
      <c r="K26" s="3"/>
      <c r="L26" s="2"/>
      <c r="M26" s="2"/>
      <c r="N26" s="2"/>
      <c r="O26" s="2"/>
      <c r="P26" s="2"/>
      <c r="Q26" s="2"/>
      <c r="R26" s="2"/>
    </row>
    <row r="27">
      <c r="A27" s="3" t="s">
        <v>9</v>
      </c>
      <c r="B27" s="4">
        <v>28.0</v>
      </c>
      <c r="C27" s="3" t="s">
        <v>35</v>
      </c>
      <c r="D27" s="4">
        <v>35.0</v>
      </c>
      <c r="E27" s="4">
        <v>8.103428286E9</v>
      </c>
      <c r="F27" s="3"/>
      <c r="G27" s="3"/>
      <c r="H27" s="3"/>
      <c r="I27" s="3"/>
      <c r="J27" s="3"/>
      <c r="K27" s="3"/>
      <c r="L27" s="2"/>
      <c r="M27" s="2"/>
      <c r="N27" s="2"/>
      <c r="O27" s="2"/>
      <c r="P27" s="2"/>
      <c r="Q27" s="2"/>
      <c r="R27" s="2"/>
    </row>
    <row r="28">
      <c r="A28" s="3" t="s">
        <v>11</v>
      </c>
      <c r="B28" s="4">
        <v>29.0</v>
      </c>
      <c r="C28" s="3" t="s">
        <v>36</v>
      </c>
      <c r="D28" s="4">
        <v>18.0</v>
      </c>
      <c r="E28" s="4">
        <v>8.889055007E9</v>
      </c>
      <c r="F28" s="3"/>
      <c r="G28" s="3"/>
      <c r="H28" s="3"/>
      <c r="I28" s="3"/>
      <c r="J28" s="3"/>
      <c r="K28" s="3"/>
      <c r="L28" s="2"/>
      <c r="M28" s="2"/>
      <c r="N28" s="2"/>
      <c r="O28" s="2"/>
      <c r="P28" s="2"/>
      <c r="Q28" s="2"/>
      <c r="R28" s="2"/>
    </row>
    <row r="29">
      <c r="A29" s="3" t="s">
        <v>13</v>
      </c>
      <c r="B29" s="4">
        <v>30.0</v>
      </c>
      <c r="C29" s="3" t="s">
        <v>37</v>
      </c>
      <c r="D29" s="4">
        <v>19.0</v>
      </c>
      <c r="E29" s="4">
        <v>9.424044167E9</v>
      </c>
      <c r="F29" s="3"/>
      <c r="G29" s="3"/>
      <c r="H29" s="3"/>
      <c r="I29" s="3"/>
      <c r="J29" s="3"/>
      <c r="K29" s="3"/>
      <c r="L29" s="2"/>
      <c r="M29" s="2"/>
      <c r="N29" s="2"/>
      <c r="O29" s="2"/>
      <c r="P29" s="2"/>
      <c r="Q29" s="2"/>
      <c r="R29" s="2"/>
    </row>
    <row r="30">
      <c r="A30" s="3" t="s">
        <v>7</v>
      </c>
      <c r="B30" s="4">
        <v>32.0</v>
      </c>
      <c r="C30" s="3" t="s">
        <v>38</v>
      </c>
      <c r="D30" s="4">
        <v>27.0</v>
      </c>
      <c r="E30" s="4">
        <v>6.265328662E9</v>
      </c>
      <c r="F30" s="3"/>
      <c r="G30" s="3"/>
      <c r="H30" s="3"/>
      <c r="I30" s="3"/>
      <c r="J30" s="3"/>
      <c r="K30" s="3"/>
      <c r="L30" s="2"/>
      <c r="M30" s="2"/>
      <c r="N30" s="2"/>
      <c r="O30" s="2"/>
      <c r="P30" s="2"/>
      <c r="Q30" s="2"/>
      <c r="R30" s="2"/>
    </row>
    <row r="31">
      <c r="A31" s="3" t="s">
        <v>9</v>
      </c>
      <c r="B31" s="4">
        <v>33.0</v>
      </c>
      <c r="C31" s="6" t="s">
        <v>39</v>
      </c>
      <c r="D31" s="7">
        <v>24.0</v>
      </c>
      <c r="E31" s="7">
        <v>7.089050778E9</v>
      </c>
      <c r="F31" s="3"/>
      <c r="G31" s="3"/>
      <c r="H31" s="3"/>
      <c r="I31" s="3"/>
      <c r="J31" s="3"/>
      <c r="K31" s="3"/>
      <c r="L31" s="2"/>
      <c r="M31" s="2"/>
      <c r="N31" s="2"/>
      <c r="O31" s="2"/>
      <c r="P31" s="2"/>
      <c r="Q31" s="2"/>
      <c r="R31" s="2"/>
    </row>
    <row r="32">
      <c r="A32" s="3" t="s">
        <v>11</v>
      </c>
      <c r="B32" s="4">
        <v>34.0</v>
      </c>
      <c r="C32" s="3" t="s">
        <v>40</v>
      </c>
      <c r="D32" s="4">
        <v>28.0</v>
      </c>
      <c r="E32" s="4">
        <v>8.142214648E9</v>
      </c>
      <c r="F32" s="3"/>
      <c r="G32" s="3"/>
      <c r="H32" s="3"/>
      <c r="I32" s="3"/>
      <c r="J32" s="3"/>
      <c r="K32" s="3"/>
      <c r="L32" s="2"/>
      <c r="M32" s="2"/>
      <c r="N32" s="2"/>
      <c r="O32" s="2"/>
      <c r="P32" s="2"/>
      <c r="Q32" s="2"/>
      <c r="R32" s="2"/>
    </row>
    <row r="33">
      <c r="A33" s="3" t="s">
        <v>13</v>
      </c>
      <c r="B33" s="4">
        <v>35.0</v>
      </c>
      <c r="C33" s="3" t="s">
        <v>41</v>
      </c>
      <c r="D33" s="4">
        <v>13.0</v>
      </c>
      <c r="E33" s="4">
        <v>9.552278383E9</v>
      </c>
      <c r="F33" s="3"/>
      <c r="G33" s="3"/>
      <c r="H33" s="3"/>
      <c r="I33" s="3"/>
      <c r="J33" s="3"/>
      <c r="K33" s="3"/>
      <c r="L33" s="2"/>
      <c r="M33" s="2"/>
      <c r="N33" s="2"/>
      <c r="O33" s="2"/>
      <c r="P33" s="2"/>
      <c r="Q33" s="2"/>
      <c r="R33" s="2"/>
    </row>
    <row r="34">
      <c r="A34" s="3" t="s">
        <v>5</v>
      </c>
      <c r="B34" s="4">
        <v>36.0</v>
      </c>
      <c r="C34" s="3" t="s">
        <v>42</v>
      </c>
      <c r="D34" s="4">
        <v>40.0</v>
      </c>
      <c r="E34" s="4">
        <v>9.833495207E9</v>
      </c>
      <c r="F34" s="3"/>
      <c r="G34" s="3"/>
      <c r="H34" s="3"/>
      <c r="I34" s="3"/>
      <c r="J34" s="3"/>
      <c r="K34" s="3"/>
      <c r="L34" s="2"/>
      <c r="M34" s="2"/>
      <c r="N34" s="2"/>
      <c r="O34" s="2"/>
      <c r="P34" s="2"/>
      <c r="Q34" s="2"/>
      <c r="R34" s="2"/>
    </row>
    <row r="35">
      <c r="A35" s="3" t="s">
        <v>7</v>
      </c>
      <c r="B35" s="4">
        <v>37.0</v>
      </c>
      <c r="C35" s="3" t="s">
        <v>43</v>
      </c>
      <c r="D35" s="4">
        <v>33.0</v>
      </c>
      <c r="E35" s="4">
        <v>7.667643221E9</v>
      </c>
      <c r="F35" s="3"/>
      <c r="G35" s="3"/>
      <c r="H35" s="3"/>
      <c r="I35" s="3"/>
      <c r="J35" s="3"/>
      <c r="K35" s="3"/>
      <c r="L35" s="2"/>
      <c r="M35" s="2"/>
      <c r="N35" s="2"/>
      <c r="O35" s="2"/>
      <c r="P35" s="2"/>
      <c r="Q35" s="2"/>
      <c r="R35" s="2"/>
    </row>
    <row r="36">
      <c r="A36" s="3" t="s">
        <v>9</v>
      </c>
      <c r="B36" s="4">
        <v>38.0</v>
      </c>
      <c r="C36" s="3" t="s">
        <v>44</v>
      </c>
      <c r="D36" s="4">
        <v>20.0</v>
      </c>
      <c r="E36" s="4">
        <v>9.080505288E9</v>
      </c>
      <c r="F36" s="3"/>
      <c r="G36" s="3"/>
      <c r="H36" s="3"/>
      <c r="I36" s="3"/>
      <c r="J36" s="3"/>
      <c r="K36" s="3"/>
      <c r="L36" s="2"/>
      <c r="M36" s="2"/>
      <c r="N36" s="2"/>
      <c r="O36" s="2"/>
      <c r="P36" s="2"/>
      <c r="Q36" s="2"/>
      <c r="R36" s="2"/>
    </row>
    <row r="37">
      <c r="A37" s="3" t="s">
        <v>11</v>
      </c>
      <c r="B37" s="4">
        <v>39.0</v>
      </c>
      <c r="C37" s="3" t="s">
        <v>45</v>
      </c>
      <c r="D37" s="4">
        <v>15.0</v>
      </c>
      <c r="E37" s="4">
        <v>9.57586666E9</v>
      </c>
      <c r="F37" s="3"/>
      <c r="G37" s="3"/>
      <c r="H37" s="3"/>
      <c r="I37" s="3"/>
      <c r="J37" s="3"/>
      <c r="K37" s="3"/>
      <c r="L37" s="2"/>
      <c r="M37" s="2"/>
      <c r="N37" s="2"/>
      <c r="O37" s="2"/>
      <c r="P37" s="2"/>
      <c r="Q37" s="2"/>
      <c r="R37" s="2"/>
    </row>
    <row r="38">
      <c r="A38" s="3" t="s">
        <v>13</v>
      </c>
      <c r="B38" s="4">
        <v>40.0</v>
      </c>
      <c r="C38" s="3" t="s">
        <v>46</v>
      </c>
      <c r="D38" s="4">
        <v>18.0</v>
      </c>
      <c r="E38" s="4">
        <v>7.620396824E9</v>
      </c>
      <c r="F38" s="3"/>
      <c r="G38" s="3"/>
      <c r="H38" s="3"/>
      <c r="I38" s="3"/>
      <c r="J38" s="3"/>
      <c r="K38" s="3"/>
      <c r="L38" s="2"/>
      <c r="M38" s="2"/>
      <c r="N38" s="2"/>
      <c r="O38" s="2"/>
      <c r="P38" s="2"/>
      <c r="Q38" s="2"/>
      <c r="R38" s="2"/>
    </row>
    <row r="39">
      <c r="A39" s="3" t="s">
        <v>5</v>
      </c>
      <c r="B39" s="4">
        <v>41.0</v>
      </c>
      <c r="C39" s="3" t="s">
        <v>47</v>
      </c>
      <c r="D39" s="4">
        <v>30.0</v>
      </c>
      <c r="E39" s="4">
        <v>8.446812204E9</v>
      </c>
      <c r="F39" s="3"/>
      <c r="G39" s="3"/>
      <c r="H39" s="3"/>
      <c r="I39" s="3"/>
      <c r="J39" s="3"/>
      <c r="K39" s="3"/>
      <c r="L39" s="2"/>
      <c r="M39" s="2"/>
      <c r="N39" s="2"/>
      <c r="O39" s="2"/>
      <c r="P39" s="2"/>
      <c r="Q39" s="2"/>
      <c r="R39" s="2"/>
    </row>
    <row r="40">
      <c r="A40" s="3" t="s">
        <v>7</v>
      </c>
      <c r="B40" s="4">
        <v>42.0</v>
      </c>
      <c r="C40" s="3" t="s">
        <v>48</v>
      </c>
      <c r="D40" s="4">
        <v>19.0</v>
      </c>
      <c r="E40" s="4">
        <v>9.404825525E9</v>
      </c>
      <c r="F40" s="3"/>
      <c r="G40" s="3"/>
      <c r="H40" s="3"/>
      <c r="I40" s="3"/>
      <c r="J40" s="3"/>
      <c r="K40" s="3"/>
      <c r="L40" s="2"/>
      <c r="M40" s="2"/>
      <c r="N40" s="2"/>
      <c r="O40" s="2"/>
      <c r="P40" s="2"/>
      <c r="Q40" s="2"/>
      <c r="R40" s="2"/>
    </row>
    <row r="41">
      <c r="A41" s="3" t="s">
        <v>11</v>
      </c>
      <c r="B41" s="4">
        <v>44.0</v>
      </c>
      <c r="C41" s="3" t="s">
        <v>49</v>
      </c>
      <c r="D41" s="4">
        <v>19.0</v>
      </c>
      <c r="E41" s="4">
        <v>6.261157928E9</v>
      </c>
      <c r="F41" s="3"/>
      <c r="G41" s="3"/>
      <c r="H41" s="3"/>
      <c r="I41" s="3"/>
      <c r="J41" s="3"/>
      <c r="K41" s="3"/>
      <c r="L41" s="2"/>
      <c r="M41" s="2"/>
      <c r="N41" s="2"/>
      <c r="O41" s="2"/>
      <c r="P41" s="2"/>
      <c r="Q41" s="2"/>
      <c r="R41" s="2"/>
    </row>
    <row r="42">
      <c r="A42" s="3" t="s">
        <v>13</v>
      </c>
      <c r="B42" s="4">
        <v>45.0</v>
      </c>
      <c r="C42" s="3" t="s">
        <v>50</v>
      </c>
      <c r="D42" s="4">
        <v>35.0</v>
      </c>
      <c r="E42" s="4">
        <v>8.898719999E9</v>
      </c>
      <c r="F42" s="3"/>
      <c r="G42" s="3"/>
      <c r="H42" s="3"/>
      <c r="I42" s="3"/>
      <c r="J42" s="3"/>
      <c r="K42" s="3"/>
      <c r="L42" s="2"/>
      <c r="M42" s="2"/>
      <c r="N42" s="2"/>
      <c r="O42" s="2"/>
      <c r="P42" s="2"/>
      <c r="Q42" s="2"/>
      <c r="R42" s="2"/>
    </row>
    <row r="43">
      <c r="A43" s="3" t="s">
        <v>9</v>
      </c>
      <c r="B43" s="4">
        <v>48.0</v>
      </c>
      <c r="C43" s="3" t="s">
        <v>51</v>
      </c>
      <c r="D43" s="3"/>
      <c r="E43" s="5">
        <v>9.05432274E9</v>
      </c>
      <c r="F43" s="3"/>
      <c r="G43" s="3"/>
      <c r="H43" s="3"/>
      <c r="I43" s="3"/>
      <c r="J43" s="3"/>
      <c r="K43" s="3"/>
      <c r="L43" s="2"/>
      <c r="M43" s="2"/>
      <c r="N43" s="2"/>
      <c r="O43" s="2"/>
      <c r="P43" s="2"/>
      <c r="Q43" s="2"/>
      <c r="R43" s="2"/>
    </row>
    <row r="44">
      <c r="A44" s="3" t="s">
        <v>11</v>
      </c>
      <c r="B44" s="4">
        <v>49.0</v>
      </c>
      <c r="C44" s="3" t="s">
        <v>52</v>
      </c>
      <c r="D44" s="3"/>
      <c r="E44" s="4">
        <v>9.323766181E9</v>
      </c>
      <c r="F44" s="3"/>
      <c r="G44" s="3"/>
      <c r="H44" s="3"/>
      <c r="I44" s="3"/>
      <c r="J44" s="3"/>
      <c r="K44" s="3"/>
      <c r="L44" s="2"/>
      <c r="M44" s="2"/>
      <c r="N44" s="2"/>
      <c r="O44" s="2"/>
      <c r="P44" s="2"/>
      <c r="Q44" s="2"/>
      <c r="R44" s="2"/>
    </row>
    <row r="45">
      <c r="A45" s="3" t="s">
        <v>13</v>
      </c>
      <c r="B45" s="4">
        <v>50.0</v>
      </c>
      <c r="C45" s="3" t="s">
        <v>53</v>
      </c>
      <c r="D45" s="4">
        <v>20.0</v>
      </c>
      <c r="E45" s="4">
        <v>8.980189111E9</v>
      </c>
      <c r="F45" s="3"/>
      <c r="G45" s="3"/>
      <c r="H45" s="3"/>
      <c r="I45" s="3"/>
      <c r="J45" s="3"/>
      <c r="K45" s="3"/>
      <c r="L45" s="2"/>
      <c r="M45" s="2"/>
      <c r="N45" s="2"/>
      <c r="O45" s="2"/>
      <c r="P45" s="2"/>
      <c r="Q45" s="2"/>
      <c r="R45" s="2"/>
    </row>
    <row r="46">
      <c r="A46" s="3" t="s">
        <v>7</v>
      </c>
      <c r="B46" s="4">
        <v>52.0</v>
      </c>
      <c r="C46" s="3" t="s">
        <v>54</v>
      </c>
      <c r="D46" s="4">
        <v>38.0</v>
      </c>
      <c r="E46" s="4">
        <v>9.48200674E9</v>
      </c>
      <c r="F46" s="3"/>
      <c r="G46" s="3"/>
      <c r="H46" s="3"/>
      <c r="I46" s="3"/>
      <c r="J46" s="3"/>
      <c r="K46" s="3"/>
      <c r="L46" s="2"/>
      <c r="M46" s="2"/>
      <c r="N46" s="2"/>
      <c r="O46" s="2"/>
      <c r="P46" s="2"/>
      <c r="Q46" s="2"/>
      <c r="R46" s="2"/>
    </row>
    <row r="47">
      <c r="A47" s="3" t="s">
        <v>9</v>
      </c>
      <c r="B47" s="4">
        <v>53.0</v>
      </c>
      <c r="C47" s="3" t="s">
        <v>55</v>
      </c>
      <c r="D47" s="3"/>
      <c r="E47" s="4">
        <v>9.322586355E9</v>
      </c>
      <c r="F47" s="3"/>
      <c r="G47" s="3"/>
      <c r="H47" s="3"/>
      <c r="I47" s="3"/>
      <c r="J47" s="3"/>
      <c r="K47" s="3"/>
      <c r="L47" s="2"/>
      <c r="M47" s="2"/>
      <c r="N47" s="2"/>
      <c r="O47" s="2"/>
      <c r="P47" s="2"/>
      <c r="Q47" s="2"/>
      <c r="R47" s="2"/>
    </row>
    <row r="48">
      <c r="A48" s="3" t="s">
        <v>11</v>
      </c>
      <c r="B48" s="4">
        <v>54.0</v>
      </c>
      <c r="C48" s="3" t="s">
        <v>56</v>
      </c>
      <c r="D48" s="4">
        <v>18.0</v>
      </c>
      <c r="E48" s="4">
        <v>9.108406146E9</v>
      </c>
      <c r="F48" s="3"/>
      <c r="G48" s="3"/>
      <c r="H48" s="3"/>
      <c r="I48" s="3"/>
      <c r="J48" s="3"/>
      <c r="K48" s="3"/>
      <c r="L48" s="2"/>
      <c r="M48" s="2"/>
      <c r="N48" s="2"/>
      <c r="O48" s="2"/>
      <c r="P48" s="2"/>
      <c r="Q48" s="2"/>
      <c r="R48" s="2"/>
    </row>
    <row r="49">
      <c r="A49" s="3" t="s">
        <v>13</v>
      </c>
      <c r="B49" s="4">
        <v>55.0</v>
      </c>
      <c r="C49" s="3" t="s">
        <v>57</v>
      </c>
      <c r="D49" s="3"/>
      <c r="E49" s="4">
        <v>9.136547856E9</v>
      </c>
      <c r="F49" s="3"/>
      <c r="G49" s="3"/>
      <c r="H49" s="3"/>
      <c r="I49" s="3"/>
      <c r="J49" s="3"/>
      <c r="K49" s="3"/>
      <c r="L49" s="2"/>
      <c r="M49" s="2"/>
      <c r="N49" s="2"/>
      <c r="O49" s="2"/>
      <c r="P49" s="2"/>
      <c r="Q49" s="2"/>
      <c r="R49" s="2"/>
    </row>
    <row r="50">
      <c r="A50" s="3" t="s">
        <v>5</v>
      </c>
      <c r="B50" s="4">
        <v>56.0</v>
      </c>
      <c r="C50" s="3" t="s">
        <v>58</v>
      </c>
      <c r="D50" s="3"/>
      <c r="E50" s="4">
        <v>9.820462839E9</v>
      </c>
      <c r="F50" s="3"/>
      <c r="G50" s="3"/>
      <c r="H50" s="3"/>
      <c r="I50" s="3"/>
      <c r="J50" s="3"/>
      <c r="K50" s="3"/>
      <c r="L50" s="2"/>
      <c r="M50" s="2"/>
      <c r="N50" s="2"/>
      <c r="O50" s="2"/>
      <c r="P50" s="2"/>
      <c r="Q50" s="2"/>
      <c r="R50" s="2"/>
    </row>
    <row r="51">
      <c r="A51" s="3" t="s">
        <v>7</v>
      </c>
      <c r="B51" s="4">
        <v>57.0</v>
      </c>
      <c r="C51" s="3" t="s">
        <v>59</v>
      </c>
      <c r="D51" s="4">
        <v>18.0</v>
      </c>
      <c r="E51" s="4">
        <v>7.021278539E9</v>
      </c>
      <c r="F51" s="3"/>
      <c r="G51" s="3"/>
      <c r="H51" s="3"/>
      <c r="I51" s="3"/>
      <c r="J51" s="3"/>
      <c r="K51" s="3"/>
      <c r="L51" s="2"/>
      <c r="M51" s="2"/>
      <c r="N51" s="2"/>
      <c r="O51" s="2"/>
      <c r="P51" s="2"/>
      <c r="Q51" s="2"/>
      <c r="R51" s="2"/>
    </row>
    <row r="52">
      <c r="A52" s="3" t="s">
        <v>9</v>
      </c>
      <c r="B52" s="4">
        <v>58.0</v>
      </c>
      <c r="C52" s="3" t="s">
        <v>59</v>
      </c>
      <c r="D52" s="4">
        <v>28.0</v>
      </c>
      <c r="E52" s="4">
        <v>8.488990507E9</v>
      </c>
      <c r="F52" s="3"/>
      <c r="G52" s="3"/>
      <c r="H52" s="3"/>
      <c r="I52" s="3"/>
      <c r="J52" s="3"/>
      <c r="K52" s="3"/>
      <c r="L52" s="2"/>
      <c r="M52" s="2"/>
      <c r="N52" s="2"/>
      <c r="O52" s="2"/>
      <c r="P52" s="2"/>
      <c r="Q52" s="2"/>
      <c r="R52" s="2"/>
    </row>
    <row r="53">
      <c r="A53" s="3" t="s">
        <v>11</v>
      </c>
      <c r="B53" s="4">
        <v>59.0</v>
      </c>
      <c r="C53" s="3" t="s">
        <v>60</v>
      </c>
      <c r="D53" s="4">
        <v>18.0</v>
      </c>
      <c r="E53" s="3" t="s">
        <v>422</v>
      </c>
      <c r="F53" s="3"/>
      <c r="G53" s="3"/>
      <c r="H53" s="3"/>
      <c r="I53" s="3"/>
      <c r="J53" s="3"/>
      <c r="K53" s="3"/>
      <c r="L53" s="2"/>
      <c r="M53" s="2"/>
      <c r="N53" s="2"/>
      <c r="O53" s="2"/>
      <c r="P53" s="2"/>
      <c r="Q53" s="2"/>
      <c r="R53" s="2"/>
    </row>
    <row r="54">
      <c r="A54" s="3" t="s">
        <v>13</v>
      </c>
      <c r="B54" s="4">
        <v>60.0</v>
      </c>
      <c r="C54" s="3" t="s">
        <v>61</v>
      </c>
      <c r="D54" s="4">
        <v>11.0</v>
      </c>
      <c r="E54" s="4">
        <v>9.820507278E9</v>
      </c>
      <c r="F54" s="3"/>
      <c r="G54" s="3"/>
      <c r="H54" s="3"/>
      <c r="I54" s="3"/>
      <c r="J54" s="3"/>
      <c r="K54" s="3"/>
      <c r="L54" s="2"/>
      <c r="M54" s="2"/>
      <c r="N54" s="2"/>
      <c r="O54" s="2"/>
      <c r="P54" s="2"/>
      <c r="Q54" s="2"/>
      <c r="R54" s="2"/>
    </row>
    <row r="55">
      <c r="A55" s="3" t="s">
        <v>5</v>
      </c>
      <c r="B55" s="4">
        <v>61.0</v>
      </c>
      <c r="C55" s="3" t="s">
        <v>62</v>
      </c>
      <c r="D55" s="4">
        <v>34.0</v>
      </c>
      <c r="E55" s="4">
        <v>8.555828384E9</v>
      </c>
      <c r="F55" s="3"/>
      <c r="G55" s="3"/>
      <c r="H55" s="3"/>
      <c r="I55" s="3"/>
      <c r="J55" s="3"/>
      <c r="K55" s="3"/>
      <c r="L55" s="2"/>
      <c r="M55" s="2"/>
      <c r="N55" s="2"/>
      <c r="O55" s="2"/>
      <c r="P55" s="2"/>
      <c r="Q55" s="2"/>
      <c r="R55" s="2"/>
    </row>
    <row r="56">
      <c r="A56" s="3" t="s">
        <v>7</v>
      </c>
      <c r="B56" s="4">
        <v>62.0</v>
      </c>
      <c r="C56" s="3" t="s">
        <v>63</v>
      </c>
      <c r="D56" s="4">
        <v>30.0</v>
      </c>
      <c r="E56" s="4">
        <v>9.428530316E9</v>
      </c>
      <c r="F56" s="3"/>
      <c r="G56" s="3"/>
      <c r="H56" s="3"/>
      <c r="I56" s="3"/>
      <c r="J56" s="3"/>
      <c r="K56" s="3"/>
      <c r="L56" s="2"/>
      <c r="M56" s="2"/>
      <c r="N56" s="2"/>
      <c r="O56" s="2"/>
      <c r="P56" s="2"/>
      <c r="Q56" s="2"/>
      <c r="R56" s="2"/>
    </row>
    <row r="57">
      <c r="A57" s="3" t="s">
        <v>9</v>
      </c>
      <c r="B57" s="4">
        <v>63.0</v>
      </c>
      <c r="C57" s="3" t="s">
        <v>64</v>
      </c>
      <c r="D57" s="4">
        <v>21.0</v>
      </c>
      <c r="E57" s="4">
        <v>7.483319681E9</v>
      </c>
      <c r="F57" s="3"/>
      <c r="G57" s="3"/>
      <c r="H57" s="3"/>
      <c r="I57" s="3"/>
      <c r="J57" s="3"/>
      <c r="K57" s="3"/>
      <c r="L57" s="2"/>
      <c r="M57" s="2"/>
      <c r="N57" s="2"/>
      <c r="O57" s="2"/>
      <c r="P57" s="2"/>
      <c r="Q57" s="2"/>
      <c r="R57" s="2"/>
    </row>
    <row r="58">
      <c r="A58" s="3" t="s">
        <v>11</v>
      </c>
      <c r="B58" s="4">
        <v>64.0</v>
      </c>
      <c r="C58" s="6" t="s">
        <v>65</v>
      </c>
      <c r="D58" s="7">
        <v>27.0</v>
      </c>
      <c r="E58" s="7">
        <v>9.37076439E9</v>
      </c>
      <c r="F58" s="3"/>
      <c r="G58" s="3"/>
      <c r="H58" s="3"/>
      <c r="I58" s="3"/>
      <c r="J58" s="3"/>
      <c r="K58" s="3"/>
      <c r="L58" s="2"/>
      <c r="M58" s="2"/>
      <c r="N58" s="2"/>
      <c r="O58" s="2"/>
      <c r="P58" s="2"/>
      <c r="Q58" s="2"/>
      <c r="R58" s="2"/>
    </row>
    <row r="59">
      <c r="A59" s="3" t="s">
        <v>13</v>
      </c>
      <c r="B59" s="4">
        <v>65.0</v>
      </c>
      <c r="C59" s="3" t="s">
        <v>66</v>
      </c>
      <c r="D59" s="3"/>
      <c r="E59" s="5">
        <v>9.824379449E9</v>
      </c>
      <c r="F59" s="3"/>
      <c r="G59" s="3"/>
      <c r="H59" s="3"/>
      <c r="I59" s="3"/>
      <c r="J59" s="3"/>
      <c r="K59" s="3"/>
      <c r="L59" s="2"/>
      <c r="M59" s="2"/>
      <c r="N59" s="2"/>
      <c r="O59" s="2"/>
      <c r="P59" s="2"/>
      <c r="Q59" s="2"/>
      <c r="R59" s="2"/>
    </row>
    <row r="60">
      <c r="A60" s="3" t="s">
        <v>5</v>
      </c>
      <c r="B60" s="4">
        <v>66.0</v>
      </c>
      <c r="C60" s="3" t="s">
        <v>67</v>
      </c>
      <c r="D60" s="4">
        <v>20.0</v>
      </c>
      <c r="E60" s="4">
        <v>7.975368984E9</v>
      </c>
      <c r="F60" s="3"/>
      <c r="G60" s="3"/>
      <c r="H60" s="3"/>
      <c r="I60" s="3"/>
      <c r="J60" s="3"/>
      <c r="K60" s="3"/>
      <c r="L60" s="2"/>
      <c r="M60" s="2"/>
      <c r="N60" s="2"/>
      <c r="O60" s="2"/>
      <c r="P60" s="2"/>
      <c r="Q60" s="2"/>
      <c r="R60" s="2"/>
    </row>
    <row r="61">
      <c r="A61" s="3" t="s">
        <v>7</v>
      </c>
      <c r="B61" s="4">
        <v>67.0</v>
      </c>
      <c r="C61" s="6" t="s">
        <v>68</v>
      </c>
      <c r="D61" s="7">
        <v>21.0</v>
      </c>
      <c r="E61" s="7">
        <v>6.262547164E9</v>
      </c>
      <c r="F61" s="3"/>
      <c r="G61" s="3"/>
      <c r="H61" s="3"/>
      <c r="I61" s="3"/>
      <c r="J61" s="3"/>
      <c r="K61" s="3"/>
      <c r="L61" s="2"/>
      <c r="M61" s="2"/>
      <c r="N61" s="2"/>
      <c r="O61" s="2"/>
      <c r="P61" s="2"/>
      <c r="Q61" s="2"/>
      <c r="R61" s="2"/>
    </row>
    <row r="62">
      <c r="A62" s="3" t="s">
        <v>9</v>
      </c>
      <c r="B62" s="4">
        <v>68.0</v>
      </c>
      <c r="C62" s="3" t="s">
        <v>69</v>
      </c>
      <c r="D62" s="4">
        <v>24.0</v>
      </c>
      <c r="E62" s="4">
        <v>7.498959194E9</v>
      </c>
      <c r="F62" s="3"/>
      <c r="G62" s="3"/>
      <c r="H62" s="3"/>
      <c r="I62" s="3"/>
      <c r="J62" s="3"/>
      <c r="K62" s="3"/>
      <c r="L62" s="2"/>
      <c r="M62" s="2"/>
      <c r="N62" s="2"/>
      <c r="O62" s="2"/>
      <c r="P62" s="2"/>
      <c r="Q62" s="2"/>
      <c r="R62" s="2"/>
    </row>
    <row r="63">
      <c r="A63" s="3" t="s">
        <v>11</v>
      </c>
      <c r="B63" s="4">
        <v>69.0</v>
      </c>
      <c r="C63" s="3" t="s">
        <v>70</v>
      </c>
      <c r="D63" s="4">
        <v>20.0</v>
      </c>
      <c r="E63" s="4">
        <v>8.591664343E9</v>
      </c>
      <c r="F63" s="3"/>
      <c r="G63" s="3"/>
      <c r="H63" s="3"/>
      <c r="I63" s="3"/>
      <c r="J63" s="3"/>
      <c r="K63" s="3"/>
      <c r="L63" s="2"/>
      <c r="M63" s="2"/>
      <c r="N63" s="2"/>
      <c r="O63" s="2"/>
      <c r="P63" s="2"/>
      <c r="Q63" s="2"/>
      <c r="R63" s="2"/>
    </row>
    <row r="64">
      <c r="A64" s="3" t="s">
        <v>13</v>
      </c>
      <c r="B64" s="4">
        <v>70.0</v>
      </c>
      <c r="C64" s="6" t="s">
        <v>71</v>
      </c>
      <c r="D64" s="7">
        <v>19.0</v>
      </c>
      <c r="E64" s="7">
        <v>7.045411742E9</v>
      </c>
      <c r="F64" s="3"/>
      <c r="G64" s="3"/>
      <c r="H64" s="3"/>
      <c r="I64" s="3"/>
      <c r="J64" s="3"/>
      <c r="K64" s="3"/>
      <c r="L64" s="2"/>
      <c r="M64" s="2"/>
      <c r="N64" s="2"/>
      <c r="O64" s="2"/>
      <c r="P64" s="2"/>
      <c r="Q64" s="2"/>
      <c r="R64" s="2"/>
    </row>
    <row r="65">
      <c r="A65" s="3" t="s">
        <v>5</v>
      </c>
      <c r="B65" s="4">
        <v>71.0</v>
      </c>
      <c r="C65" s="3" t="s">
        <v>72</v>
      </c>
      <c r="D65" s="4">
        <v>21.0</v>
      </c>
      <c r="E65" s="4">
        <v>8.431311533E9</v>
      </c>
      <c r="F65" s="3"/>
      <c r="G65" s="3"/>
      <c r="H65" s="3"/>
      <c r="I65" s="3"/>
      <c r="J65" s="3"/>
      <c r="K65" s="3"/>
      <c r="L65" s="2"/>
      <c r="M65" s="2"/>
      <c r="N65" s="2"/>
      <c r="O65" s="2"/>
      <c r="P65" s="2"/>
      <c r="Q65" s="2"/>
      <c r="R65" s="2"/>
    </row>
    <row r="66">
      <c r="A66" s="3" t="s">
        <v>7</v>
      </c>
      <c r="B66" s="4">
        <v>72.0</v>
      </c>
      <c r="C66" s="6" t="s">
        <v>73</v>
      </c>
      <c r="D66" s="3"/>
      <c r="E66" s="7">
        <v>9.399918201E9</v>
      </c>
      <c r="F66" s="3"/>
      <c r="G66" s="3"/>
      <c r="H66" s="3"/>
      <c r="I66" s="3"/>
      <c r="J66" s="3"/>
      <c r="K66" s="3"/>
      <c r="L66" s="2"/>
      <c r="M66" s="2"/>
      <c r="N66" s="2"/>
      <c r="O66" s="2"/>
      <c r="P66" s="2"/>
      <c r="Q66" s="2"/>
      <c r="R66" s="2"/>
    </row>
    <row r="67">
      <c r="A67" s="3" t="s">
        <v>9</v>
      </c>
      <c r="B67" s="4">
        <v>73.0</v>
      </c>
      <c r="C67" s="3" t="s">
        <v>74</v>
      </c>
      <c r="D67" s="4">
        <v>21.0</v>
      </c>
      <c r="E67" s="4">
        <v>7.434966909E9</v>
      </c>
      <c r="F67" s="3"/>
      <c r="G67" s="3"/>
      <c r="H67" s="3"/>
      <c r="I67" s="3"/>
      <c r="J67" s="3"/>
      <c r="K67" s="3"/>
      <c r="L67" s="2"/>
      <c r="M67" s="2"/>
      <c r="N67" s="2"/>
      <c r="O67" s="2"/>
      <c r="P67" s="2"/>
      <c r="Q67" s="2"/>
      <c r="R67" s="2"/>
    </row>
    <row r="68">
      <c r="A68" s="3" t="s">
        <v>11</v>
      </c>
      <c r="B68" s="4">
        <v>74.0</v>
      </c>
      <c r="C68" s="3" t="s">
        <v>75</v>
      </c>
      <c r="D68" s="4">
        <v>21.0</v>
      </c>
      <c r="E68" s="4">
        <v>9.499545916E9</v>
      </c>
      <c r="F68" s="3"/>
      <c r="G68" s="3"/>
      <c r="H68" s="3"/>
      <c r="I68" s="3"/>
      <c r="J68" s="3"/>
      <c r="K68" s="3"/>
      <c r="L68" s="2"/>
      <c r="M68" s="2"/>
      <c r="N68" s="2"/>
      <c r="O68" s="2"/>
      <c r="P68" s="2"/>
      <c r="Q68" s="2"/>
      <c r="R68" s="2"/>
    </row>
    <row r="69">
      <c r="A69" s="3" t="s">
        <v>13</v>
      </c>
      <c r="B69" s="4">
        <v>75.0</v>
      </c>
      <c r="C69" s="10" t="s">
        <v>76</v>
      </c>
      <c r="D69" s="11">
        <v>21.0</v>
      </c>
      <c r="E69" s="12">
        <v>9.664554097E9</v>
      </c>
      <c r="F69" s="3"/>
      <c r="G69" s="3"/>
      <c r="H69" s="3"/>
      <c r="I69" s="3"/>
      <c r="J69" s="3"/>
      <c r="K69" s="3"/>
      <c r="L69" s="2"/>
      <c r="M69" s="2"/>
      <c r="N69" s="2"/>
      <c r="O69" s="2"/>
      <c r="P69" s="2"/>
      <c r="Q69" s="2"/>
      <c r="R69" s="2"/>
    </row>
    <row r="70">
      <c r="A70" s="3" t="s">
        <v>5</v>
      </c>
      <c r="B70" s="4">
        <v>76.0</v>
      </c>
      <c r="C70" s="3" t="s">
        <v>77</v>
      </c>
      <c r="D70" s="4">
        <v>19.0</v>
      </c>
      <c r="E70" s="4">
        <v>7.361003004E9</v>
      </c>
      <c r="F70" s="3"/>
      <c r="G70" s="3"/>
      <c r="H70" s="3"/>
      <c r="I70" s="3"/>
      <c r="J70" s="3"/>
      <c r="K70" s="3"/>
      <c r="L70" s="2"/>
      <c r="M70" s="2"/>
      <c r="N70" s="2"/>
      <c r="O70" s="2"/>
      <c r="P70" s="2"/>
      <c r="Q70" s="2"/>
      <c r="R70" s="2"/>
    </row>
    <row r="71">
      <c r="A71" s="3" t="s">
        <v>7</v>
      </c>
      <c r="B71" s="4">
        <v>77.0</v>
      </c>
      <c r="C71" s="3" t="s">
        <v>78</v>
      </c>
      <c r="D71" s="4">
        <v>25.0</v>
      </c>
      <c r="E71" s="4">
        <v>9.558516087E9</v>
      </c>
      <c r="F71" s="3"/>
      <c r="G71" s="3"/>
      <c r="H71" s="3"/>
      <c r="I71" s="3"/>
      <c r="J71" s="3"/>
      <c r="K71" s="3"/>
      <c r="L71" s="2"/>
      <c r="M71" s="2"/>
      <c r="N71" s="2"/>
      <c r="O71" s="2"/>
      <c r="P71" s="2"/>
      <c r="Q71" s="2"/>
      <c r="R71" s="2"/>
    </row>
    <row r="72">
      <c r="A72" s="3" t="s">
        <v>9</v>
      </c>
      <c r="B72" s="4">
        <v>78.0</v>
      </c>
      <c r="C72" s="3" t="s">
        <v>79</v>
      </c>
      <c r="D72" s="4">
        <v>16.0</v>
      </c>
      <c r="E72" s="4">
        <v>7.999136791E9</v>
      </c>
      <c r="F72" s="3"/>
      <c r="G72" s="3"/>
      <c r="H72" s="3"/>
      <c r="I72" s="3"/>
      <c r="J72" s="3"/>
      <c r="K72" s="3"/>
      <c r="L72" s="2"/>
      <c r="M72" s="2"/>
      <c r="N72" s="2"/>
      <c r="O72" s="2"/>
      <c r="P72" s="2"/>
      <c r="Q72" s="2"/>
      <c r="R72" s="2"/>
    </row>
    <row r="73">
      <c r="A73" s="3" t="s">
        <v>11</v>
      </c>
      <c r="B73" s="4">
        <v>79.0</v>
      </c>
      <c r="C73" s="3" t="s">
        <v>80</v>
      </c>
      <c r="D73" s="4">
        <v>18.0</v>
      </c>
      <c r="E73" s="4">
        <v>7.984572089E9</v>
      </c>
      <c r="F73" s="3"/>
      <c r="G73" s="3"/>
      <c r="H73" s="3"/>
      <c r="I73" s="3"/>
      <c r="J73" s="3"/>
      <c r="K73" s="3"/>
      <c r="L73" s="2"/>
      <c r="M73" s="2"/>
      <c r="N73" s="2"/>
      <c r="O73" s="2"/>
      <c r="P73" s="2"/>
      <c r="Q73" s="2"/>
      <c r="R73" s="2"/>
    </row>
    <row r="74">
      <c r="A74" s="3" t="s">
        <v>13</v>
      </c>
      <c r="B74" s="4">
        <v>80.0</v>
      </c>
      <c r="C74" s="3" t="s">
        <v>81</v>
      </c>
      <c r="D74" s="4">
        <v>18.0</v>
      </c>
      <c r="E74" s="4">
        <v>7.041125854E9</v>
      </c>
      <c r="F74" s="3"/>
      <c r="G74" s="3"/>
      <c r="H74" s="3"/>
      <c r="I74" s="3"/>
      <c r="J74" s="3"/>
      <c r="K74" s="3"/>
      <c r="L74" s="2"/>
      <c r="M74" s="2"/>
      <c r="N74" s="2"/>
      <c r="O74" s="2"/>
      <c r="P74" s="2"/>
      <c r="Q74" s="2"/>
      <c r="R74" s="2"/>
    </row>
    <row r="75">
      <c r="A75" s="3" t="s">
        <v>5</v>
      </c>
      <c r="B75" s="4">
        <v>81.0</v>
      </c>
      <c r="C75" s="3" t="s">
        <v>82</v>
      </c>
      <c r="D75" s="4">
        <v>23.0</v>
      </c>
      <c r="E75" s="4">
        <v>9.284535546E9</v>
      </c>
      <c r="F75" s="3"/>
      <c r="G75" s="3"/>
      <c r="H75" s="3"/>
      <c r="I75" s="3"/>
      <c r="J75" s="3"/>
      <c r="K75" s="3"/>
      <c r="L75" s="2"/>
      <c r="M75" s="2"/>
      <c r="N75" s="2"/>
      <c r="O75" s="2"/>
      <c r="P75" s="2"/>
      <c r="Q75" s="2"/>
      <c r="R75" s="2"/>
    </row>
    <row r="76">
      <c r="A76" s="3" t="s">
        <v>7</v>
      </c>
      <c r="B76" s="4">
        <v>82.0</v>
      </c>
      <c r="C76" s="3" t="s">
        <v>83</v>
      </c>
      <c r="D76" s="4">
        <v>20.0</v>
      </c>
      <c r="E76" s="4">
        <v>7.04908267E9</v>
      </c>
      <c r="F76" s="3"/>
      <c r="G76" s="3"/>
      <c r="H76" s="3"/>
      <c r="I76" s="3"/>
      <c r="J76" s="3"/>
      <c r="K76" s="3"/>
      <c r="L76" s="2"/>
      <c r="M76" s="2"/>
      <c r="N76" s="2"/>
      <c r="O76" s="2"/>
      <c r="P76" s="2"/>
      <c r="Q76" s="2"/>
      <c r="R76" s="2"/>
    </row>
    <row r="77">
      <c r="A77" s="3" t="s">
        <v>9</v>
      </c>
      <c r="B77" s="4">
        <v>83.0</v>
      </c>
      <c r="C77" s="3" t="s">
        <v>84</v>
      </c>
      <c r="D77" s="4">
        <v>25.0</v>
      </c>
      <c r="E77" s="4">
        <v>9.819344428E9</v>
      </c>
      <c r="F77" s="3"/>
      <c r="G77" s="3"/>
      <c r="H77" s="3"/>
      <c r="I77" s="3"/>
      <c r="J77" s="3"/>
      <c r="K77" s="3"/>
      <c r="L77" s="2"/>
      <c r="M77" s="2"/>
      <c r="N77" s="2"/>
      <c r="O77" s="2"/>
      <c r="P77" s="2"/>
      <c r="Q77" s="2"/>
      <c r="R77" s="2"/>
    </row>
    <row r="78">
      <c r="A78" s="3" t="s">
        <v>11</v>
      </c>
      <c r="B78" s="4">
        <v>84.0</v>
      </c>
      <c r="C78" s="6" t="s">
        <v>85</v>
      </c>
      <c r="D78" s="7">
        <v>22.0</v>
      </c>
      <c r="E78" s="7">
        <v>9.619571855E9</v>
      </c>
      <c r="F78" s="3"/>
      <c r="G78" s="3"/>
      <c r="H78" s="3"/>
      <c r="I78" s="3"/>
      <c r="J78" s="3"/>
      <c r="K78" s="3"/>
      <c r="L78" s="2"/>
      <c r="M78" s="2"/>
      <c r="N78" s="2"/>
      <c r="O78" s="2"/>
      <c r="P78" s="2"/>
      <c r="Q78" s="2"/>
      <c r="R78" s="2"/>
    </row>
    <row r="79">
      <c r="A79" s="3" t="s">
        <v>13</v>
      </c>
      <c r="B79" s="4">
        <v>85.0</v>
      </c>
      <c r="C79" s="3" t="s">
        <v>86</v>
      </c>
      <c r="D79" s="4">
        <v>28.0</v>
      </c>
      <c r="E79" s="4">
        <v>7.01673067E9</v>
      </c>
      <c r="F79" s="3"/>
      <c r="G79" s="3"/>
      <c r="H79" s="3"/>
      <c r="I79" s="3"/>
      <c r="J79" s="3"/>
      <c r="K79" s="3"/>
      <c r="L79" s="2"/>
      <c r="M79" s="2"/>
      <c r="N79" s="2"/>
      <c r="O79" s="2"/>
      <c r="P79" s="2"/>
      <c r="Q79" s="2"/>
      <c r="R79" s="2"/>
    </row>
    <row r="80">
      <c r="A80" s="3" t="s">
        <v>7</v>
      </c>
      <c r="B80" s="4">
        <v>87.0</v>
      </c>
      <c r="C80" s="3" t="s">
        <v>87</v>
      </c>
      <c r="D80" s="4">
        <v>27.0</v>
      </c>
      <c r="E80" s="4">
        <v>9.923604321E9</v>
      </c>
      <c r="F80" s="3"/>
      <c r="G80" s="3"/>
      <c r="H80" s="3"/>
      <c r="I80" s="3"/>
      <c r="J80" s="3"/>
      <c r="K80" s="3"/>
      <c r="L80" s="2"/>
      <c r="M80" s="2"/>
      <c r="N80" s="2"/>
      <c r="O80" s="2"/>
      <c r="P80" s="2"/>
      <c r="Q80" s="2"/>
      <c r="R80" s="2"/>
    </row>
    <row r="81">
      <c r="A81" s="3" t="s">
        <v>9</v>
      </c>
      <c r="B81" s="4">
        <v>88.0</v>
      </c>
      <c r="C81" s="10" t="s">
        <v>88</v>
      </c>
      <c r="D81" s="13">
        <v>20.0</v>
      </c>
      <c r="E81" s="13">
        <v>7.738668568E9</v>
      </c>
      <c r="F81" s="3"/>
      <c r="G81" s="3"/>
      <c r="H81" s="3"/>
      <c r="I81" s="3"/>
      <c r="J81" s="3"/>
      <c r="K81" s="3"/>
      <c r="L81" s="2"/>
      <c r="M81" s="2"/>
      <c r="N81" s="2"/>
      <c r="O81" s="2"/>
      <c r="P81" s="2"/>
      <c r="Q81" s="2"/>
      <c r="R81" s="2"/>
    </row>
    <row r="82">
      <c r="A82" s="3" t="s">
        <v>11</v>
      </c>
      <c r="B82" s="4">
        <v>89.0</v>
      </c>
      <c r="C82" s="14" t="s">
        <v>89</v>
      </c>
      <c r="D82" s="15">
        <v>22.0</v>
      </c>
      <c r="E82" s="15">
        <v>8.433754887E9</v>
      </c>
      <c r="F82" s="3"/>
      <c r="G82" s="3"/>
      <c r="H82" s="3"/>
      <c r="I82" s="3"/>
      <c r="J82" s="3"/>
      <c r="K82" s="3"/>
      <c r="L82" s="2"/>
      <c r="M82" s="2"/>
      <c r="N82" s="2"/>
      <c r="O82" s="2"/>
      <c r="P82" s="2"/>
      <c r="Q82" s="2"/>
      <c r="R82" s="2"/>
    </row>
    <row r="83">
      <c r="A83" s="3" t="s">
        <v>13</v>
      </c>
      <c r="B83" s="4">
        <v>90.0</v>
      </c>
      <c r="C83" s="3" t="s">
        <v>90</v>
      </c>
      <c r="D83" s="4">
        <v>18.0</v>
      </c>
      <c r="E83" s="4">
        <v>9.702477999E9</v>
      </c>
      <c r="F83" s="3"/>
      <c r="G83" s="3"/>
      <c r="H83" s="3"/>
      <c r="I83" s="3"/>
      <c r="J83" s="3"/>
      <c r="K83" s="3"/>
      <c r="L83" s="2"/>
      <c r="M83" s="2"/>
      <c r="N83" s="2"/>
      <c r="O83" s="2"/>
      <c r="P83" s="2"/>
      <c r="Q83" s="2"/>
      <c r="R83" s="2"/>
    </row>
    <row r="84">
      <c r="A84" s="3" t="s">
        <v>5</v>
      </c>
      <c r="B84" s="4">
        <v>91.0</v>
      </c>
      <c r="C84" s="3" t="s">
        <v>91</v>
      </c>
      <c r="D84" s="3"/>
      <c r="E84" s="4">
        <v>9.969119611E9</v>
      </c>
      <c r="F84" s="3"/>
      <c r="G84" s="3"/>
      <c r="H84" s="3"/>
      <c r="I84" s="3"/>
      <c r="J84" s="3"/>
      <c r="K84" s="3"/>
      <c r="L84" s="2"/>
      <c r="M84" s="2"/>
      <c r="N84" s="2"/>
      <c r="O84" s="2"/>
      <c r="P84" s="2"/>
      <c r="Q84" s="2"/>
      <c r="R84" s="2"/>
    </row>
    <row r="85">
      <c r="A85" s="3" t="s">
        <v>7</v>
      </c>
      <c r="B85" s="4">
        <v>92.0</v>
      </c>
      <c r="C85" s="3" t="s">
        <v>92</v>
      </c>
      <c r="D85" s="4">
        <v>12.0</v>
      </c>
      <c r="E85" s="4">
        <v>7.977736076E9</v>
      </c>
      <c r="F85" s="3"/>
      <c r="G85" s="3"/>
      <c r="H85" s="3"/>
      <c r="I85" s="3"/>
      <c r="J85" s="3"/>
      <c r="K85" s="3"/>
      <c r="L85" s="2"/>
      <c r="M85" s="2"/>
      <c r="N85" s="2"/>
      <c r="O85" s="2"/>
      <c r="P85" s="2"/>
      <c r="Q85" s="2"/>
      <c r="R85" s="2"/>
    </row>
    <row r="86">
      <c r="A86" s="3" t="s">
        <v>13</v>
      </c>
      <c r="B86" s="4">
        <v>95.0</v>
      </c>
      <c r="C86" s="10" t="s">
        <v>93</v>
      </c>
      <c r="D86" s="12">
        <v>21.0</v>
      </c>
      <c r="E86" s="12">
        <v>9.152053671E9</v>
      </c>
      <c r="F86" s="3"/>
      <c r="G86" s="3"/>
      <c r="H86" s="3"/>
      <c r="I86" s="3"/>
      <c r="J86" s="3"/>
      <c r="K86" s="3"/>
      <c r="L86" s="2"/>
      <c r="M86" s="2"/>
      <c r="N86" s="2"/>
      <c r="O86" s="2"/>
      <c r="P86" s="2"/>
      <c r="Q86" s="2"/>
      <c r="R86" s="2"/>
    </row>
    <row r="87">
      <c r="A87" s="3" t="s">
        <v>7</v>
      </c>
      <c r="B87" s="4">
        <v>97.0</v>
      </c>
      <c r="C87" s="6" t="s">
        <v>94</v>
      </c>
      <c r="D87" s="7">
        <v>25.0</v>
      </c>
      <c r="E87" s="7">
        <v>9.867135768E9</v>
      </c>
      <c r="F87" s="3"/>
      <c r="G87" s="3"/>
      <c r="H87" s="3"/>
      <c r="I87" s="3"/>
      <c r="J87" s="3"/>
      <c r="K87" s="3"/>
      <c r="L87" s="2"/>
      <c r="M87" s="2"/>
      <c r="N87" s="2"/>
      <c r="O87" s="2"/>
      <c r="P87" s="2"/>
      <c r="Q87" s="2"/>
      <c r="R87" s="2"/>
    </row>
    <row r="88">
      <c r="A88" s="3" t="s">
        <v>9</v>
      </c>
      <c r="B88" s="4">
        <v>98.0</v>
      </c>
      <c r="C88" s="3" t="s">
        <v>95</v>
      </c>
      <c r="D88" s="4">
        <v>24.0</v>
      </c>
      <c r="E88" s="4">
        <v>8.169441735E9</v>
      </c>
      <c r="F88" s="3"/>
      <c r="G88" s="3"/>
      <c r="H88" s="3"/>
      <c r="I88" s="3"/>
      <c r="J88" s="3"/>
      <c r="K88" s="3"/>
      <c r="L88" s="2"/>
      <c r="M88" s="2"/>
      <c r="N88" s="2"/>
      <c r="O88" s="2"/>
      <c r="P88" s="2"/>
      <c r="Q88" s="2"/>
      <c r="R88" s="2"/>
    </row>
    <row r="89">
      <c r="A89" s="3" t="s">
        <v>11</v>
      </c>
      <c r="B89" s="4">
        <v>99.0</v>
      </c>
      <c r="C89" s="3" t="s">
        <v>96</v>
      </c>
      <c r="D89" s="4">
        <v>22.0</v>
      </c>
      <c r="E89" s="4">
        <v>9.930900647E9</v>
      </c>
      <c r="F89" s="3"/>
      <c r="G89" s="3"/>
      <c r="H89" s="3"/>
      <c r="I89" s="3"/>
      <c r="J89" s="3"/>
      <c r="K89" s="3"/>
      <c r="L89" s="2"/>
      <c r="M89" s="2"/>
      <c r="N89" s="2"/>
      <c r="O89" s="2"/>
      <c r="P89" s="2"/>
      <c r="Q89" s="2"/>
      <c r="R89" s="2"/>
    </row>
    <row r="90">
      <c r="A90" s="3" t="s">
        <v>13</v>
      </c>
      <c r="B90" s="4">
        <v>100.0</v>
      </c>
      <c r="C90" s="3" t="s">
        <v>97</v>
      </c>
      <c r="D90" s="4">
        <v>21.0</v>
      </c>
      <c r="E90" s="4">
        <v>9.322722657E9</v>
      </c>
      <c r="F90" s="3"/>
      <c r="G90" s="3"/>
      <c r="H90" s="3"/>
      <c r="I90" s="3"/>
      <c r="J90" s="3"/>
      <c r="K90" s="3"/>
      <c r="L90" s="2"/>
      <c r="M90" s="2"/>
      <c r="N90" s="2"/>
      <c r="O90" s="2"/>
      <c r="P90" s="2"/>
      <c r="Q90" s="2"/>
      <c r="R90" s="2"/>
    </row>
    <row r="91">
      <c r="A91" s="3" t="s">
        <v>5</v>
      </c>
      <c r="B91" s="4">
        <v>101.0</v>
      </c>
      <c r="C91" s="3" t="s">
        <v>98</v>
      </c>
      <c r="D91" s="4">
        <v>42.0</v>
      </c>
      <c r="E91" s="4">
        <v>9.820712408E9</v>
      </c>
      <c r="F91" s="3"/>
      <c r="G91" s="3"/>
      <c r="H91" s="3"/>
      <c r="I91" s="3"/>
      <c r="J91" s="3"/>
      <c r="K91" s="3"/>
      <c r="L91" s="2"/>
      <c r="M91" s="2"/>
      <c r="N91" s="2"/>
      <c r="O91" s="2"/>
      <c r="P91" s="2"/>
      <c r="Q91" s="2"/>
      <c r="R91" s="2"/>
    </row>
    <row r="92">
      <c r="A92" s="3" t="s">
        <v>7</v>
      </c>
      <c r="B92" s="4">
        <v>102.0</v>
      </c>
      <c r="C92" s="6" t="s">
        <v>99</v>
      </c>
      <c r="D92" s="7">
        <v>18.0</v>
      </c>
      <c r="E92" s="7">
        <v>9.224877695E9</v>
      </c>
      <c r="F92" s="3"/>
      <c r="G92" s="3"/>
      <c r="H92" s="3"/>
      <c r="I92" s="3"/>
      <c r="J92" s="3"/>
      <c r="K92" s="3"/>
      <c r="L92" s="2"/>
      <c r="M92" s="2"/>
      <c r="N92" s="2"/>
      <c r="O92" s="2"/>
      <c r="P92" s="2"/>
      <c r="Q92" s="2"/>
      <c r="R92" s="2"/>
    </row>
    <row r="93">
      <c r="A93" s="3" t="s">
        <v>9</v>
      </c>
      <c r="B93" s="4">
        <v>103.0</v>
      </c>
      <c r="C93" s="3" t="s">
        <v>100</v>
      </c>
      <c r="D93" s="4">
        <v>17.0</v>
      </c>
      <c r="E93" s="4">
        <v>9.2705524E9</v>
      </c>
      <c r="F93" s="3"/>
      <c r="G93" s="3"/>
      <c r="H93" s="3"/>
      <c r="I93" s="3"/>
      <c r="J93" s="3"/>
      <c r="K93" s="3"/>
      <c r="L93" s="2"/>
      <c r="M93" s="2"/>
      <c r="N93" s="2"/>
      <c r="O93" s="2"/>
      <c r="P93" s="2"/>
      <c r="Q93" s="2"/>
      <c r="R93" s="2"/>
    </row>
    <row r="94">
      <c r="A94" s="3" t="s">
        <v>11</v>
      </c>
      <c r="B94" s="4">
        <v>104.0</v>
      </c>
      <c r="C94" s="3" t="s">
        <v>101</v>
      </c>
      <c r="D94" s="4">
        <v>21.0</v>
      </c>
      <c r="E94" s="4">
        <v>9.867119775E9</v>
      </c>
      <c r="F94" s="3"/>
      <c r="G94" s="3"/>
      <c r="H94" s="3"/>
      <c r="I94" s="3"/>
      <c r="J94" s="3"/>
      <c r="K94" s="3"/>
      <c r="L94" s="2"/>
      <c r="M94" s="2"/>
      <c r="N94" s="2"/>
      <c r="O94" s="2"/>
      <c r="P94" s="2"/>
      <c r="Q94" s="2"/>
      <c r="R94" s="2"/>
    </row>
    <row r="95">
      <c r="A95" s="3" t="s">
        <v>5</v>
      </c>
      <c r="B95" s="4">
        <v>106.0</v>
      </c>
      <c r="C95" s="3" t="s">
        <v>102</v>
      </c>
      <c r="D95" s="4">
        <v>22.0</v>
      </c>
      <c r="E95" s="4">
        <v>7.798585011E9</v>
      </c>
      <c r="F95" s="3"/>
      <c r="G95" s="3"/>
      <c r="H95" s="3"/>
      <c r="I95" s="3"/>
      <c r="J95" s="3"/>
      <c r="K95" s="3"/>
      <c r="L95" s="2"/>
      <c r="M95" s="2"/>
      <c r="N95" s="2"/>
      <c r="O95" s="2"/>
      <c r="P95" s="2"/>
      <c r="Q95" s="2"/>
      <c r="R95" s="2"/>
    </row>
    <row r="96">
      <c r="A96" s="3" t="s">
        <v>7</v>
      </c>
      <c r="B96" s="4">
        <v>107.0</v>
      </c>
      <c r="C96" s="3" t="s">
        <v>103</v>
      </c>
      <c r="D96" s="4">
        <v>25.0</v>
      </c>
      <c r="E96" s="4">
        <v>9.02464628E9</v>
      </c>
      <c r="F96" s="3"/>
      <c r="G96" s="3"/>
      <c r="H96" s="3"/>
      <c r="I96" s="3"/>
      <c r="J96" s="3"/>
      <c r="K96" s="3"/>
      <c r="L96" s="2"/>
      <c r="M96" s="2"/>
      <c r="N96" s="2"/>
      <c r="O96" s="2"/>
      <c r="P96" s="2"/>
      <c r="Q96" s="2"/>
      <c r="R96" s="2"/>
    </row>
    <row r="97">
      <c r="A97" s="3" t="s">
        <v>9</v>
      </c>
      <c r="B97" s="4">
        <v>108.0</v>
      </c>
      <c r="C97" s="3" t="s">
        <v>104</v>
      </c>
      <c r="D97" s="4">
        <v>18.0</v>
      </c>
      <c r="E97" s="4">
        <v>9.098957331E9</v>
      </c>
      <c r="F97" s="3"/>
      <c r="G97" s="3"/>
      <c r="H97" s="3"/>
      <c r="I97" s="3"/>
      <c r="J97" s="3"/>
      <c r="K97" s="3"/>
      <c r="L97" s="2"/>
      <c r="M97" s="2"/>
      <c r="N97" s="2"/>
      <c r="O97" s="2"/>
      <c r="P97" s="2"/>
      <c r="Q97" s="2"/>
      <c r="R97" s="2"/>
    </row>
    <row r="98">
      <c r="A98" s="3" t="s">
        <v>11</v>
      </c>
      <c r="B98" s="4">
        <v>109.0</v>
      </c>
      <c r="C98" s="3" t="s">
        <v>105</v>
      </c>
      <c r="D98" s="4">
        <v>20.0</v>
      </c>
      <c r="E98" s="4">
        <v>9.1311541E9</v>
      </c>
      <c r="F98" s="3"/>
      <c r="G98" s="3"/>
      <c r="H98" s="3"/>
      <c r="I98" s="3"/>
      <c r="J98" s="3"/>
      <c r="K98" s="3"/>
      <c r="L98" s="2"/>
      <c r="M98" s="2"/>
      <c r="N98" s="2"/>
      <c r="O98" s="2"/>
      <c r="P98" s="2"/>
      <c r="Q98" s="2"/>
      <c r="R98" s="2"/>
    </row>
    <row r="99">
      <c r="A99" s="3" t="s">
        <v>13</v>
      </c>
      <c r="B99" s="4">
        <v>110.0</v>
      </c>
      <c r="C99" s="3" t="s">
        <v>106</v>
      </c>
      <c r="D99" s="4">
        <v>40.0</v>
      </c>
      <c r="E99" s="4">
        <v>8.200808385E9</v>
      </c>
      <c r="F99" s="3"/>
      <c r="G99" s="3"/>
      <c r="H99" s="3"/>
      <c r="I99" s="3"/>
      <c r="J99" s="3"/>
      <c r="K99" s="3"/>
      <c r="L99" s="2"/>
      <c r="M99" s="2"/>
      <c r="N99" s="2"/>
      <c r="O99" s="2"/>
      <c r="P99" s="2"/>
      <c r="Q99" s="2"/>
      <c r="R99" s="2"/>
    </row>
    <row r="100">
      <c r="A100" s="3" t="s">
        <v>5</v>
      </c>
      <c r="B100" s="4">
        <v>111.0</v>
      </c>
      <c r="C100" s="3" t="s">
        <v>107</v>
      </c>
      <c r="D100" s="4">
        <v>21.0</v>
      </c>
      <c r="E100" s="4">
        <v>9.307690459E9</v>
      </c>
      <c r="F100" s="3"/>
      <c r="G100" s="3"/>
      <c r="H100" s="3"/>
      <c r="I100" s="3"/>
      <c r="J100" s="3"/>
      <c r="K100" s="3"/>
      <c r="L100" s="2"/>
      <c r="M100" s="2"/>
      <c r="N100" s="2"/>
      <c r="O100" s="2"/>
      <c r="P100" s="2"/>
      <c r="Q100" s="2"/>
      <c r="R100" s="2"/>
    </row>
    <row r="101">
      <c r="A101" s="3" t="s">
        <v>7</v>
      </c>
      <c r="B101" s="4">
        <v>112.0</v>
      </c>
      <c r="C101" s="6" t="s">
        <v>108</v>
      </c>
      <c r="D101" s="7">
        <v>20.0</v>
      </c>
      <c r="E101" s="7">
        <v>7.041204406E9</v>
      </c>
      <c r="F101" s="3"/>
      <c r="G101" s="3"/>
      <c r="H101" s="3"/>
      <c r="I101" s="3"/>
      <c r="J101" s="3"/>
      <c r="K101" s="3"/>
      <c r="L101" s="2"/>
      <c r="M101" s="2"/>
      <c r="N101" s="2"/>
      <c r="O101" s="2"/>
      <c r="P101" s="2"/>
      <c r="Q101" s="2"/>
      <c r="R101" s="2"/>
    </row>
    <row r="102">
      <c r="A102" s="3" t="s">
        <v>9</v>
      </c>
      <c r="B102" s="4">
        <v>113.0</v>
      </c>
      <c r="C102" s="3" t="s">
        <v>109</v>
      </c>
      <c r="D102" s="4">
        <v>35.0</v>
      </c>
      <c r="E102" s="4">
        <v>9.510373934E9</v>
      </c>
      <c r="F102" s="3"/>
      <c r="G102" s="3"/>
      <c r="H102" s="3"/>
      <c r="I102" s="3"/>
      <c r="J102" s="3"/>
      <c r="K102" s="3"/>
      <c r="L102" s="2"/>
      <c r="M102" s="2"/>
      <c r="N102" s="2"/>
      <c r="O102" s="2"/>
      <c r="P102" s="2"/>
      <c r="Q102" s="2"/>
      <c r="R102" s="2"/>
    </row>
    <row r="103">
      <c r="A103" s="3" t="s">
        <v>13</v>
      </c>
      <c r="B103" s="4">
        <v>115.0</v>
      </c>
      <c r="C103" s="3" t="s">
        <v>110</v>
      </c>
      <c r="D103" s="4">
        <v>25.0</v>
      </c>
      <c r="E103" s="4">
        <v>7.73838441E9</v>
      </c>
      <c r="F103" s="3"/>
      <c r="G103" s="3"/>
      <c r="H103" s="3"/>
      <c r="I103" s="3"/>
      <c r="J103" s="3"/>
      <c r="K103" s="3"/>
      <c r="L103" s="2"/>
      <c r="M103" s="2"/>
      <c r="N103" s="2"/>
      <c r="O103" s="2"/>
      <c r="P103" s="2"/>
      <c r="Q103" s="2"/>
      <c r="R103" s="2"/>
    </row>
    <row r="104">
      <c r="A104" s="3" t="s">
        <v>5</v>
      </c>
      <c r="B104" s="4">
        <v>116.0</v>
      </c>
      <c r="C104" s="6" t="s">
        <v>111</v>
      </c>
      <c r="D104" s="7">
        <v>17.0</v>
      </c>
      <c r="E104" s="7">
        <v>9.588089135E9</v>
      </c>
      <c r="F104" s="3"/>
      <c r="G104" s="3"/>
      <c r="H104" s="3"/>
      <c r="I104" s="3"/>
      <c r="J104" s="3"/>
      <c r="K104" s="3"/>
      <c r="L104" s="2"/>
      <c r="M104" s="2"/>
      <c r="N104" s="2"/>
      <c r="O104" s="2"/>
      <c r="P104" s="2"/>
      <c r="Q104" s="2"/>
      <c r="R104" s="2"/>
    </row>
    <row r="105">
      <c r="A105" s="3" t="s">
        <v>7</v>
      </c>
      <c r="B105" s="4">
        <v>117.0</v>
      </c>
      <c r="C105" s="3" t="s">
        <v>112</v>
      </c>
      <c r="D105" s="4">
        <v>23.0</v>
      </c>
      <c r="E105" s="4">
        <v>9.353571355E9</v>
      </c>
      <c r="F105" s="3"/>
      <c r="G105" s="3"/>
      <c r="H105" s="3"/>
      <c r="I105" s="3"/>
      <c r="J105" s="3"/>
      <c r="K105" s="3"/>
      <c r="L105" s="2"/>
      <c r="M105" s="2"/>
      <c r="N105" s="2"/>
      <c r="O105" s="2"/>
      <c r="P105" s="2"/>
      <c r="Q105" s="2"/>
      <c r="R105" s="2"/>
    </row>
    <row r="106">
      <c r="A106" s="3" t="s">
        <v>9</v>
      </c>
      <c r="B106" s="4">
        <v>118.0</v>
      </c>
      <c r="C106" s="3" t="s">
        <v>113</v>
      </c>
      <c r="D106" s="4">
        <v>35.0</v>
      </c>
      <c r="E106" s="4">
        <v>9.970991617E9</v>
      </c>
      <c r="F106" s="3"/>
      <c r="G106" s="3"/>
      <c r="H106" s="3"/>
      <c r="I106" s="3"/>
      <c r="J106" s="3"/>
      <c r="K106" s="3"/>
      <c r="L106" s="2"/>
      <c r="M106" s="2"/>
      <c r="N106" s="2"/>
      <c r="O106" s="2"/>
      <c r="P106" s="2"/>
      <c r="Q106" s="2"/>
      <c r="R106" s="2"/>
    </row>
    <row r="107">
      <c r="A107" s="3" t="s">
        <v>11</v>
      </c>
      <c r="B107" s="4">
        <v>119.0</v>
      </c>
      <c r="C107" s="3" t="s">
        <v>114</v>
      </c>
      <c r="D107" s="4">
        <v>21.0</v>
      </c>
      <c r="E107" s="4">
        <v>7.796727271E9</v>
      </c>
      <c r="F107" s="3"/>
      <c r="G107" s="3"/>
      <c r="H107" s="3"/>
      <c r="I107" s="3"/>
      <c r="J107" s="3"/>
      <c r="K107" s="3"/>
      <c r="L107" s="2"/>
      <c r="M107" s="2"/>
      <c r="N107" s="2"/>
      <c r="O107" s="2"/>
      <c r="P107" s="2"/>
      <c r="Q107" s="2"/>
      <c r="R107" s="2"/>
    </row>
    <row r="108">
      <c r="A108" s="3" t="s">
        <v>13</v>
      </c>
      <c r="B108" s="4">
        <v>120.0</v>
      </c>
      <c r="C108" s="3" t="s">
        <v>115</v>
      </c>
      <c r="D108" s="4">
        <v>20.0</v>
      </c>
      <c r="E108" s="4">
        <v>7.303008851E9</v>
      </c>
      <c r="F108" s="3"/>
      <c r="G108" s="3"/>
      <c r="H108" s="3"/>
      <c r="I108" s="3"/>
      <c r="J108" s="3"/>
      <c r="K108" s="3"/>
      <c r="L108" s="2"/>
      <c r="M108" s="2"/>
      <c r="N108" s="2"/>
      <c r="O108" s="2"/>
      <c r="P108" s="2"/>
      <c r="Q108" s="2"/>
      <c r="R108" s="2"/>
    </row>
    <row r="109">
      <c r="A109" s="3" t="s">
        <v>5</v>
      </c>
      <c r="B109" s="4">
        <v>121.0</v>
      </c>
      <c r="C109" s="3" t="s">
        <v>116</v>
      </c>
      <c r="D109" s="4">
        <v>18.0</v>
      </c>
      <c r="E109" s="4">
        <v>8.104883852E9</v>
      </c>
      <c r="F109" s="3"/>
      <c r="G109" s="3"/>
      <c r="H109" s="3"/>
      <c r="I109" s="3"/>
      <c r="J109" s="3"/>
      <c r="K109" s="3"/>
      <c r="L109" s="2"/>
      <c r="M109" s="2"/>
      <c r="N109" s="2"/>
      <c r="O109" s="2"/>
      <c r="P109" s="2"/>
      <c r="Q109" s="2"/>
      <c r="R109" s="2"/>
    </row>
    <row r="110">
      <c r="A110" s="3" t="s">
        <v>7</v>
      </c>
      <c r="B110" s="4">
        <v>122.0</v>
      </c>
      <c r="C110" s="3" t="s">
        <v>117</v>
      </c>
      <c r="D110" s="4">
        <v>12.0</v>
      </c>
      <c r="E110" s="4">
        <v>8.9895532E9</v>
      </c>
      <c r="F110" s="3"/>
      <c r="G110" s="3"/>
      <c r="H110" s="3"/>
      <c r="I110" s="3"/>
      <c r="J110" s="3"/>
      <c r="K110" s="3"/>
      <c r="L110" s="2"/>
      <c r="M110" s="2"/>
      <c r="N110" s="2"/>
      <c r="O110" s="2"/>
      <c r="P110" s="2"/>
      <c r="Q110" s="2"/>
      <c r="R110" s="2"/>
    </row>
    <row r="111">
      <c r="A111" s="3" t="s">
        <v>9</v>
      </c>
      <c r="B111" s="4">
        <v>123.0</v>
      </c>
      <c r="C111" s="3" t="s">
        <v>118</v>
      </c>
      <c r="D111" s="4">
        <v>25.0</v>
      </c>
      <c r="E111" s="4">
        <v>9.81955033E9</v>
      </c>
      <c r="F111" s="3"/>
      <c r="G111" s="3"/>
      <c r="H111" s="3"/>
      <c r="I111" s="3"/>
      <c r="J111" s="3"/>
      <c r="K111" s="3"/>
      <c r="L111" s="2"/>
      <c r="M111" s="2"/>
      <c r="N111" s="2"/>
      <c r="O111" s="2"/>
      <c r="P111" s="2"/>
      <c r="Q111" s="2"/>
      <c r="R111" s="2"/>
    </row>
    <row r="112">
      <c r="A112" s="3" t="s">
        <v>11</v>
      </c>
      <c r="B112" s="4">
        <v>124.0</v>
      </c>
      <c r="C112" s="3" t="s">
        <v>119</v>
      </c>
      <c r="D112" s="4">
        <v>27.0</v>
      </c>
      <c r="E112" s="4">
        <v>9.409284153E9</v>
      </c>
      <c r="F112" s="3"/>
      <c r="G112" s="3"/>
      <c r="H112" s="3"/>
      <c r="I112" s="3"/>
      <c r="J112" s="3"/>
      <c r="K112" s="3"/>
      <c r="L112" s="2"/>
      <c r="M112" s="2"/>
      <c r="N112" s="2"/>
      <c r="O112" s="2"/>
      <c r="P112" s="2"/>
      <c r="Q112" s="2"/>
      <c r="R112" s="2"/>
    </row>
    <row r="113">
      <c r="A113" s="3" t="s">
        <v>13</v>
      </c>
      <c r="B113" s="4">
        <v>125.0</v>
      </c>
      <c r="C113" s="3" t="s">
        <v>120</v>
      </c>
      <c r="D113" s="4">
        <v>23.0</v>
      </c>
      <c r="E113" s="4">
        <v>7.048433736E9</v>
      </c>
      <c r="F113" s="3"/>
      <c r="G113" s="3"/>
      <c r="H113" s="3"/>
      <c r="I113" s="3"/>
      <c r="J113" s="3"/>
      <c r="K113" s="3"/>
      <c r="L113" s="2"/>
      <c r="M113" s="2"/>
      <c r="N113" s="2"/>
      <c r="O113" s="2"/>
      <c r="P113" s="2"/>
      <c r="Q113" s="2"/>
      <c r="R113" s="2"/>
    </row>
    <row r="114">
      <c r="A114" s="3" t="s">
        <v>5</v>
      </c>
      <c r="B114" s="4">
        <v>126.0</v>
      </c>
      <c r="C114" s="3" t="s">
        <v>121</v>
      </c>
      <c r="D114" s="4">
        <v>21.0</v>
      </c>
      <c r="E114" s="4">
        <v>7.610523353E9</v>
      </c>
      <c r="F114" s="3"/>
      <c r="G114" s="3"/>
      <c r="H114" s="3"/>
      <c r="I114" s="3"/>
      <c r="J114" s="3"/>
      <c r="K114" s="3"/>
      <c r="L114" s="2"/>
      <c r="M114" s="2"/>
      <c r="N114" s="2"/>
      <c r="O114" s="2"/>
      <c r="P114" s="2"/>
      <c r="Q114" s="2"/>
      <c r="R114" s="2"/>
    </row>
    <row r="115">
      <c r="A115" s="3" t="s">
        <v>7</v>
      </c>
      <c r="B115" s="4">
        <v>127.0</v>
      </c>
      <c r="C115" s="3" t="s">
        <v>122</v>
      </c>
      <c r="D115" s="4">
        <v>20.0</v>
      </c>
      <c r="E115" s="4">
        <v>9.37325313E9</v>
      </c>
      <c r="F115" s="3"/>
      <c r="G115" s="3"/>
      <c r="H115" s="3"/>
      <c r="I115" s="3"/>
      <c r="J115" s="3"/>
      <c r="K115" s="3"/>
      <c r="L115" s="2"/>
      <c r="M115" s="2"/>
      <c r="N115" s="2"/>
      <c r="O115" s="2"/>
      <c r="P115" s="2"/>
      <c r="Q115" s="2"/>
      <c r="R115" s="2"/>
    </row>
    <row r="116">
      <c r="A116" s="3" t="s">
        <v>9</v>
      </c>
      <c r="B116" s="4">
        <v>128.0</v>
      </c>
      <c r="C116" s="6" t="s">
        <v>123</v>
      </c>
      <c r="D116" s="7">
        <v>28.0</v>
      </c>
      <c r="E116" s="7">
        <v>9.922780838E9</v>
      </c>
      <c r="F116" s="3"/>
      <c r="G116" s="3"/>
      <c r="H116" s="3"/>
      <c r="I116" s="3"/>
      <c r="J116" s="3"/>
      <c r="K116" s="3"/>
      <c r="L116" s="2"/>
      <c r="M116" s="2"/>
      <c r="N116" s="2"/>
      <c r="O116" s="2"/>
      <c r="P116" s="2"/>
      <c r="Q116" s="2"/>
      <c r="R116" s="2"/>
    </row>
    <row r="117">
      <c r="A117" s="3" t="s">
        <v>11</v>
      </c>
      <c r="B117" s="4">
        <v>129.0</v>
      </c>
      <c r="C117" s="3" t="s">
        <v>124</v>
      </c>
      <c r="D117" s="3" t="s">
        <v>423</v>
      </c>
      <c r="E117" s="4">
        <v>6.351438172E9</v>
      </c>
      <c r="F117" s="3"/>
      <c r="G117" s="3"/>
      <c r="H117" s="3"/>
      <c r="I117" s="3"/>
      <c r="J117" s="3"/>
      <c r="K117" s="3"/>
      <c r="L117" s="2"/>
      <c r="M117" s="2"/>
      <c r="N117" s="2"/>
      <c r="O117" s="2"/>
      <c r="P117" s="2"/>
      <c r="Q117" s="2"/>
      <c r="R117" s="2"/>
    </row>
    <row r="118">
      <c r="A118" s="3" t="s">
        <v>13</v>
      </c>
      <c r="B118" s="4">
        <v>130.0</v>
      </c>
      <c r="C118" s="3" t="s">
        <v>125</v>
      </c>
      <c r="D118" s="4">
        <v>18.0</v>
      </c>
      <c r="E118" s="4">
        <v>9.860017215E9</v>
      </c>
      <c r="F118" s="3"/>
      <c r="G118" s="3"/>
      <c r="H118" s="3"/>
      <c r="I118" s="3"/>
      <c r="J118" s="3"/>
      <c r="K118" s="3"/>
      <c r="L118" s="2"/>
      <c r="M118" s="2"/>
      <c r="N118" s="2"/>
      <c r="O118" s="2"/>
      <c r="P118" s="2"/>
      <c r="Q118" s="2"/>
      <c r="R118" s="2"/>
    </row>
    <row r="119">
      <c r="A119" s="3" t="s">
        <v>5</v>
      </c>
      <c r="B119" s="4">
        <v>131.0</v>
      </c>
      <c r="C119" s="3" t="s">
        <v>126</v>
      </c>
      <c r="D119" s="4">
        <v>21.0</v>
      </c>
      <c r="E119" s="4">
        <v>8.98325568E9</v>
      </c>
      <c r="F119" s="3"/>
      <c r="G119" s="3"/>
      <c r="H119" s="3"/>
      <c r="I119" s="3"/>
      <c r="J119" s="3"/>
      <c r="K119" s="3"/>
      <c r="L119" s="2"/>
      <c r="M119" s="2"/>
      <c r="N119" s="2"/>
      <c r="O119" s="2"/>
      <c r="P119" s="2"/>
      <c r="Q119" s="2"/>
      <c r="R119" s="2"/>
    </row>
    <row r="120">
      <c r="A120" s="3" t="s">
        <v>7</v>
      </c>
      <c r="B120" s="4">
        <v>132.0</v>
      </c>
      <c r="C120" s="3" t="s">
        <v>127</v>
      </c>
      <c r="D120" s="4">
        <v>34.0</v>
      </c>
      <c r="E120" s="4">
        <v>7.083919386E9</v>
      </c>
      <c r="F120" s="3"/>
      <c r="G120" s="3"/>
      <c r="H120" s="3"/>
      <c r="I120" s="3"/>
      <c r="J120" s="3"/>
      <c r="K120" s="3"/>
      <c r="L120" s="2"/>
      <c r="M120" s="2"/>
      <c r="N120" s="2"/>
      <c r="O120" s="2"/>
      <c r="P120" s="2"/>
      <c r="Q120" s="2"/>
      <c r="R120" s="2"/>
    </row>
    <row r="121">
      <c r="A121" s="3" t="s">
        <v>9</v>
      </c>
      <c r="B121" s="4">
        <v>133.0</v>
      </c>
      <c r="C121" s="3" t="s">
        <v>128</v>
      </c>
      <c r="D121" s="4">
        <v>20.0</v>
      </c>
      <c r="E121" s="4">
        <v>7.021206044E9</v>
      </c>
      <c r="F121" s="3"/>
      <c r="G121" s="3"/>
      <c r="H121" s="3"/>
      <c r="I121" s="3"/>
      <c r="J121" s="3"/>
      <c r="K121" s="3"/>
      <c r="L121" s="2"/>
      <c r="M121" s="2"/>
      <c r="N121" s="2"/>
      <c r="O121" s="2"/>
      <c r="P121" s="2"/>
      <c r="Q121" s="2"/>
      <c r="R121" s="2"/>
    </row>
    <row r="122">
      <c r="A122" s="3" t="s">
        <v>11</v>
      </c>
      <c r="B122" s="4">
        <v>134.0</v>
      </c>
      <c r="C122" s="3" t="s">
        <v>129</v>
      </c>
      <c r="D122" s="4">
        <v>21.0</v>
      </c>
      <c r="E122" s="4">
        <v>9.372349973E9</v>
      </c>
      <c r="F122" s="3"/>
      <c r="G122" s="3"/>
      <c r="H122" s="3"/>
      <c r="I122" s="3"/>
      <c r="J122" s="3"/>
      <c r="K122" s="3"/>
      <c r="L122" s="2"/>
      <c r="M122" s="2"/>
      <c r="N122" s="2"/>
      <c r="O122" s="2"/>
      <c r="P122" s="2"/>
      <c r="Q122" s="2"/>
      <c r="R122" s="2"/>
    </row>
    <row r="123">
      <c r="A123" s="3" t="s">
        <v>13</v>
      </c>
      <c r="B123" s="4">
        <v>135.0</v>
      </c>
      <c r="C123" s="3" t="s">
        <v>130</v>
      </c>
      <c r="D123" s="4">
        <v>20.0</v>
      </c>
      <c r="E123" s="3" t="s">
        <v>424</v>
      </c>
      <c r="F123" s="3"/>
      <c r="G123" s="3"/>
      <c r="H123" s="3"/>
      <c r="I123" s="3"/>
      <c r="J123" s="3"/>
      <c r="K123" s="3"/>
      <c r="L123" s="2"/>
      <c r="M123" s="2"/>
      <c r="N123" s="2"/>
      <c r="O123" s="2"/>
      <c r="P123" s="2"/>
      <c r="Q123" s="2"/>
      <c r="R123" s="2"/>
    </row>
    <row r="124">
      <c r="A124" s="3" t="s">
        <v>5</v>
      </c>
      <c r="B124" s="4">
        <v>136.0</v>
      </c>
      <c r="C124" s="3" t="s">
        <v>131</v>
      </c>
      <c r="D124" s="4">
        <v>32.0</v>
      </c>
      <c r="E124" s="4">
        <v>9.30513909E9</v>
      </c>
      <c r="F124" s="3"/>
      <c r="G124" s="3"/>
      <c r="H124" s="3"/>
      <c r="I124" s="3"/>
      <c r="J124" s="3"/>
      <c r="K124" s="3"/>
      <c r="L124" s="2"/>
      <c r="M124" s="2"/>
      <c r="N124" s="2"/>
      <c r="O124" s="2"/>
      <c r="P124" s="2"/>
      <c r="Q124" s="2"/>
      <c r="R124" s="2"/>
    </row>
    <row r="125">
      <c r="A125" s="3" t="s">
        <v>7</v>
      </c>
      <c r="B125" s="4">
        <v>137.0</v>
      </c>
      <c r="C125" s="3" t="s">
        <v>132</v>
      </c>
      <c r="D125" s="4">
        <v>33.0</v>
      </c>
      <c r="E125" s="3" t="s">
        <v>425</v>
      </c>
      <c r="F125" s="3"/>
      <c r="G125" s="3"/>
      <c r="H125" s="3"/>
      <c r="I125" s="3"/>
      <c r="J125" s="3"/>
      <c r="K125" s="3"/>
      <c r="L125" s="2"/>
      <c r="M125" s="2"/>
      <c r="N125" s="2"/>
      <c r="O125" s="2"/>
      <c r="P125" s="2"/>
      <c r="Q125" s="2"/>
      <c r="R125" s="2"/>
    </row>
    <row r="126">
      <c r="A126" s="3" t="s">
        <v>9</v>
      </c>
      <c r="B126" s="4">
        <v>138.0</v>
      </c>
      <c r="C126" s="3" t="s">
        <v>133</v>
      </c>
      <c r="D126" s="4">
        <v>14.0</v>
      </c>
      <c r="E126" s="4">
        <v>7.977736076E9</v>
      </c>
      <c r="F126" s="3"/>
      <c r="G126" s="3"/>
      <c r="H126" s="3"/>
      <c r="I126" s="3"/>
      <c r="J126" s="3"/>
      <c r="K126" s="3"/>
      <c r="L126" s="2"/>
      <c r="M126" s="2"/>
      <c r="N126" s="2"/>
      <c r="O126" s="2"/>
      <c r="P126" s="2"/>
      <c r="Q126" s="2"/>
      <c r="R126" s="2"/>
    </row>
    <row r="127">
      <c r="A127" s="3" t="s">
        <v>11</v>
      </c>
      <c r="B127" s="4">
        <v>139.0</v>
      </c>
      <c r="C127" s="6" t="s">
        <v>134</v>
      </c>
      <c r="D127" s="7">
        <v>19.0</v>
      </c>
      <c r="E127" s="7">
        <v>9.981317839E9</v>
      </c>
      <c r="F127" s="3"/>
      <c r="G127" s="3"/>
      <c r="H127" s="3"/>
      <c r="I127" s="3"/>
      <c r="J127" s="3"/>
      <c r="K127" s="3"/>
      <c r="L127" s="2"/>
      <c r="M127" s="2"/>
      <c r="N127" s="2"/>
      <c r="O127" s="2"/>
      <c r="P127" s="2"/>
      <c r="Q127" s="2"/>
      <c r="R127" s="2"/>
    </row>
    <row r="128">
      <c r="A128" s="3" t="s">
        <v>13</v>
      </c>
      <c r="B128" s="4">
        <v>140.0</v>
      </c>
      <c r="C128" s="3" t="s">
        <v>135</v>
      </c>
      <c r="D128" s="4">
        <v>18.0</v>
      </c>
      <c r="E128" s="4">
        <v>8.591612066E9</v>
      </c>
      <c r="F128" s="3"/>
      <c r="G128" s="3"/>
      <c r="H128" s="3"/>
      <c r="I128" s="3"/>
      <c r="J128" s="3"/>
      <c r="K128" s="3"/>
      <c r="L128" s="2"/>
      <c r="M128" s="2"/>
      <c r="N128" s="2"/>
      <c r="O128" s="2"/>
      <c r="P128" s="2"/>
      <c r="Q128" s="2"/>
      <c r="R128" s="2"/>
    </row>
    <row r="129">
      <c r="A129" s="3" t="s">
        <v>5</v>
      </c>
      <c r="B129" s="4">
        <v>141.0</v>
      </c>
      <c r="C129" s="6" t="s">
        <v>136</v>
      </c>
      <c r="D129" s="7">
        <v>36.0</v>
      </c>
      <c r="E129" s="7">
        <v>9.819232174E9</v>
      </c>
      <c r="F129" s="3"/>
      <c r="G129" s="3"/>
      <c r="H129" s="3"/>
      <c r="I129" s="3"/>
      <c r="J129" s="3"/>
      <c r="K129" s="3"/>
      <c r="L129" s="2"/>
      <c r="M129" s="2"/>
      <c r="N129" s="2"/>
      <c r="O129" s="2"/>
      <c r="P129" s="2"/>
      <c r="Q129" s="2"/>
      <c r="R129" s="2"/>
    </row>
    <row r="130">
      <c r="A130" s="3" t="s">
        <v>7</v>
      </c>
      <c r="B130" s="4">
        <v>142.0</v>
      </c>
      <c r="C130" s="3" t="s">
        <v>137</v>
      </c>
      <c r="D130" s="4">
        <v>19.0</v>
      </c>
      <c r="E130" s="4">
        <v>9.226953266E9</v>
      </c>
      <c r="F130" s="3"/>
      <c r="G130" s="3"/>
      <c r="H130" s="3"/>
      <c r="I130" s="3"/>
      <c r="J130" s="3"/>
      <c r="K130" s="3"/>
      <c r="L130" s="2"/>
      <c r="M130" s="2"/>
      <c r="N130" s="2"/>
      <c r="O130" s="2"/>
      <c r="P130" s="2"/>
      <c r="Q130" s="2"/>
      <c r="R130" s="2"/>
    </row>
    <row r="131">
      <c r="A131" s="3" t="s">
        <v>9</v>
      </c>
      <c r="B131" s="4">
        <v>143.0</v>
      </c>
      <c r="C131" s="3" t="s">
        <v>138</v>
      </c>
      <c r="D131" s="4">
        <v>20.0</v>
      </c>
      <c r="E131" s="4">
        <v>7.044140827E9</v>
      </c>
      <c r="F131" s="3"/>
      <c r="G131" s="3"/>
      <c r="H131" s="3"/>
      <c r="I131" s="3"/>
      <c r="J131" s="3"/>
      <c r="K131" s="3"/>
      <c r="L131" s="2"/>
      <c r="M131" s="2"/>
      <c r="N131" s="2"/>
      <c r="O131" s="2"/>
      <c r="P131" s="2"/>
      <c r="Q131" s="2"/>
      <c r="R131" s="2"/>
    </row>
    <row r="132">
      <c r="A132" s="3" t="s">
        <v>11</v>
      </c>
      <c r="B132" s="4">
        <v>144.0</v>
      </c>
      <c r="C132" s="6" t="s">
        <v>139</v>
      </c>
      <c r="D132" s="7">
        <v>17.0</v>
      </c>
      <c r="E132" s="7">
        <v>9.243587307E9</v>
      </c>
      <c r="F132" s="3"/>
      <c r="G132" s="3"/>
      <c r="H132" s="3"/>
      <c r="I132" s="3"/>
      <c r="J132" s="3"/>
      <c r="K132" s="3"/>
      <c r="L132" s="2"/>
      <c r="M132" s="2"/>
      <c r="N132" s="2"/>
      <c r="O132" s="2"/>
      <c r="P132" s="2"/>
      <c r="Q132" s="2"/>
      <c r="R132" s="2"/>
    </row>
    <row r="133">
      <c r="A133" s="3" t="s">
        <v>13</v>
      </c>
      <c r="B133" s="4">
        <v>145.0</v>
      </c>
      <c r="C133" s="6" t="s">
        <v>140</v>
      </c>
      <c r="D133" s="7">
        <v>20.0</v>
      </c>
      <c r="E133" s="7">
        <v>7.999596387E9</v>
      </c>
      <c r="F133" s="3"/>
      <c r="G133" s="3"/>
      <c r="H133" s="3"/>
      <c r="I133" s="3"/>
      <c r="J133" s="3"/>
      <c r="K133" s="3"/>
      <c r="L133" s="2"/>
      <c r="M133" s="2"/>
      <c r="N133" s="2"/>
      <c r="O133" s="2"/>
      <c r="P133" s="2"/>
      <c r="Q133" s="2"/>
      <c r="R133" s="2"/>
    </row>
    <row r="134">
      <c r="A134" s="3" t="s">
        <v>5</v>
      </c>
      <c r="B134" s="4">
        <v>146.0</v>
      </c>
      <c r="C134" s="3" t="s">
        <v>141</v>
      </c>
      <c r="D134" s="4">
        <v>24.0</v>
      </c>
      <c r="E134" s="4">
        <v>6.362178053E9</v>
      </c>
      <c r="F134" s="3"/>
      <c r="G134" s="3"/>
      <c r="H134" s="3"/>
      <c r="I134" s="3"/>
      <c r="J134" s="3"/>
      <c r="K134" s="3"/>
      <c r="L134" s="2"/>
      <c r="M134" s="2"/>
      <c r="N134" s="2"/>
      <c r="O134" s="2"/>
      <c r="P134" s="2"/>
      <c r="Q134" s="2"/>
      <c r="R134" s="2"/>
    </row>
    <row r="135">
      <c r="A135" s="3" t="s">
        <v>7</v>
      </c>
      <c r="B135" s="4">
        <v>147.0</v>
      </c>
      <c r="C135" s="3" t="s">
        <v>142</v>
      </c>
      <c r="D135" s="4">
        <v>18.0</v>
      </c>
      <c r="E135" s="4">
        <v>8.629924442E9</v>
      </c>
      <c r="F135" s="3"/>
      <c r="G135" s="3"/>
      <c r="H135" s="3"/>
      <c r="I135" s="3"/>
      <c r="J135" s="3"/>
      <c r="K135" s="3"/>
      <c r="L135" s="2"/>
      <c r="M135" s="2"/>
      <c r="N135" s="2"/>
      <c r="O135" s="2"/>
      <c r="P135" s="2"/>
      <c r="Q135" s="2"/>
      <c r="R135" s="2"/>
    </row>
    <row r="136">
      <c r="A136" s="3" t="s">
        <v>9</v>
      </c>
      <c r="B136" s="4">
        <v>148.0</v>
      </c>
      <c r="C136" s="3" t="s">
        <v>143</v>
      </c>
      <c r="D136" s="4">
        <v>18.0</v>
      </c>
      <c r="E136" s="4">
        <v>8.92811204E9</v>
      </c>
      <c r="F136" s="3"/>
      <c r="G136" s="3"/>
      <c r="H136" s="3"/>
      <c r="I136" s="3"/>
      <c r="J136" s="3"/>
      <c r="K136" s="3"/>
      <c r="L136" s="2"/>
      <c r="M136" s="2"/>
      <c r="N136" s="2"/>
      <c r="O136" s="2"/>
      <c r="P136" s="2"/>
      <c r="Q136" s="2"/>
      <c r="R136" s="2"/>
    </row>
    <row r="137">
      <c r="A137" s="3" t="s">
        <v>11</v>
      </c>
      <c r="B137" s="4">
        <v>149.0</v>
      </c>
      <c r="C137" s="3" t="s">
        <v>144</v>
      </c>
      <c r="D137" s="4">
        <v>25.0</v>
      </c>
      <c r="E137" s="4">
        <v>7.229078357E9</v>
      </c>
      <c r="F137" s="3"/>
      <c r="G137" s="3"/>
      <c r="H137" s="3"/>
      <c r="I137" s="3"/>
      <c r="J137" s="3"/>
      <c r="K137" s="3"/>
      <c r="L137" s="2"/>
      <c r="M137" s="2"/>
      <c r="N137" s="2"/>
      <c r="O137" s="2"/>
      <c r="P137" s="2"/>
      <c r="Q137" s="2"/>
      <c r="R137" s="2"/>
    </row>
    <row r="138">
      <c r="A138" s="3" t="s">
        <v>13</v>
      </c>
      <c r="B138" s="4">
        <v>150.0</v>
      </c>
      <c r="C138" s="3" t="s">
        <v>145</v>
      </c>
      <c r="D138" s="4">
        <v>24.0</v>
      </c>
      <c r="E138" s="4">
        <v>9.307470864E9</v>
      </c>
      <c r="F138" s="3"/>
      <c r="G138" s="3"/>
      <c r="H138" s="3"/>
      <c r="I138" s="3"/>
      <c r="J138" s="3"/>
      <c r="K138" s="3"/>
      <c r="L138" s="2"/>
      <c r="M138" s="2"/>
      <c r="N138" s="2"/>
      <c r="O138" s="2"/>
      <c r="P138" s="2"/>
      <c r="Q138" s="2"/>
      <c r="R138" s="2"/>
    </row>
    <row r="139">
      <c r="A139" s="3" t="s">
        <v>5</v>
      </c>
      <c r="B139" s="4">
        <v>151.0</v>
      </c>
      <c r="C139" s="3" t="s">
        <v>146</v>
      </c>
      <c r="D139" s="3"/>
      <c r="E139" s="4">
        <v>9.945530782E9</v>
      </c>
      <c r="F139" s="3"/>
      <c r="G139" s="3"/>
      <c r="H139" s="3"/>
      <c r="I139" s="3"/>
      <c r="J139" s="3"/>
      <c r="K139" s="3"/>
      <c r="L139" s="2"/>
      <c r="M139" s="2"/>
      <c r="N139" s="2"/>
      <c r="O139" s="2"/>
      <c r="P139" s="2"/>
      <c r="Q139" s="2"/>
      <c r="R139" s="2"/>
    </row>
    <row r="140">
      <c r="A140" s="3" t="s">
        <v>7</v>
      </c>
      <c r="B140" s="4">
        <v>152.0</v>
      </c>
      <c r="C140" s="6" t="s">
        <v>147</v>
      </c>
      <c r="D140" s="7">
        <v>23.0</v>
      </c>
      <c r="E140" s="7">
        <v>8.32948411E9</v>
      </c>
      <c r="F140" s="3"/>
      <c r="G140" s="3"/>
      <c r="H140" s="3"/>
      <c r="I140" s="3"/>
      <c r="J140" s="3"/>
      <c r="K140" s="3"/>
      <c r="L140" s="2"/>
      <c r="M140" s="2"/>
      <c r="N140" s="2"/>
      <c r="O140" s="2"/>
      <c r="P140" s="2"/>
      <c r="Q140" s="2"/>
      <c r="R140" s="2"/>
    </row>
    <row r="141">
      <c r="A141" s="3" t="s">
        <v>9</v>
      </c>
      <c r="B141" s="4">
        <v>153.0</v>
      </c>
      <c r="C141" s="3" t="s">
        <v>148</v>
      </c>
      <c r="D141" s="4">
        <v>19.0</v>
      </c>
      <c r="E141" s="4">
        <v>7.738816905E9</v>
      </c>
      <c r="F141" s="3"/>
      <c r="G141" s="3"/>
      <c r="H141" s="3"/>
      <c r="I141" s="3"/>
      <c r="J141" s="3"/>
      <c r="K141" s="3"/>
      <c r="L141" s="2"/>
      <c r="M141" s="2"/>
      <c r="N141" s="2"/>
      <c r="O141" s="2"/>
      <c r="P141" s="2"/>
      <c r="Q141" s="2"/>
      <c r="R141" s="2"/>
    </row>
    <row r="142">
      <c r="A142" s="3" t="s">
        <v>11</v>
      </c>
      <c r="B142" s="4">
        <v>154.0</v>
      </c>
      <c r="C142" s="3" t="s">
        <v>149</v>
      </c>
      <c r="D142" s="4">
        <v>20.0</v>
      </c>
      <c r="E142" s="4">
        <v>7.620017594E9</v>
      </c>
      <c r="F142" s="3"/>
      <c r="G142" s="3"/>
      <c r="H142" s="3"/>
      <c r="I142" s="3"/>
      <c r="J142" s="3"/>
      <c r="K142" s="3"/>
      <c r="L142" s="2"/>
      <c r="M142" s="2"/>
      <c r="N142" s="2"/>
      <c r="O142" s="2"/>
      <c r="P142" s="2"/>
      <c r="Q142" s="2"/>
      <c r="R142" s="2"/>
    </row>
    <row r="143">
      <c r="A143" s="3" t="s">
        <v>13</v>
      </c>
      <c r="B143" s="4">
        <v>155.0</v>
      </c>
      <c r="C143" s="3" t="s">
        <v>150</v>
      </c>
      <c r="D143" s="4">
        <v>16.0</v>
      </c>
      <c r="E143" s="4">
        <v>6.359088721E9</v>
      </c>
      <c r="F143" s="3"/>
      <c r="G143" s="3"/>
      <c r="H143" s="3"/>
      <c r="I143" s="3"/>
      <c r="J143" s="3"/>
      <c r="K143" s="3"/>
      <c r="L143" s="2"/>
      <c r="M143" s="2"/>
      <c r="N143" s="2"/>
      <c r="O143" s="2"/>
      <c r="P143" s="2"/>
      <c r="Q143" s="2"/>
      <c r="R143" s="2"/>
    </row>
    <row r="144">
      <c r="A144" s="3" t="s">
        <v>5</v>
      </c>
      <c r="B144" s="4">
        <v>156.0</v>
      </c>
      <c r="C144" s="3" t="s">
        <v>151</v>
      </c>
      <c r="D144" s="4">
        <v>20.0</v>
      </c>
      <c r="E144" s="4">
        <v>7.058720481E9</v>
      </c>
      <c r="F144" s="3"/>
      <c r="G144" s="3"/>
      <c r="H144" s="3"/>
      <c r="I144" s="3"/>
      <c r="J144" s="3"/>
      <c r="K144" s="3"/>
      <c r="L144" s="2"/>
      <c r="M144" s="2"/>
      <c r="N144" s="2"/>
      <c r="O144" s="2"/>
      <c r="P144" s="2"/>
      <c r="Q144" s="2"/>
      <c r="R144" s="2"/>
    </row>
    <row r="145">
      <c r="A145" s="3" t="s">
        <v>7</v>
      </c>
      <c r="B145" s="4">
        <v>157.0</v>
      </c>
      <c r="C145" s="3" t="s">
        <v>152</v>
      </c>
      <c r="D145" s="4">
        <v>18.0</v>
      </c>
      <c r="E145" s="4">
        <v>9.529152039E9</v>
      </c>
      <c r="F145" s="3"/>
      <c r="G145" s="3"/>
      <c r="H145" s="3"/>
      <c r="I145" s="3"/>
      <c r="J145" s="3"/>
      <c r="K145" s="3"/>
      <c r="L145" s="2"/>
      <c r="M145" s="2"/>
      <c r="N145" s="2"/>
      <c r="O145" s="2"/>
      <c r="P145" s="2"/>
      <c r="Q145" s="2"/>
      <c r="R145" s="2"/>
    </row>
    <row r="146">
      <c r="A146" s="3" t="s">
        <v>9</v>
      </c>
      <c r="B146" s="4">
        <v>158.0</v>
      </c>
      <c r="C146" s="3" t="s">
        <v>153</v>
      </c>
      <c r="D146" s="4">
        <v>18.0</v>
      </c>
      <c r="E146" s="4">
        <v>9.819472008E9</v>
      </c>
      <c r="F146" s="3"/>
      <c r="G146" s="3"/>
      <c r="H146" s="3"/>
      <c r="I146" s="3"/>
      <c r="J146" s="3"/>
      <c r="K146" s="3"/>
      <c r="L146" s="2"/>
      <c r="M146" s="2"/>
      <c r="N146" s="2"/>
      <c r="O146" s="2"/>
      <c r="P146" s="2"/>
      <c r="Q146" s="2"/>
      <c r="R146" s="2"/>
    </row>
    <row r="147">
      <c r="A147" s="3" t="s">
        <v>11</v>
      </c>
      <c r="B147" s="4">
        <v>159.0</v>
      </c>
      <c r="C147" s="3" t="s">
        <v>154</v>
      </c>
      <c r="D147" s="4">
        <v>34.0</v>
      </c>
      <c r="E147" s="4">
        <v>9.665767408E9</v>
      </c>
      <c r="F147" s="3"/>
      <c r="G147" s="3"/>
      <c r="H147" s="3"/>
      <c r="I147" s="3"/>
      <c r="J147" s="3"/>
      <c r="K147" s="3"/>
      <c r="L147" s="2"/>
      <c r="M147" s="2"/>
      <c r="N147" s="2"/>
      <c r="O147" s="2"/>
      <c r="P147" s="2"/>
      <c r="Q147" s="2"/>
      <c r="R147" s="2"/>
    </row>
    <row r="148">
      <c r="A148" s="3" t="s">
        <v>13</v>
      </c>
      <c r="B148" s="4">
        <v>160.0</v>
      </c>
      <c r="C148" s="3" t="s">
        <v>155</v>
      </c>
      <c r="D148" s="4">
        <v>25.0</v>
      </c>
      <c r="E148" s="4">
        <v>7.697747478E9</v>
      </c>
      <c r="F148" s="3"/>
      <c r="G148" s="3"/>
      <c r="H148" s="3"/>
      <c r="I148" s="3"/>
      <c r="J148" s="3"/>
      <c r="K148" s="3"/>
      <c r="L148" s="2"/>
      <c r="M148" s="2"/>
      <c r="N148" s="2"/>
      <c r="O148" s="2"/>
      <c r="P148" s="2"/>
      <c r="Q148" s="2"/>
      <c r="R148" s="2"/>
    </row>
    <row r="149">
      <c r="A149" s="3" t="s">
        <v>5</v>
      </c>
      <c r="B149" s="4">
        <v>161.0</v>
      </c>
      <c r="C149" s="3" t="s">
        <v>156</v>
      </c>
      <c r="D149" s="4">
        <v>25.0</v>
      </c>
      <c r="E149" s="4">
        <v>7.413946654E9</v>
      </c>
      <c r="F149" s="3"/>
      <c r="G149" s="3"/>
      <c r="H149" s="3"/>
      <c r="I149" s="3"/>
      <c r="J149" s="3"/>
      <c r="K149" s="3"/>
      <c r="L149" s="2"/>
      <c r="M149" s="2"/>
      <c r="N149" s="2"/>
      <c r="O149" s="2"/>
      <c r="P149" s="2"/>
      <c r="Q149" s="2"/>
      <c r="R149" s="2"/>
    </row>
    <row r="150">
      <c r="A150" s="3" t="s">
        <v>9</v>
      </c>
      <c r="B150" s="4">
        <v>163.0</v>
      </c>
      <c r="C150" s="6" t="s">
        <v>157</v>
      </c>
      <c r="D150" s="3"/>
      <c r="E150" s="7">
        <v>9.429920123E9</v>
      </c>
      <c r="F150" s="3"/>
      <c r="G150" s="3"/>
      <c r="H150" s="3"/>
      <c r="I150" s="3"/>
      <c r="J150" s="3"/>
      <c r="K150" s="3"/>
      <c r="L150" s="2"/>
      <c r="M150" s="2"/>
      <c r="N150" s="2"/>
      <c r="O150" s="2"/>
      <c r="P150" s="2"/>
      <c r="Q150" s="2"/>
      <c r="R150" s="2"/>
    </row>
    <row r="151">
      <c r="A151" s="3" t="s">
        <v>11</v>
      </c>
      <c r="B151" s="4">
        <v>164.0</v>
      </c>
      <c r="C151" s="3" t="s">
        <v>158</v>
      </c>
      <c r="D151" s="4">
        <v>20.0</v>
      </c>
      <c r="E151" s="4">
        <v>9.967843292E9</v>
      </c>
      <c r="F151" s="3"/>
      <c r="G151" s="3"/>
      <c r="H151" s="3"/>
      <c r="I151" s="3"/>
      <c r="J151" s="3"/>
      <c r="K151" s="3"/>
      <c r="L151" s="2"/>
      <c r="M151" s="2"/>
      <c r="N151" s="2"/>
      <c r="O151" s="2"/>
      <c r="P151" s="2"/>
      <c r="Q151" s="2"/>
      <c r="R151" s="2"/>
    </row>
    <row r="152">
      <c r="A152" s="3" t="s">
        <v>5</v>
      </c>
      <c r="B152" s="4">
        <v>166.0</v>
      </c>
      <c r="C152" s="3" t="s">
        <v>159</v>
      </c>
      <c r="D152" s="4">
        <v>20.0</v>
      </c>
      <c r="E152" s="4">
        <v>8.225804777E9</v>
      </c>
      <c r="F152" s="3"/>
      <c r="G152" s="3"/>
      <c r="H152" s="3"/>
      <c r="I152" s="3"/>
      <c r="J152" s="3"/>
      <c r="K152" s="3"/>
      <c r="L152" s="2"/>
      <c r="M152" s="2"/>
      <c r="N152" s="2"/>
      <c r="O152" s="2"/>
      <c r="P152" s="2"/>
      <c r="Q152" s="2"/>
      <c r="R152" s="2"/>
    </row>
    <row r="153">
      <c r="A153" s="3" t="s">
        <v>7</v>
      </c>
      <c r="B153" s="4">
        <v>167.0</v>
      </c>
      <c r="C153" s="3" t="s">
        <v>160</v>
      </c>
      <c r="D153" s="4">
        <v>25.0</v>
      </c>
      <c r="E153" s="4">
        <v>8.056449801E9</v>
      </c>
      <c r="F153" s="3"/>
      <c r="G153" s="3"/>
      <c r="H153" s="3"/>
      <c r="I153" s="3"/>
      <c r="J153" s="3"/>
      <c r="K153" s="3"/>
      <c r="L153" s="2"/>
      <c r="M153" s="2"/>
      <c r="N153" s="2"/>
      <c r="O153" s="2"/>
      <c r="P153" s="2"/>
      <c r="Q153" s="2"/>
      <c r="R153" s="2"/>
    </row>
    <row r="154">
      <c r="A154" s="3" t="s">
        <v>9</v>
      </c>
      <c r="B154" s="4">
        <v>168.0</v>
      </c>
      <c r="C154" s="3" t="s">
        <v>161</v>
      </c>
      <c r="D154" s="4">
        <v>17.0</v>
      </c>
      <c r="E154" s="4">
        <v>7.228962277E9</v>
      </c>
      <c r="F154" s="3"/>
      <c r="G154" s="3"/>
      <c r="H154" s="3"/>
      <c r="I154" s="3"/>
      <c r="J154" s="3"/>
      <c r="K154" s="3"/>
      <c r="L154" s="2"/>
      <c r="M154" s="2"/>
      <c r="N154" s="2"/>
      <c r="O154" s="2"/>
      <c r="P154" s="2"/>
      <c r="Q154" s="2"/>
      <c r="R154" s="2"/>
    </row>
    <row r="155">
      <c r="A155" s="3" t="s">
        <v>11</v>
      </c>
      <c r="B155" s="4">
        <v>169.0</v>
      </c>
      <c r="C155" s="6" t="s">
        <v>162</v>
      </c>
      <c r="D155" s="7">
        <v>17.0</v>
      </c>
      <c r="E155" s="7">
        <v>9.424074711E9</v>
      </c>
      <c r="F155" s="3"/>
      <c r="G155" s="3"/>
      <c r="H155" s="3"/>
      <c r="I155" s="3"/>
      <c r="J155" s="3"/>
      <c r="K155" s="3"/>
      <c r="L155" s="2"/>
      <c r="M155" s="2"/>
      <c r="N155" s="2"/>
      <c r="O155" s="2"/>
      <c r="P155" s="2"/>
      <c r="Q155" s="2"/>
      <c r="R155" s="2"/>
    </row>
    <row r="156">
      <c r="A156" s="3" t="s">
        <v>5</v>
      </c>
      <c r="B156" s="4">
        <v>171.0</v>
      </c>
      <c r="C156" s="3" t="s">
        <v>163</v>
      </c>
      <c r="D156" s="4">
        <v>28.0</v>
      </c>
      <c r="E156" s="4">
        <v>8.286244587E9</v>
      </c>
      <c r="F156" s="3"/>
      <c r="G156" s="3"/>
      <c r="H156" s="3"/>
      <c r="I156" s="3"/>
      <c r="J156" s="3"/>
      <c r="K156" s="3"/>
      <c r="L156" s="2"/>
      <c r="M156" s="2"/>
      <c r="N156" s="2"/>
      <c r="O156" s="2"/>
      <c r="P156" s="2"/>
      <c r="Q156" s="2"/>
      <c r="R156" s="2"/>
    </row>
    <row r="157">
      <c r="A157" s="3" t="s">
        <v>7</v>
      </c>
      <c r="B157" s="4">
        <v>172.0</v>
      </c>
      <c r="C157" s="3" t="s">
        <v>164</v>
      </c>
      <c r="D157" s="4">
        <v>33.0</v>
      </c>
      <c r="E157" s="4">
        <v>9.980645101E9</v>
      </c>
      <c r="F157" s="3"/>
      <c r="G157" s="3"/>
      <c r="H157" s="3"/>
      <c r="I157" s="3"/>
      <c r="J157" s="3"/>
      <c r="K157" s="3"/>
      <c r="L157" s="2"/>
      <c r="M157" s="2"/>
      <c r="N157" s="2"/>
      <c r="O157" s="2"/>
      <c r="P157" s="2"/>
      <c r="Q157" s="2"/>
      <c r="R157" s="2"/>
    </row>
    <row r="158">
      <c r="A158" s="3" t="s">
        <v>11</v>
      </c>
      <c r="B158" s="4">
        <v>174.0</v>
      </c>
      <c r="C158" s="3" t="s">
        <v>165</v>
      </c>
      <c r="D158" s="4">
        <v>17.0</v>
      </c>
      <c r="E158" s="4">
        <v>9.4606688E9</v>
      </c>
      <c r="F158" s="3"/>
      <c r="G158" s="3"/>
      <c r="H158" s="3"/>
      <c r="I158" s="3"/>
      <c r="J158" s="3"/>
      <c r="K158" s="3"/>
      <c r="L158" s="2"/>
      <c r="M158" s="2"/>
      <c r="N158" s="2"/>
      <c r="O158" s="2"/>
      <c r="P158" s="2"/>
      <c r="Q158" s="2"/>
      <c r="R158" s="2"/>
    </row>
    <row r="159">
      <c r="A159" s="3" t="s">
        <v>13</v>
      </c>
      <c r="B159" s="4">
        <v>175.0</v>
      </c>
      <c r="C159" s="3" t="s">
        <v>166</v>
      </c>
      <c r="D159" s="4">
        <v>23.0</v>
      </c>
      <c r="E159" s="4">
        <v>9.285005008E9</v>
      </c>
      <c r="F159" s="3"/>
      <c r="G159" s="3"/>
      <c r="H159" s="3"/>
      <c r="I159" s="3"/>
      <c r="J159" s="3"/>
      <c r="K159" s="3"/>
      <c r="L159" s="2"/>
      <c r="M159" s="2"/>
      <c r="N159" s="2"/>
      <c r="O159" s="2"/>
      <c r="P159" s="2"/>
      <c r="Q159" s="2"/>
      <c r="R159" s="2"/>
    </row>
    <row r="160">
      <c r="A160" s="3" t="s">
        <v>5</v>
      </c>
      <c r="B160" s="4">
        <v>176.0</v>
      </c>
      <c r="C160" s="3" t="s">
        <v>167</v>
      </c>
      <c r="D160" s="4">
        <v>22.0</v>
      </c>
      <c r="E160" s="4">
        <v>8.839176432E9</v>
      </c>
      <c r="F160" s="3"/>
      <c r="G160" s="3"/>
      <c r="H160" s="3"/>
      <c r="I160" s="3"/>
      <c r="J160" s="3"/>
      <c r="K160" s="3"/>
      <c r="L160" s="2"/>
      <c r="M160" s="2"/>
      <c r="N160" s="2"/>
      <c r="O160" s="2"/>
      <c r="P160" s="2"/>
      <c r="Q160" s="2"/>
      <c r="R160" s="2"/>
    </row>
    <row r="161">
      <c r="A161" s="3" t="s">
        <v>7</v>
      </c>
      <c r="B161" s="4">
        <v>177.0</v>
      </c>
      <c r="C161" s="6" t="s">
        <v>168</v>
      </c>
      <c r="D161" s="7">
        <v>21.0</v>
      </c>
      <c r="E161" s="7">
        <v>8.169751698E9</v>
      </c>
      <c r="F161" s="3"/>
      <c r="G161" s="3"/>
      <c r="H161" s="3"/>
      <c r="I161" s="3"/>
      <c r="J161" s="3"/>
      <c r="K161" s="3"/>
      <c r="L161" s="2"/>
      <c r="M161" s="2"/>
      <c r="N161" s="2"/>
      <c r="O161" s="2"/>
      <c r="P161" s="2"/>
      <c r="Q161" s="2"/>
      <c r="R161" s="2"/>
    </row>
    <row r="162">
      <c r="A162" s="3" t="s">
        <v>9</v>
      </c>
      <c r="B162" s="4">
        <v>178.0</v>
      </c>
      <c r="C162" s="6" t="s">
        <v>169</v>
      </c>
      <c r="D162" s="7">
        <v>22.0</v>
      </c>
      <c r="E162" s="7">
        <v>9.819737336E9</v>
      </c>
      <c r="F162" s="3"/>
      <c r="G162" s="3"/>
      <c r="H162" s="3"/>
      <c r="I162" s="3"/>
      <c r="J162" s="3"/>
      <c r="K162" s="3"/>
      <c r="L162" s="2"/>
      <c r="M162" s="2"/>
      <c r="N162" s="2"/>
      <c r="O162" s="2"/>
      <c r="P162" s="2"/>
      <c r="Q162" s="2"/>
      <c r="R162" s="2"/>
    </row>
    <row r="163">
      <c r="A163" s="3" t="s">
        <v>13</v>
      </c>
      <c r="B163" s="4">
        <v>180.0</v>
      </c>
      <c r="C163" s="3" t="s">
        <v>170</v>
      </c>
      <c r="D163" s="4">
        <v>19.0</v>
      </c>
      <c r="E163" s="4">
        <v>9.109826847E9</v>
      </c>
      <c r="F163" s="3"/>
      <c r="G163" s="3"/>
      <c r="H163" s="3"/>
      <c r="I163" s="3"/>
      <c r="J163" s="3"/>
      <c r="K163" s="3"/>
      <c r="L163" s="2"/>
      <c r="M163" s="2"/>
      <c r="N163" s="2"/>
      <c r="O163" s="2"/>
      <c r="P163" s="2"/>
      <c r="Q163" s="2"/>
      <c r="R163" s="2"/>
    </row>
    <row r="164">
      <c r="A164" s="3" t="s">
        <v>5</v>
      </c>
      <c r="B164" s="4">
        <v>181.0</v>
      </c>
      <c r="C164" s="3" t="s">
        <v>171</v>
      </c>
      <c r="D164" s="4">
        <v>20.0</v>
      </c>
      <c r="E164" s="4">
        <v>9.372229011E9</v>
      </c>
      <c r="F164" s="3"/>
      <c r="G164" s="3"/>
      <c r="H164" s="3"/>
      <c r="I164" s="3"/>
      <c r="J164" s="3"/>
      <c r="K164" s="3"/>
      <c r="L164" s="2"/>
      <c r="M164" s="2"/>
      <c r="N164" s="2"/>
      <c r="O164" s="2"/>
      <c r="P164" s="2"/>
      <c r="Q164" s="2"/>
      <c r="R164" s="2"/>
    </row>
    <row r="165">
      <c r="A165" s="3" t="s">
        <v>7</v>
      </c>
      <c r="B165" s="4">
        <v>182.0</v>
      </c>
      <c r="C165" s="3" t="s">
        <v>172</v>
      </c>
      <c r="D165" s="4">
        <v>19.0</v>
      </c>
      <c r="E165" s="4">
        <v>7.689081757E9</v>
      </c>
      <c r="F165" s="3"/>
      <c r="G165" s="3"/>
      <c r="H165" s="3"/>
      <c r="I165" s="3"/>
      <c r="J165" s="3"/>
      <c r="K165" s="3"/>
      <c r="L165" s="2"/>
      <c r="M165" s="2"/>
      <c r="N165" s="2"/>
      <c r="O165" s="2"/>
      <c r="P165" s="2"/>
      <c r="Q165" s="2"/>
      <c r="R165" s="2"/>
    </row>
    <row r="166">
      <c r="A166" s="3" t="s">
        <v>9</v>
      </c>
      <c r="B166" s="4">
        <v>183.0</v>
      </c>
      <c r="C166" s="3" t="s">
        <v>173</v>
      </c>
      <c r="D166" s="4">
        <v>17.0</v>
      </c>
      <c r="E166" s="4">
        <v>8.856895656E9</v>
      </c>
      <c r="F166" s="3"/>
      <c r="G166" s="3"/>
      <c r="H166" s="3"/>
      <c r="I166" s="3"/>
      <c r="J166" s="3"/>
      <c r="K166" s="3"/>
      <c r="L166" s="2"/>
      <c r="M166" s="2"/>
      <c r="N166" s="2"/>
      <c r="O166" s="2"/>
      <c r="P166" s="2"/>
      <c r="Q166" s="2"/>
      <c r="R166" s="2"/>
    </row>
    <row r="167">
      <c r="A167" s="3" t="s">
        <v>11</v>
      </c>
      <c r="B167" s="4">
        <v>184.0</v>
      </c>
      <c r="C167" s="3" t="s">
        <v>174</v>
      </c>
      <c r="D167" s="4">
        <v>21.0</v>
      </c>
      <c r="E167" s="4">
        <v>8.169403778E9</v>
      </c>
      <c r="F167" s="3"/>
      <c r="G167" s="3"/>
      <c r="H167" s="3"/>
      <c r="I167" s="3"/>
      <c r="J167" s="3"/>
      <c r="K167" s="3"/>
      <c r="L167" s="2"/>
      <c r="M167" s="2"/>
      <c r="N167" s="2"/>
      <c r="O167" s="2"/>
      <c r="P167" s="2"/>
      <c r="Q167" s="2"/>
      <c r="R167" s="2"/>
    </row>
    <row r="168">
      <c r="A168" s="3" t="s">
        <v>13</v>
      </c>
      <c r="B168" s="4">
        <v>185.0</v>
      </c>
      <c r="C168" s="6" t="s">
        <v>175</v>
      </c>
      <c r="D168" s="7">
        <v>40.0</v>
      </c>
      <c r="E168" s="7">
        <v>9.422000402E9</v>
      </c>
      <c r="F168" s="3"/>
      <c r="G168" s="3"/>
      <c r="H168" s="3"/>
      <c r="I168" s="3"/>
      <c r="J168" s="3"/>
      <c r="K168" s="3"/>
      <c r="L168" s="2"/>
      <c r="M168" s="2"/>
      <c r="N168" s="2"/>
      <c r="O168" s="2"/>
      <c r="P168" s="2"/>
      <c r="Q168" s="2"/>
      <c r="R168" s="2"/>
    </row>
    <row r="169">
      <c r="A169" s="3" t="s">
        <v>5</v>
      </c>
      <c r="B169" s="4">
        <v>186.0</v>
      </c>
      <c r="C169" s="6" t="s">
        <v>176</v>
      </c>
      <c r="D169" s="7">
        <v>33.0</v>
      </c>
      <c r="E169" s="7">
        <v>9.738343055E9</v>
      </c>
      <c r="F169" s="3"/>
      <c r="G169" s="3"/>
      <c r="H169" s="3"/>
      <c r="I169" s="3"/>
      <c r="J169" s="3"/>
      <c r="K169" s="3"/>
      <c r="L169" s="2"/>
      <c r="M169" s="2"/>
      <c r="N169" s="2"/>
      <c r="O169" s="2"/>
      <c r="P169" s="2"/>
      <c r="Q169" s="2"/>
      <c r="R169" s="2"/>
    </row>
    <row r="170">
      <c r="A170" s="3" t="s">
        <v>7</v>
      </c>
      <c r="B170" s="4">
        <v>187.0</v>
      </c>
      <c r="C170" s="3" t="s">
        <v>177</v>
      </c>
      <c r="D170" s="4">
        <v>24.0</v>
      </c>
      <c r="E170" s="4">
        <v>9.982934658E9</v>
      </c>
      <c r="F170" s="3"/>
      <c r="G170" s="3"/>
      <c r="H170" s="3"/>
      <c r="I170" s="3"/>
      <c r="J170" s="3"/>
      <c r="K170" s="3"/>
      <c r="L170" s="2"/>
      <c r="M170" s="2"/>
      <c r="N170" s="2"/>
      <c r="O170" s="2"/>
      <c r="P170" s="2"/>
      <c r="Q170" s="2"/>
      <c r="R170" s="2"/>
    </row>
    <row r="171">
      <c r="A171" s="3" t="s">
        <v>9</v>
      </c>
      <c r="B171" s="4">
        <v>188.0</v>
      </c>
      <c r="C171" s="3" t="s">
        <v>178</v>
      </c>
      <c r="D171" s="4">
        <v>18.0</v>
      </c>
      <c r="E171" s="4">
        <v>7.887796678E9</v>
      </c>
      <c r="F171" s="3"/>
      <c r="G171" s="3"/>
      <c r="H171" s="3"/>
      <c r="I171" s="3"/>
      <c r="J171" s="3"/>
      <c r="K171" s="3"/>
      <c r="L171" s="2"/>
      <c r="M171" s="2"/>
      <c r="N171" s="2"/>
      <c r="O171" s="2"/>
      <c r="P171" s="2"/>
      <c r="Q171" s="2"/>
      <c r="R171" s="2"/>
    </row>
    <row r="172">
      <c r="A172" s="3" t="s">
        <v>13</v>
      </c>
      <c r="B172" s="4">
        <v>190.0</v>
      </c>
      <c r="C172" s="3" t="s">
        <v>179</v>
      </c>
      <c r="D172" s="4">
        <v>13.0</v>
      </c>
      <c r="E172" s="4">
        <v>8.103428286E9</v>
      </c>
      <c r="F172" s="3"/>
      <c r="G172" s="3"/>
      <c r="H172" s="3"/>
      <c r="I172" s="3"/>
      <c r="J172" s="3"/>
      <c r="K172" s="3"/>
      <c r="L172" s="2"/>
      <c r="M172" s="2"/>
      <c r="N172" s="2"/>
      <c r="O172" s="2"/>
      <c r="P172" s="2"/>
      <c r="Q172" s="2"/>
      <c r="R172" s="2"/>
    </row>
    <row r="173">
      <c r="A173" s="3" t="s">
        <v>5</v>
      </c>
      <c r="B173" s="4">
        <v>191.0</v>
      </c>
      <c r="C173" s="3" t="s">
        <v>180</v>
      </c>
      <c r="D173" s="4">
        <v>17.0</v>
      </c>
      <c r="E173" s="4">
        <v>9.399228362E9</v>
      </c>
      <c r="F173" s="3"/>
      <c r="G173" s="3"/>
      <c r="H173" s="3"/>
      <c r="I173" s="3"/>
      <c r="J173" s="3"/>
      <c r="K173" s="3"/>
      <c r="L173" s="2"/>
      <c r="M173" s="2"/>
      <c r="N173" s="2"/>
      <c r="O173" s="2"/>
      <c r="P173" s="2"/>
      <c r="Q173" s="2"/>
      <c r="R173" s="2"/>
    </row>
    <row r="174">
      <c r="A174" s="3" t="s">
        <v>9</v>
      </c>
      <c r="B174" s="4">
        <v>193.0</v>
      </c>
      <c r="C174" s="3" t="s">
        <v>181</v>
      </c>
      <c r="D174" s="4">
        <v>24.0</v>
      </c>
      <c r="E174" s="4">
        <v>8.767975517E9</v>
      </c>
      <c r="F174" s="3"/>
      <c r="G174" s="3"/>
      <c r="H174" s="3"/>
      <c r="I174" s="3"/>
      <c r="J174" s="3"/>
      <c r="K174" s="3"/>
      <c r="L174" s="2"/>
      <c r="M174" s="2"/>
      <c r="N174" s="2"/>
      <c r="O174" s="2"/>
      <c r="P174" s="2"/>
      <c r="Q174" s="2"/>
      <c r="R174" s="2"/>
    </row>
    <row r="175">
      <c r="A175" s="3" t="s">
        <v>11</v>
      </c>
      <c r="B175" s="4">
        <v>194.0</v>
      </c>
      <c r="C175" s="3" t="s">
        <v>182</v>
      </c>
      <c r="D175" s="4">
        <v>24.0</v>
      </c>
      <c r="E175" s="4">
        <v>7.423036666E9</v>
      </c>
      <c r="F175" s="3"/>
      <c r="G175" s="3"/>
      <c r="H175" s="3"/>
      <c r="I175" s="3"/>
      <c r="J175" s="3"/>
      <c r="K175" s="3"/>
      <c r="L175" s="2"/>
      <c r="M175" s="2"/>
      <c r="N175" s="2"/>
      <c r="O175" s="2"/>
      <c r="P175" s="2"/>
      <c r="Q175" s="2"/>
      <c r="R175" s="2"/>
    </row>
    <row r="176">
      <c r="A176" s="3" t="s">
        <v>5</v>
      </c>
      <c r="B176" s="4">
        <v>196.0</v>
      </c>
      <c r="C176" s="3" t="s">
        <v>183</v>
      </c>
      <c r="D176" s="4">
        <v>33.0</v>
      </c>
      <c r="E176" s="4">
        <v>8.349591261E9</v>
      </c>
      <c r="F176" s="3"/>
      <c r="G176" s="3"/>
      <c r="H176" s="3"/>
      <c r="I176" s="3"/>
      <c r="J176" s="3"/>
      <c r="K176" s="3"/>
      <c r="L176" s="2"/>
      <c r="M176" s="2"/>
      <c r="N176" s="2"/>
      <c r="O176" s="2"/>
      <c r="P176" s="2"/>
      <c r="Q176" s="2"/>
      <c r="R176" s="2"/>
    </row>
    <row r="177">
      <c r="A177" s="3" t="s">
        <v>7</v>
      </c>
      <c r="B177" s="4">
        <v>197.0</v>
      </c>
      <c r="C177" s="3" t="s">
        <v>184</v>
      </c>
      <c r="D177" s="4">
        <v>21.0</v>
      </c>
      <c r="E177" s="47" t="s">
        <v>426</v>
      </c>
      <c r="F177" s="3"/>
      <c r="G177" s="3"/>
      <c r="H177" s="3"/>
      <c r="I177" s="3"/>
      <c r="J177" s="3"/>
      <c r="K177" s="3"/>
      <c r="L177" s="2"/>
      <c r="M177" s="2"/>
      <c r="N177" s="2"/>
      <c r="O177" s="2"/>
      <c r="P177" s="2"/>
      <c r="Q177" s="2"/>
      <c r="R177" s="2"/>
    </row>
    <row r="178">
      <c r="A178" s="3" t="s">
        <v>9</v>
      </c>
      <c r="B178" s="4">
        <v>198.0</v>
      </c>
      <c r="C178" s="3" t="s">
        <v>185</v>
      </c>
      <c r="D178" s="4">
        <v>22.0</v>
      </c>
      <c r="E178" s="4">
        <v>7.74404619E9</v>
      </c>
      <c r="F178" s="3"/>
      <c r="G178" s="3"/>
      <c r="H178" s="3"/>
      <c r="I178" s="3"/>
      <c r="J178" s="3"/>
      <c r="K178" s="3"/>
      <c r="L178" s="2"/>
      <c r="M178" s="2"/>
      <c r="N178" s="2"/>
      <c r="O178" s="2"/>
      <c r="P178" s="2"/>
      <c r="Q178" s="2"/>
      <c r="R178" s="2"/>
    </row>
    <row r="179">
      <c r="A179" s="3" t="s">
        <v>5</v>
      </c>
      <c r="B179" s="4">
        <v>201.0</v>
      </c>
      <c r="C179" s="3" t="s">
        <v>186</v>
      </c>
      <c r="D179" s="4">
        <v>19.0</v>
      </c>
      <c r="E179" s="4">
        <v>9.136789084E9</v>
      </c>
      <c r="F179" s="3"/>
      <c r="G179" s="3"/>
      <c r="H179" s="3"/>
      <c r="I179" s="3"/>
      <c r="J179" s="3"/>
      <c r="K179" s="3"/>
      <c r="L179" s="2"/>
      <c r="M179" s="2"/>
      <c r="N179" s="2"/>
      <c r="O179" s="2"/>
      <c r="P179" s="2"/>
      <c r="Q179" s="2"/>
      <c r="R179" s="2"/>
    </row>
    <row r="180">
      <c r="A180" s="3" t="s">
        <v>7</v>
      </c>
      <c r="B180" s="4">
        <v>202.0</v>
      </c>
      <c r="C180" s="16" t="s">
        <v>187</v>
      </c>
      <c r="D180" s="17"/>
      <c r="E180" s="18">
        <v>9.009040175E9</v>
      </c>
      <c r="F180" s="3"/>
      <c r="G180" s="3"/>
      <c r="H180" s="3"/>
      <c r="I180" s="3"/>
      <c r="J180" s="3"/>
      <c r="K180" s="3"/>
      <c r="L180" s="2"/>
      <c r="M180" s="2"/>
      <c r="N180" s="2"/>
      <c r="O180" s="2"/>
      <c r="P180" s="2"/>
      <c r="Q180" s="2"/>
      <c r="R180" s="2"/>
    </row>
    <row r="181">
      <c r="A181" s="3" t="s">
        <v>9</v>
      </c>
      <c r="B181" s="4">
        <v>203.0</v>
      </c>
      <c r="C181" s="3" t="s">
        <v>188</v>
      </c>
      <c r="D181" s="4">
        <v>30.0</v>
      </c>
      <c r="E181" s="4">
        <v>9.172296681E9</v>
      </c>
      <c r="F181" s="3"/>
      <c r="G181" s="3"/>
      <c r="H181" s="3"/>
      <c r="I181" s="3"/>
      <c r="J181" s="3"/>
      <c r="K181" s="3"/>
      <c r="L181" s="2"/>
      <c r="M181" s="2"/>
      <c r="N181" s="2"/>
      <c r="O181" s="2"/>
      <c r="P181" s="2"/>
      <c r="Q181" s="2"/>
      <c r="R181" s="2"/>
    </row>
    <row r="182">
      <c r="A182" s="3" t="s">
        <v>11</v>
      </c>
      <c r="B182" s="4">
        <v>204.0</v>
      </c>
      <c r="C182" s="6" t="s">
        <v>189</v>
      </c>
      <c r="D182" s="7">
        <v>20.0</v>
      </c>
      <c r="E182" s="7">
        <v>8.421782349E9</v>
      </c>
      <c r="F182" s="3"/>
      <c r="G182" s="3"/>
      <c r="H182" s="3"/>
      <c r="I182" s="3"/>
      <c r="J182" s="3"/>
      <c r="K182" s="3"/>
      <c r="L182" s="2"/>
      <c r="M182" s="2"/>
      <c r="N182" s="2"/>
      <c r="O182" s="2"/>
      <c r="P182" s="2"/>
      <c r="Q182" s="2"/>
      <c r="R182" s="2"/>
    </row>
    <row r="183">
      <c r="A183" s="3" t="s">
        <v>13</v>
      </c>
      <c r="B183" s="4">
        <v>205.0</v>
      </c>
      <c r="C183" s="3" t="s">
        <v>190</v>
      </c>
      <c r="D183" s="4">
        <v>35.0</v>
      </c>
      <c r="E183" s="4">
        <v>8.767004495E9</v>
      </c>
      <c r="F183" s="3"/>
      <c r="G183" s="3"/>
      <c r="H183" s="3"/>
      <c r="I183" s="3"/>
      <c r="J183" s="3"/>
      <c r="K183" s="3"/>
      <c r="L183" s="2"/>
      <c r="M183" s="2"/>
      <c r="N183" s="2"/>
      <c r="O183" s="2"/>
      <c r="P183" s="2"/>
      <c r="Q183" s="2"/>
      <c r="R183" s="2"/>
    </row>
    <row r="184">
      <c r="A184" s="3" t="s">
        <v>7</v>
      </c>
      <c r="B184" s="4">
        <v>207.0</v>
      </c>
      <c r="C184" s="3" t="s">
        <v>191</v>
      </c>
      <c r="D184" s="4">
        <v>21.0</v>
      </c>
      <c r="E184" s="4">
        <v>9.731333555E9</v>
      </c>
      <c r="F184" s="3"/>
      <c r="G184" s="3"/>
      <c r="H184" s="3"/>
      <c r="I184" s="3"/>
      <c r="J184" s="3"/>
      <c r="K184" s="3"/>
      <c r="L184" s="2"/>
      <c r="M184" s="2"/>
      <c r="N184" s="2"/>
      <c r="O184" s="2"/>
      <c r="P184" s="2"/>
      <c r="Q184" s="2"/>
      <c r="R184" s="2"/>
    </row>
    <row r="185">
      <c r="A185" s="3" t="s">
        <v>9</v>
      </c>
      <c r="B185" s="4">
        <v>208.0</v>
      </c>
      <c r="C185" s="3" t="s">
        <v>192</v>
      </c>
      <c r="D185" s="4">
        <v>20.0</v>
      </c>
      <c r="E185" s="4">
        <v>8.369875958E9</v>
      </c>
      <c r="F185" s="3"/>
      <c r="G185" s="3"/>
      <c r="H185" s="3"/>
      <c r="I185" s="3"/>
      <c r="J185" s="3"/>
      <c r="K185" s="3"/>
      <c r="L185" s="2"/>
      <c r="M185" s="2"/>
      <c r="N185" s="2"/>
      <c r="O185" s="2"/>
      <c r="P185" s="2"/>
      <c r="Q185" s="2"/>
      <c r="R185" s="2"/>
    </row>
    <row r="186">
      <c r="A186" s="3" t="s">
        <v>11</v>
      </c>
      <c r="B186" s="4">
        <v>209.0</v>
      </c>
      <c r="C186" s="3" t="s">
        <v>193</v>
      </c>
      <c r="D186" s="4">
        <v>22.0</v>
      </c>
      <c r="E186" s="4">
        <v>9.405322004E9</v>
      </c>
      <c r="F186" s="3"/>
      <c r="G186" s="3"/>
      <c r="H186" s="3"/>
      <c r="I186" s="3"/>
      <c r="J186" s="3"/>
      <c r="K186" s="3"/>
      <c r="L186" s="2"/>
      <c r="M186" s="2"/>
      <c r="N186" s="2"/>
      <c r="O186" s="2"/>
      <c r="P186" s="2"/>
      <c r="Q186" s="2"/>
      <c r="R186" s="2"/>
    </row>
    <row r="187">
      <c r="A187" s="3" t="s">
        <v>5</v>
      </c>
      <c r="B187" s="4">
        <v>211.0</v>
      </c>
      <c r="C187" s="6" t="s">
        <v>194</v>
      </c>
      <c r="D187" s="7">
        <v>18.0</v>
      </c>
      <c r="E187" s="7">
        <v>9.699984598E9</v>
      </c>
      <c r="F187" s="3"/>
      <c r="G187" s="3"/>
      <c r="H187" s="3"/>
      <c r="I187" s="3"/>
      <c r="J187" s="3"/>
      <c r="K187" s="3"/>
      <c r="L187" s="2"/>
      <c r="M187" s="2"/>
      <c r="N187" s="2"/>
      <c r="O187" s="2"/>
      <c r="P187" s="2"/>
      <c r="Q187" s="2"/>
      <c r="R187" s="2"/>
    </row>
    <row r="188">
      <c r="A188" s="3" t="s">
        <v>7</v>
      </c>
      <c r="B188" s="4">
        <v>212.0</v>
      </c>
      <c r="C188" s="3" t="s">
        <v>195</v>
      </c>
      <c r="D188" s="4">
        <v>18.0</v>
      </c>
      <c r="E188" s="4">
        <v>8.9997857E9</v>
      </c>
      <c r="F188" s="3"/>
      <c r="G188" s="3"/>
      <c r="H188" s="3"/>
      <c r="I188" s="3"/>
      <c r="J188" s="3"/>
      <c r="K188" s="3"/>
      <c r="L188" s="2"/>
      <c r="M188" s="2"/>
      <c r="N188" s="2"/>
      <c r="O188" s="2"/>
      <c r="P188" s="2"/>
      <c r="Q188" s="2"/>
      <c r="R188" s="2"/>
    </row>
    <row r="189">
      <c r="A189" s="3" t="s">
        <v>9</v>
      </c>
      <c r="B189" s="4">
        <v>213.0</v>
      </c>
      <c r="C189" s="3" t="s">
        <v>196</v>
      </c>
      <c r="D189" s="4">
        <v>33.0</v>
      </c>
      <c r="E189" s="4">
        <v>7.000918318E9</v>
      </c>
      <c r="F189" s="3"/>
      <c r="G189" s="3"/>
      <c r="H189" s="3"/>
      <c r="I189" s="3"/>
      <c r="J189" s="3"/>
      <c r="K189" s="3"/>
      <c r="L189" s="2"/>
      <c r="M189" s="2"/>
      <c r="N189" s="2"/>
      <c r="O189" s="2"/>
      <c r="P189" s="2"/>
      <c r="Q189" s="2"/>
      <c r="R189" s="2"/>
    </row>
    <row r="190">
      <c r="A190" s="3" t="s">
        <v>11</v>
      </c>
      <c r="B190" s="4">
        <v>214.0</v>
      </c>
      <c r="C190" s="3" t="s">
        <v>197</v>
      </c>
      <c r="D190" s="4">
        <v>25.0</v>
      </c>
      <c r="E190" s="4">
        <v>7.04660537E9</v>
      </c>
      <c r="F190" s="3"/>
      <c r="G190" s="3"/>
      <c r="H190" s="3"/>
      <c r="I190" s="3"/>
      <c r="J190" s="3"/>
      <c r="K190" s="3"/>
      <c r="L190" s="2"/>
      <c r="M190" s="2"/>
      <c r="N190" s="2"/>
      <c r="O190" s="2"/>
      <c r="P190" s="2"/>
      <c r="Q190" s="2"/>
      <c r="R190" s="2"/>
    </row>
    <row r="191">
      <c r="A191" s="3" t="s">
        <v>13</v>
      </c>
      <c r="B191" s="4">
        <v>215.0</v>
      </c>
      <c r="C191" s="3" t="s">
        <v>198</v>
      </c>
      <c r="D191" s="4">
        <v>42.0</v>
      </c>
      <c r="E191" s="4">
        <v>9.726707723E9</v>
      </c>
      <c r="F191" s="3"/>
      <c r="G191" s="3"/>
      <c r="H191" s="3"/>
      <c r="I191" s="3"/>
      <c r="J191" s="3"/>
      <c r="K191" s="3"/>
      <c r="L191" s="2"/>
      <c r="M191" s="2"/>
      <c r="N191" s="2"/>
      <c r="O191" s="2"/>
      <c r="P191" s="2"/>
      <c r="Q191" s="2"/>
      <c r="R191" s="2"/>
    </row>
    <row r="192">
      <c r="A192" s="3" t="s">
        <v>5</v>
      </c>
      <c r="B192" s="4">
        <v>216.0</v>
      </c>
      <c r="C192" s="3" t="s">
        <v>199</v>
      </c>
      <c r="D192" s="4">
        <v>28.0</v>
      </c>
      <c r="E192" s="4">
        <v>7.715926559E9</v>
      </c>
      <c r="F192" s="3"/>
      <c r="G192" s="3"/>
      <c r="H192" s="3"/>
      <c r="I192" s="3"/>
      <c r="J192" s="3"/>
      <c r="K192" s="3"/>
      <c r="L192" s="2"/>
      <c r="M192" s="2"/>
      <c r="N192" s="2"/>
      <c r="O192" s="2"/>
      <c r="P192" s="2"/>
      <c r="Q192" s="2"/>
      <c r="R192" s="2"/>
    </row>
    <row r="193">
      <c r="A193" s="3" t="s">
        <v>7</v>
      </c>
      <c r="B193" s="4">
        <v>217.0</v>
      </c>
      <c r="C193" s="6" t="s">
        <v>200</v>
      </c>
      <c r="D193" s="7">
        <v>21.0</v>
      </c>
      <c r="E193" s="7">
        <v>9.511278842E9</v>
      </c>
      <c r="F193" s="3"/>
      <c r="G193" s="3"/>
      <c r="H193" s="3"/>
      <c r="I193" s="3"/>
      <c r="J193" s="3"/>
      <c r="K193" s="3"/>
      <c r="L193" s="2"/>
      <c r="M193" s="2"/>
      <c r="N193" s="2"/>
      <c r="O193" s="2"/>
      <c r="P193" s="2"/>
      <c r="Q193" s="2"/>
      <c r="R193" s="2"/>
    </row>
    <row r="194">
      <c r="A194" s="3" t="s">
        <v>9</v>
      </c>
      <c r="B194" s="4">
        <v>218.0</v>
      </c>
      <c r="C194" s="19" t="s">
        <v>201</v>
      </c>
      <c r="D194" s="15">
        <v>25.0</v>
      </c>
      <c r="E194" s="15">
        <v>7.083896232E9</v>
      </c>
      <c r="F194" s="17"/>
      <c r="G194" s="17"/>
      <c r="H194" s="17"/>
      <c r="I194" s="17"/>
      <c r="J194" s="17"/>
      <c r="K194" s="20"/>
      <c r="L194" s="2"/>
      <c r="M194" s="2"/>
      <c r="N194" s="2"/>
      <c r="O194" s="2"/>
      <c r="P194" s="2"/>
      <c r="Q194" s="2"/>
      <c r="R194" s="2"/>
    </row>
    <row r="195">
      <c r="A195" s="3" t="s">
        <v>11</v>
      </c>
      <c r="B195" s="4">
        <v>219.0</v>
      </c>
      <c r="C195" s="21" t="s">
        <v>202</v>
      </c>
      <c r="D195" s="12">
        <v>25.0</v>
      </c>
      <c r="E195" s="12">
        <v>7.040073873E9</v>
      </c>
      <c r="F195" s="22"/>
      <c r="G195" s="22"/>
      <c r="H195" s="22"/>
      <c r="I195" s="22"/>
      <c r="J195" s="22"/>
      <c r="K195" s="23"/>
      <c r="L195" s="2"/>
      <c r="M195" s="2"/>
      <c r="N195" s="2"/>
      <c r="O195" s="2"/>
      <c r="P195" s="2"/>
      <c r="Q195" s="2"/>
      <c r="R195" s="2"/>
    </row>
    <row r="196">
      <c r="A196" s="3" t="s">
        <v>13</v>
      </c>
      <c r="B196" s="4">
        <v>220.0</v>
      </c>
      <c r="C196" s="3" t="s">
        <v>203</v>
      </c>
      <c r="D196" s="4">
        <v>32.0</v>
      </c>
      <c r="E196" s="4">
        <v>9.754227719E9</v>
      </c>
      <c r="F196" s="3"/>
      <c r="G196" s="3"/>
      <c r="H196" s="3"/>
      <c r="I196" s="3"/>
      <c r="J196" s="3"/>
      <c r="K196" s="3"/>
      <c r="L196" s="2"/>
      <c r="M196" s="2"/>
      <c r="N196" s="2"/>
      <c r="O196" s="2"/>
      <c r="P196" s="2"/>
      <c r="Q196" s="2"/>
      <c r="R196" s="2"/>
    </row>
    <row r="197">
      <c r="A197" s="3" t="s">
        <v>5</v>
      </c>
      <c r="B197" s="4">
        <v>221.0</v>
      </c>
      <c r="C197" s="3" t="s">
        <v>204</v>
      </c>
      <c r="D197" s="4">
        <v>24.0</v>
      </c>
      <c r="E197" s="4">
        <v>9.860455254E9</v>
      </c>
      <c r="F197" s="3"/>
      <c r="G197" s="3"/>
      <c r="H197" s="3"/>
      <c r="I197" s="3"/>
      <c r="J197" s="3"/>
      <c r="K197" s="3"/>
      <c r="L197" s="2"/>
      <c r="M197" s="2"/>
      <c r="N197" s="2"/>
      <c r="O197" s="2"/>
      <c r="P197" s="2"/>
      <c r="Q197" s="2"/>
      <c r="R197" s="2"/>
    </row>
    <row r="198">
      <c r="A198" s="3" t="s">
        <v>11</v>
      </c>
      <c r="B198" s="4">
        <v>224.0</v>
      </c>
      <c r="C198" s="3" t="s">
        <v>205</v>
      </c>
      <c r="D198" s="3"/>
      <c r="E198" s="4">
        <v>7.875193244E9</v>
      </c>
      <c r="F198" s="3"/>
      <c r="G198" s="3"/>
      <c r="H198" s="3"/>
      <c r="I198" s="3"/>
      <c r="J198" s="3"/>
      <c r="K198" s="3"/>
      <c r="L198" s="2"/>
      <c r="M198" s="2"/>
      <c r="N198" s="2"/>
      <c r="O198" s="2"/>
      <c r="P198" s="2"/>
      <c r="Q198" s="2"/>
      <c r="R198" s="2"/>
    </row>
    <row r="199">
      <c r="A199" s="3" t="s">
        <v>13</v>
      </c>
      <c r="B199" s="4">
        <v>225.0</v>
      </c>
      <c r="C199" s="3" t="s">
        <v>206</v>
      </c>
      <c r="D199" s="4">
        <v>19.0</v>
      </c>
      <c r="E199" s="4">
        <v>7.019265088E9</v>
      </c>
      <c r="F199" s="3"/>
      <c r="G199" s="3"/>
      <c r="H199" s="3"/>
      <c r="I199" s="3"/>
      <c r="J199" s="3"/>
      <c r="K199" s="3"/>
      <c r="L199" s="2"/>
      <c r="M199" s="2"/>
      <c r="N199" s="2"/>
      <c r="O199" s="2"/>
      <c r="P199" s="2"/>
      <c r="Q199" s="2"/>
      <c r="R199" s="2"/>
    </row>
    <row r="200">
      <c r="A200" s="3" t="s">
        <v>5</v>
      </c>
      <c r="B200" s="4">
        <v>226.0</v>
      </c>
      <c r="C200" s="3" t="s">
        <v>207</v>
      </c>
      <c r="D200" s="4">
        <v>17.0</v>
      </c>
      <c r="E200" s="4">
        <v>7.869533177E9</v>
      </c>
      <c r="F200" s="3"/>
      <c r="G200" s="3"/>
      <c r="H200" s="3"/>
      <c r="I200" s="3"/>
      <c r="J200" s="3"/>
      <c r="K200" s="3"/>
      <c r="L200" s="2"/>
      <c r="M200" s="2"/>
      <c r="N200" s="2"/>
      <c r="O200" s="2"/>
      <c r="P200" s="2"/>
      <c r="Q200" s="2"/>
      <c r="R200" s="2"/>
    </row>
    <row r="201">
      <c r="A201" s="3" t="s">
        <v>7</v>
      </c>
      <c r="B201" s="4">
        <v>227.0</v>
      </c>
      <c r="C201" s="3" t="s">
        <v>208</v>
      </c>
      <c r="D201" s="4">
        <v>22.0</v>
      </c>
      <c r="E201" s="4">
        <v>9.42684551E9</v>
      </c>
      <c r="F201" s="3"/>
      <c r="G201" s="3"/>
      <c r="H201" s="3"/>
      <c r="I201" s="3"/>
      <c r="J201" s="3"/>
      <c r="K201" s="3"/>
      <c r="L201" s="2"/>
      <c r="M201" s="2"/>
      <c r="N201" s="2"/>
      <c r="O201" s="2"/>
      <c r="P201" s="2"/>
      <c r="Q201" s="2"/>
      <c r="R201" s="2"/>
    </row>
    <row r="202">
      <c r="A202" s="3" t="s">
        <v>9</v>
      </c>
      <c r="B202" s="4">
        <v>228.0</v>
      </c>
      <c r="C202" s="3" t="s">
        <v>209</v>
      </c>
      <c r="D202" s="4">
        <v>27.0</v>
      </c>
      <c r="E202" s="4">
        <v>9.993388453E9</v>
      </c>
      <c r="F202" s="3"/>
      <c r="G202" s="3"/>
      <c r="H202" s="3"/>
      <c r="I202" s="3"/>
      <c r="J202" s="3"/>
      <c r="K202" s="3"/>
      <c r="L202" s="2"/>
      <c r="M202" s="2"/>
      <c r="N202" s="2"/>
      <c r="O202" s="2"/>
      <c r="P202" s="2"/>
      <c r="Q202" s="2"/>
      <c r="R202" s="2"/>
    </row>
    <row r="203">
      <c r="A203" s="3" t="s">
        <v>11</v>
      </c>
      <c r="B203" s="4">
        <v>229.0</v>
      </c>
      <c r="C203" s="3" t="s">
        <v>210</v>
      </c>
      <c r="D203" s="4">
        <v>18.0</v>
      </c>
      <c r="E203" s="4">
        <v>9.354307266E9</v>
      </c>
      <c r="F203" s="3"/>
      <c r="G203" s="3"/>
      <c r="H203" s="3"/>
      <c r="I203" s="3"/>
      <c r="J203" s="3"/>
      <c r="K203" s="3"/>
      <c r="L203" s="2"/>
      <c r="M203" s="2"/>
      <c r="N203" s="2"/>
      <c r="O203" s="2"/>
      <c r="P203" s="2"/>
      <c r="Q203" s="2"/>
      <c r="R203" s="2"/>
    </row>
    <row r="204">
      <c r="A204" s="3" t="s">
        <v>13</v>
      </c>
      <c r="B204" s="4">
        <v>230.0</v>
      </c>
      <c r="C204" s="6" t="s">
        <v>211</v>
      </c>
      <c r="D204" s="7">
        <v>27.0</v>
      </c>
      <c r="E204" s="7">
        <v>9.685063499E9</v>
      </c>
      <c r="F204" s="3"/>
      <c r="G204" s="3"/>
      <c r="H204" s="3"/>
      <c r="I204" s="3"/>
      <c r="J204" s="3"/>
      <c r="K204" s="3"/>
      <c r="L204" s="2"/>
      <c r="M204" s="2"/>
      <c r="N204" s="2"/>
      <c r="O204" s="2"/>
      <c r="P204" s="2"/>
      <c r="Q204" s="2"/>
      <c r="R204" s="2"/>
    </row>
    <row r="205">
      <c r="A205" s="3" t="s">
        <v>9</v>
      </c>
      <c r="B205" s="4">
        <v>233.0</v>
      </c>
      <c r="C205" s="3" t="s">
        <v>212</v>
      </c>
      <c r="D205" s="4">
        <v>25.0</v>
      </c>
      <c r="E205" s="4">
        <v>8.817613555E9</v>
      </c>
      <c r="F205" s="3"/>
      <c r="G205" s="3"/>
      <c r="H205" s="3"/>
      <c r="I205" s="3"/>
      <c r="J205" s="3"/>
      <c r="K205" s="3"/>
      <c r="L205" s="2"/>
      <c r="M205" s="2"/>
      <c r="N205" s="2"/>
      <c r="O205" s="2"/>
      <c r="P205" s="2"/>
      <c r="Q205" s="2"/>
      <c r="R205" s="2"/>
    </row>
    <row r="206">
      <c r="A206" s="3" t="s">
        <v>11</v>
      </c>
      <c r="B206" s="4">
        <v>234.0</v>
      </c>
      <c r="C206" s="21" t="s">
        <v>213</v>
      </c>
      <c r="D206" s="13">
        <v>20.0</v>
      </c>
      <c r="E206" s="13">
        <v>8.767145002E9</v>
      </c>
      <c r="F206" s="3"/>
      <c r="G206" s="3"/>
      <c r="H206" s="3"/>
      <c r="I206" s="3"/>
      <c r="J206" s="3"/>
      <c r="K206" s="3"/>
      <c r="L206" s="2"/>
      <c r="M206" s="2"/>
      <c r="N206" s="2"/>
      <c r="O206" s="2"/>
      <c r="P206" s="2"/>
      <c r="Q206" s="2"/>
      <c r="R206" s="2"/>
    </row>
    <row r="207">
      <c r="A207" s="3" t="s">
        <v>13</v>
      </c>
      <c r="B207" s="4">
        <v>235.0</v>
      </c>
      <c r="C207" s="24" t="s">
        <v>214</v>
      </c>
      <c r="D207" s="13">
        <v>19.0</v>
      </c>
      <c r="E207" s="13">
        <v>9.986219084E9</v>
      </c>
      <c r="F207" s="3"/>
      <c r="G207" s="3"/>
      <c r="H207" s="3"/>
      <c r="I207" s="3"/>
      <c r="J207" s="3"/>
      <c r="K207" s="3"/>
      <c r="L207" s="2"/>
      <c r="M207" s="2"/>
      <c r="N207" s="2"/>
      <c r="O207" s="2"/>
      <c r="P207" s="2"/>
      <c r="Q207" s="2"/>
      <c r="R207" s="2"/>
    </row>
    <row r="208">
      <c r="A208" s="3" t="s">
        <v>7</v>
      </c>
      <c r="B208" s="4">
        <v>237.0</v>
      </c>
      <c r="C208" s="6" t="s">
        <v>215</v>
      </c>
      <c r="D208" s="7">
        <v>31.0</v>
      </c>
      <c r="E208" s="7">
        <v>7.567015333E9</v>
      </c>
      <c r="F208" s="3"/>
      <c r="G208" s="3"/>
      <c r="H208" s="3"/>
      <c r="I208" s="3"/>
      <c r="J208" s="3"/>
      <c r="K208" s="3"/>
      <c r="L208" s="2"/>
      <c r="M208" s="2"/>
      <c r="N208" s="2"/>
      <c r="O208" s="2"/>
      <c r="P208" s="2"/>
      <c r="Q208" s="2"/>
      <c r="R208" s="2"/>
    </row>
    <row r="209">
      <c r="A209" s="3" t="s">
        <v>9</v>
      </c>
      <c r="B209" s="4">
        <v>238.0</v>
      </c>
      <c r="C209" s="19" t="s">
        <v>216</v>
      </c>
      <c r="D209" s="25">
        <v>20.0</v>
      </c>
      <c r="E209" s="25">
        <v>9.060229333E9</v>
      </c>
      <c r="F209" s="3"/>
      <c r="G209" s="3"/>
      <c r="H209" s="3"/>
      <c r="I209" s="3"/>
      <c r="J209" s="3"/>
      <c r="K209" s="3"/>
      <c r="L209" s="2"/>
      <c r="M209" s="2"/>
      <c r="N209" s="2"/>
      <c r="O209" s="2"/>
      <c r="P209" s="2"/>
      <c r="Q209" s="2"/>
      <c r="R209" s="2"/>
    </row>
    <row r="210">
      <c r="A210" s="3" t="s">
        <v>11</v>
      </c>
      <c r="B210" s="4">
        <v>239.0</v>
      </c>
      <c r="C210" s="21" t="s">
        <v>217</v>
      </c>
      <c r="D210" s="13">
        <v>18.0</v>
      </c>
      <c r="E210" s="13">
        <v>8.355807373E9</v>
      </c>
      <c r="F210" s="3"/>
      <c r="G210" s="3"/>
      <c r="H210" s="3"/>
      <c r="I210" s="3"/>
      <c r="J210" s="3"/>
      <c r="K210" s="3"/>
      <c r="L210" s="2"/>
      <c r="M210" s="2"/>
      <c r="N210" s="2"/>
      <c r="O210" s="2"/>
      <c r="P210" s="2"/>
      <c r="Q210" s="2"/>
      <c r="R210" s="2"/>
    </row>
    <row r="211">
      <c r="A211" s="3" t="s">
        <v>13</v>
      </c>
      <c r="B211" s="4">
        <v>240.0</v>
      </c>
      <c r="C211" s="19" t="s">
        <v>218</v>
      </c>
      <c r="D211" s="25">
        <v>21.0</v>
      </c>
      <c r="E211" s="25">
        <v>9.022206858E9</v>
      </c>
      <c r="F211" s="3"/>
      <c r="G211" s="3"/>
      <c r="H211" s="3"/>
      <c r="I211" s="3"/>
      <c r="J211" s="3"/>
      <c r="K211" s="3"/>
      <c r="L211" s="2"/>
      <c r="M211" s="2"/>
      <c r="N211" s="2"/>
      <c r="O211" s="2"/>
      <c r="P211" s="2"/>
      <c r="Q211" s="2"/>
      <c r="R211" s="2"/>
    </row>
    <row r="212">
      <c r="A212" s="3" t="s">
        <v>9</v>
      </c>
      <c r="B212" s="4">
        <v>243.0</v>
      </c>
      <c r="C212" s="24" t="s">
        <v>219</v>
      </c>
      <c r="D212" s="13">
        <v>26.0</v>
      </c>
      <c r="E212" s="13">
        <v>8.286996031E9</v>
      </c>
      <c r="F212" s="3"/>
      <c r="G212" s="3"/>
      <c r="H212" s="3"/>
      <c r="I212" s="3"/>
      <c r="J212" s="3"/>
      <c r="K212" s="3"/>
      <c r="L212" s="2"/>
      <c r="M212" s="2"/>
      <c r="N212" s="2"/>
      <c r="O212" s="2"/>
      <c r="P212" s="2"/>
      <c r="Q212" s="2"/>
      <c r="R212" s="2"/>
    </row>
    <row r="213">
      <c r="A213" s="3" t="s">
        <v>13</v>
      </c>
      <c r="B213" s="4">
        <v>245.0</v>
      </c>
      <c r="C213" s="3" t="s">
        <v>220</v>
      </c>
      <c r="D213" s="4">
        <v>33.0</v>
      </c>
      <c r="E213" s="4">
        <v>9.769429797E9</v>
      </c>
      <c r="F213" s="3"/>
      <c r="G213" s="3"/>
      <c r="H213" s="3"/>
      <c r="I213" s="3"/>
      <c r="J213" s="3"/>
      <c r="K213" s="3"/>
      <c r="L213" s="2"/>
      <c r="M213" s="2"/>
      <c r="N213" s="2"/>
      <c r="O213" s="2"/>
      <c r="P213" s="2"/>
      <c r="Q213" s="2"/>
      <c r="R213" s="2"/>
    </row>
    <row r="214">
      <c r="A214" s="3" t="s">
        <v>5</v>
      </c>
      <c r="B214" s="4">
        <v>246.0</v>
      </c>
      <c r="C214" s="3" t="s">
        <v>221</v>
      </c>
      <c r="D214" s="4">
        <v>21.0</v>
      </c>
      <c r="E214" s="4">
        <v>9.152261162E9</v>
      </c>
      <c r="F214" s="3"/>
      <c r="G214" s="3"/>
      <c r="H214" s="3"/>
      <c r="I214" s="3"/>
      <c r="J214" s="3"/>
      <c r="K214" s="3"/>
      <c r="L214" s="2"/>
      <c r="M214" s="2"/>
      <c r="N214" s="2"/>
      <c r="O214" s="2"/>
      <c r="P214" s="2"/>
      <c r="Q214" s="2"/>
      <c r="R214" s="2"/>
    </row>
    <row r="215">
      <c r="A215" s="3" t="s">
        <v>7</v>
      </c>
      <c r="B215" s="4">
        <v>247.0</v>
      </c>
      <c r="C215" s="24" t="s">
        <v>222</v>
      </c>
      <c r="D215" s="12">
        <v>17.0</v>
      </c>
      <c r="E215" s="12">
        <v>9.561687799E9</v>
      </c>
      <c r="F215" s="3"/>
      <c r="G215" s="3"/>
      <c r="H215" s="3"/>
      <c r="I215" s="3"/>
      <c r="J215" s="3"/>
      <c r="K215" s="3"/>
      <c r="L215" s="2"/>
      <c r="M215" s="2"/>
      <c r="N215" s="2"/>
      <c r="O215" s="2"/>
      <c r="P215" s="2"/>
      <c r="Q215" s="2"/>
      <c r="R215" s="2"/>
    </row>
    <row r="216">
      <c r="A216" s="3" t="s">
        <v>9</v>
      </c>
      <c r="B216" s="4">
        <v>248.0</v>
      </c>
      <c r="C216" s="3" t="s">
        <v>223</v>
      </c>
      <c r="D216" s="4">
        <v>24.0</v>
      </c>
      <c r="E216" s="4">
        <v>8.552885144E9</v>
      </c>
      <c r="F216" s="3"/>
      <c r="G216" s="3"/>
      <c r="H216" s="3"/>
      <c r="I216" s="3"/>
      <c r="J216" s="3"/>
      <c r="K216" s="3"/>
      <c r="L216" s="2"/>
      <c r="M216" s="2"/>
      <c r="N216" s="2"/>
      <c r="O216" s="2"/>
      <c r="P216" s="2"/>
      <c r="Q216" s="2"/>
      <c r="R216" s="2"/>
    </row>
    <row r="217">
      <c r="A217" s="3" t="s">
        <v>11</v>
      </c>
      <c r="B217" s="4">
        <v>249.0</v>
      </c>
      <c r="C217" s="3" t="s">
        <v>224</v>
      </c>
      <c r="D217" s="4">
        <v>22.0</v>
      </c>
      <c r="E217" s="4">
        <v>9.302487213E9</v>
      </c>
      <c r="F217" s="3"/>
      <c r="G217" s="3"/>
      <c r="H217" s="3"/>
      <c r="I217" s="3"/>
      <c r="J217" s="3"/>
      <c r="K217" s="3"/>
      <c r="L217" s="2"/>
      <c r="M217" s="2"/>
      <c r="N217" s="2"/>
      <c r="O217" s="2"/>
      <c r="P217" s="2"/>
      <c r="Q217" s="2"/>
      <c r="R217" s="2"/>
    </row>
    <row r="218">
      <c r="A218" s="3" t="s">
        <v>13</v>
      </c>
      <c r="B218" s="4">
        <v>250.0</v>
      </c>
      <c r="C218" s="6" t="s">
        <v>225</v>
      </c>
      <c r="D218" s="7">
        <v>35.0</v>
      </c>
      <c r="E218" s="7">
        <v>9.770738678E9</v>
      </c>
      <c r="F218" s="3"/>
      <c r="G218" s="3"/>
      <c r="H218" s="3"/>
      <c r="I218" s="3"/>
      <c r="J218" s="3"/>
      <c r="K218" s="3"/>
      <c r="L218" s="2"/>
      <c r="M218" s="2"/>
      <c r="N218" s="2"/>
      <c r="O218" s="2"/>
      <c r="P218" s="2"/>
      <c r="Q218" s="2"/>
      <c r="R218" s="2"/>
    </row>
    <row r="219">
      <c r="A219" s="3" t="s">
        <v>5</v>
      </c>
      <c r="B219" s="4">
        <v>251.0</v>
      </c>
      <c r="C219" s="3" t="s">
        <v>226</v>
      </c>
      <c r="D219" s="4">
        <v>30.0</v>
      </c>
      <c r="E219" s="47" t="s">
        <v>427</v>
      </c>
      <c r="F219" s="3"/>
      <c r="G219" s="3"/>
      <c r="H219" s="3"/>
      <c r="I219" s="3"/>
      <c r="J219" s="3"/>
      <c r="K219" s="3"/>
      <c r="L219" s="2"/>
      <c r="M219" s="2"/>
      <c r="N219" s="2"/>
      <c r="O219" s="2"/>
      <c r="P219" s="2"/>
      <c r="Q219" s="2"/>
      <c r="R219" s="2"/>
    </row>
    <row r="220">
      <c r="A220" s="3" t="s">
        <v>9</v>
      </c>
      <c r="B220" s="4">
        <v>253.0</v>
      </c>
      <c r="C220" s="21" t="s">
        <v>227</v>
      </c>
      <c r="D220" s="13">
        <v>20.0</v>
      </c>
      <c r="E220" s="13">
        <v>7.000712368E9</v>
      </c>
      <c r="F220" s="3"/>
      <c r="G220" s="3"/>
      <c r="H220" s="3"/>
      <c r="I220" s="3"/>
      <c r="J220" s="3"/>
      <c r="K220" s="3"/>
      <c r="L220" s="2"/>
      <c r="M220" s="2"/>
      <c r="N220" s="2"/>
      <c r="O220" s="2"/>
      <c r="P220" s="2"/>
      <c r="Q220" s="2"/>
      <c r="R220" s="2"/>
    </row>
    <row r="221">
      <c r="A221" s="3" t="s">
        <v>11</v>
      </c>
      <c r="B221" s="4">
        <v>254.0</v>
      </c>
      <c r="C221" s="21" t="s">
        <v>228</v>
      </c>
      <c r="D221" s="12">
        <v>24.0</v>
      </c>
      <c r="E221" s="12">
        <v>6.361911747E9</v>
      </c>
      <c r="F221" s="3"/>
      <c r="G221" s="3"/>
      <c r="H221" s="3"/>
      <c r="I221" s="3"/>
      <c r="J221" s="3"/>
      <c r="K221" s="3"/>
      <c r="L221" s="2"/>
      <c r="M221" s="2"/>
      <c r="N221" s="2"/>
      <c r="O221" s="2"/>
      <c r="P221" s="2"/>
      <c r="Q221" s="2"/>
      <c r="R221" s="2"/>
    </row>
    <row r="222">
      <c r="A222" s="3" t="s">
        <v>13</v>
      </c>
      <c r="B222" s="4">
        <v>255.0</v>
      </c>
      <c r="C222" s="21" t="s">
        <v>229</v>
      </c>
      <c r="D222" s="13">
        <v>23.0</v>
      </c>
      <c r="E222" s="13">
        <v>9.926008855E9</v>
      </c>
      <c r="F222" s="3"/>
      <c r="G222" s="3"/>
      <c r="H222" s="3"/>
      <c r="I222" s="3"/>
      <c r="J222" s="3"/>
      <c r="K222" s="3"/>
      <c r="L222" s="2"/>
      <c r="M222" s="2"/>
      <c r="N222" s="2"/>
      <c r="O222" s="2"/>
      <c r="P222" s="2"/>
      <c r="Q222" s="2"/>
      <c r="R222" s="2"/>
    </row>
    <row r="223">
      <c r="A223" s="3" t="s">
        <v>5</v>
      </c>
      <c r="B223" s="4">
        <v>256.0</v>
      </c>
      <c r="C223" s="21" t="s">
        <v>230</v>
      </c>
      <c r="D223" s="13">
        <v>21.0</v>
      </c>
      <c r="E223" s="13">
        <v>9.929552503E9</v>
      </c>
      <c r="F223" s="3"/>
      <c r="G223" s="3"/>
      <c r="H223" s="3"/>
      <c r="I223" s="3"/>
      <c r="J223" s="3"/>
      <c r="K223" s="3"/>
      <c r="L223" s="2"/>
      <c r="M223" s="2"/>
      <c r="N223" s="2"/>
      <c r="O223" s="2"/>
      <c r="P223" s="2"/>
      <c r="Q223" s="2"/>
      <c r="R223" s="2"/>
    </row>
    <row r="224">
      <c r="A224" s="2" t="s">
        <v>7</v>
      </c>
      <c r="B224" s="39">
        <v>257.0</v>
      </c>
      <c r="C224" s="26" t="s">
        <v>231</v>
      </c>
      <c r="D224" s="27">
        <v>20.0</v>
      </c>
      <c r="E224" s="27">
        <v>9.359465389E9</v>
      </c>
      <c r="F224" s="2"/>
      <c r="G224" s="2"/>
      <c r="H224" s="2"/>
      <c r="I224" s="2"/>
      <c r="J224" s="2"/>
      <c r="K224" s="2"/>
      <c r="L224" s="2"/>
      <c r="M224" s="2"/>
      <c r="N224" s="2"/>
      <c r="O224" s="2"/>
      <c r="P224" s="2"/>
      <c r="Q224" s="2"/>
      <c r="R224" s="2"/>
    </row>
    <row r="225">
      <c r="A225" s="2" t="s">
        <v>9</v>
      </c>
      <c r="B225" s="39">
        <v>258.0</v>
      </c>
      <c r="C225" s="26" t="s">
        <v>232</v>
      </c>
      <c r="D225" s="28">
        <v>19.0</v>
      </c>
      <c r="E225" s="28">
        <v>9.916265004E9</v>
      </c>
      <c r="F225" s="2"/>
      <c r="G225" s="2"/>
      <c r="H225" s="2"/>
      <c r="I225" s="2"/>
      <c r="J225" s="2"/>
      <c r="K225" s="2"/>
      <c r="L225" s="2"/>
      <c r="M225" s="2"/>
      <c r="N225" s="2"/>
      <c r="O225" s="2"/>
      <c r="P225" s="2"/>
      <c r="Q225" s="2"/>
      <c r="R225" s="2"/>
    </row>
    <row r="226">
      <c r="A226" s="3" t="s">
        <v>13</v>
      </c>
      <c r="B226" s="4">
        <v>260.0</v>
      </c>
      <c r="C226" s="3" t="s">
        <v>233</v>
      </c>
      <c r="D226" s="4">
        <v>42.0</v>
      </c>
      <c r="E226" s="4">
        <v>9.920666509E9</v>
      </c>
      <c r="F226" s="2"/>
      <c r="G226" s="2"/>
      <c r="H226" s="2"/>
      <c r="I226" s="2"/>
      <c r="J226" s="2"/>
      <c r="K226" s="2"/>
      <c r="L226" s="2"/>
      <c r="M226" s="2"/>
      <c r="N226" s="2"/>
      <c r="O226" s="2"/>
      <c r="P226" s="2"/>
      <c r="Q226" s="2"/>
      <c r="R226" s="2"/>
    </row>
    <row r="227">
      <c r="A227" s="3" t="s">
        <v>5</v>
      </c>
      <c r="B227" s="4">
        <v>261.0</v>
      </c>
      <c r="C227" s="3" t="s">
        <v>234</v>
      </c>
      <c r="D227" s="4">
        <v>23.0</v>
      </c>
      <c r="E227" s="4">
        <v>9.324764627E9</v>
      </c>
      <c r="F227" s="2"/>
      <c r="G227" s="2"/>
      <c r="H227" s="2"/>
      <c r="I227" s="2"/>
      <c r="J227" s="2"/>
      <c r="K227" s="2"/>
      <c r="L227" s="2"/>
      <c r="M227" s="2"/>
      <c r="N227" s="2"/>
      <c r="O227" s="2"/>
      <c r="P227" s="2"/>
      <c r="Q227" s="2"/>
      <c r="R227" s="2"/>
    </row>
    <row r="228">
      <c r="A228" s="3" t="s">
        <v>7</v>
      </c>
      <c r="B228" s="4">
        <v>262.0</v>
      </c>
      <c r="C228" s="3" t="s">
        <v>235</v>
      </c>
      <c r="D228" s="4">
        <v>18.0</v>
      </c>
      <c r="E228" s="4">
        <v>7.389599081E9</v>
      </c>
      <c r="F228" s="2"/>
      <c r="G228" s="2"/>
      <c r="H228" s="2"/>
      <c r="I228" s="2"/>
      <c r="J228" s="2"/>
      <c r="K228" s="2"/>
      <c r="L228" s="2"/>
      <c r="M228" s="2"/>
      <c r="N228" s="2"/>
      <c r="O228" s="2"/>
      <c r="P228" s="2"/>
      <c r="Q228" s="2"/>
      <c r="R228" s="2"/>
    </row>
    <row r="229">
      <c r="A229" s="3" t="s">
        <v>9</v>
      </c>
      <c r="B229" s="4">
        <v>263.0</v>
      </c>
      <c r="C229" s="3" t="s">
        <v>236</v>
      </c>
      <c r="D229" s="4">
        <v>18.0</v>
      </c>
      <c r="E229" s="4">
        <v>9.819352307E9</v>
      </c>
      <c r="F229" s="2"/>
      <c r="G229" s="2"/>
      <c r="H229" s="2"/>
      <c r="I229" s="2"/>
      <c r="J229" s="2"/>
      <c r="K229" s="2"/>
      <c r="L229" s="2"/>
      <c r="M229" s="2"/>
      <c r="N229" s="2"/>
      <c r="O229" s="2"/>
      <c r="P229" s="2"/>
      <c r="Q229" s="2"/>
      <c r="R229" s="2"/>
    </row>
    <row r="230">
      <c r="A230" s="3" t="s">
        <v>11</v>
      </c>
      <c r="B230" s="4">
        <v>264.0</v>
      </c>
      <c r="C230" s="3" t="s">
        <v>237</v>
      </c>
      <c r="D230" s="4">
        <v>14.0</v>
      </c>
      <c r="E230" s="4">
        <v>9.71291323E9</v>
      </c>
      <c r="F230" s="2"/>
      <c r="G230" s="2"/>
      <c r="H230" s="2"/>
      <c r="I230" s="2"/>
      <c r="J230" s="2"/>
      <c r="K230" s="2"/>
      <c r="L230" s="2"/>
      <c r="M230" s="2"/>
      <c r="N230" s="2"/>
      <c r="O230" s="2"/>
      <c r="P230" s="2"/>
      <c r="Q230" s="2"/>
      <c r="R230" s="2"/>
    </row>
    <row r="231">
      <c r="A231" s="2" t="s">
        <v>13</v>
      </c>
      <c r="B231" s="39">
        <v>265.0</v>
      </c>
      <c r="C231" s="29" t="s">
        <v>238</v>
      </c>
      <c r="D231" s="30"/>
      <c r="E231" s="31">
        <v>9.033392768E9</v>
      </c>
      <c r="F231" s="2"/>
      <c r="G231" s="2"/>
      <c r="H231" s="2"/>
      <c r="I231" s="2"/>
      <c r="J231" s="2"/>
      <c r="K231" s="2"/>
      <c r="L231" s="2"/>
      <c r="M231" s="2"/>
      <c r="N231" s="2"/>
      <c r="O231" s="2"/>
      <c r="P231" s="2"/>
      <c r="Q231" s="2"/>
      <c r="R231" s="2"/>
    </row>
    <row r="232">
      <c r="A232" s="2" t="s">
        <v>5</v>
      </c>
      <c r="B232" s="39">
        <v>266.0</v>
      </c>
      <c r="C232" s="26" t="s">
        <v>239</v>
      </c>
      <c r="D232" s="30" t="s">
        <v>428</v>
      </c>
      <c r="E232" s="27">
        <v>9.361730633E9</v>
      </c>
      <c r="F232" s="2"/>
      <c r="G232" s="2"/>
      <c r="H232" s="2"/>
      <c r="I232" s="2"/>
      <c r="J232" s="2"/>
      <c r="K232" s="2"/>
      <c r="L232" s="2"/>
      <c r="M232" s="2"/>
      <c r="N232" s="2"/>
      <c r="O232" s="2"/>
      <c r="P232" s="2"/>
      <c r="Q232" s="2"/>
      <c r="R232" s="2"/>
    </row>
    <row r="233">
      <c r="A233" s="2" t="s">
        <v>9</v>
      </c>
      <c r="B233" s="39">
        <v>268.0</v>
      </c>
      <c r="C233" s="26" t="s">
        <v>240</v>
      </c>
      <c r="D233" s="28">
        <v>18.0</v>
      </c>
      <c r="E233" s="28">
        <v>8.459287653E9</v>
      </c>
      <c r="F233" s="2"/>
      <c r="G233" s="2"/>
      <c r="H233" s="2"/>
      <c r="I233" s="2"/>
      <c r="J233" s="2"/>
      <c r="K233" s="2"/>
      <c r="L233" s="2"/>
      <c r="M233" s="2"/>
      <c r="N233" s="2"/>
      <c r="O233" s="2"/>
      <c r="P233" s="2"/>
      <c r="Q233" s="2"/>
      <c r="R233" s="2"/>
    </row>
    <row r="234">
      <c r="A234" s="2" t="s">
        <v>13</v>
      </c>
      <c r="B234" s="39">
        <v>270.0</v>
      </c>
      <c r="C234" s="33" t="s">
        <v>241</v>
      </c>
      <c r="D234" s="34">
        <v>28.0</v>
      </c>
      <c r="E234" s="34">
        <v>9.398411424E9</v>
      </c>
      <c r="F234" s="2"/>
      <c r="G234" s="2"/>
      <c r="H234" s="2"/>
      <c r="I234" s="2"/>
      <c r="J234" s="2"/>
      <c r="K234" s="2"/>
      <c r="L234" s="2"/>
      <c r="M234" s="2"/>
      <c r="N234" s="2"/>
      <c r="O234" s="2"/>
      <c r="P234" s="2"/>
      <c r="Q234" s="2"/>
      <c r="R234" s="2"/>
    </row>
    <row r="235">
      <c r="A235" s="3" t="s">
        <v>5</v>
      </c>
      <c r="B235" s="4">
        <v>271.0</v>
      </c>
      <c r="C235" s="6" t="s">
        <v>242</v>
      </c>
      <c r="D235" s="7">
        <v>25.0</v>
      </c>
      <c r="E235" s="7">
        <v>8.871263399E9</v>
      </c>
      <c r="F235" s="2"/>
      <c r="G235" s="2"/>
      <c r="H235" s="2"/>
      <c r="I235" s="2"/>
      <c r="J235" s="2"/>
      <c r="K235" s="2"/>
      <c r="L235" s="2"/>
      <c r="M235" s="2"/>
      <c r="N235" s="2"/>
      <c r="O235" s="2"/>
      <c r="P235" s="2"/>
      <c r="Q235" s="2"/>
      <c r="R235" s="2"/>
    </row>
    <row r="236">
      <c r="A236" s="3" t="s">
        <v>7</v>
      </c>
      <c r="B236" s="4">
        <v>272.0</v>
      </c>
      <c r="C236" s="6" t="s">
        <v>243</v>
      </c>
      <c r="D236" s="7">
        <v>20.0</v>
      </c>
      <c r="E236" s="7">
        <v>8.104201852E9</v>
      </c>
      <c r="F236" s="2"/>
      <c r="G236" s="2"/>
      <c r="H236" s="2"/>
      <c r="I236" s="2"/>
      <c r="J236" s="2"/>
      <c r="K236" s="2"/>
      <c r="L236" s="2"/>
      <c r="M236" s="2"/>
      <c r="N236" s="2"/>
      <c r="O236" s="2"/>
      <c r="P236" s="2"/>
      <c r="Q236" s="2"/>
      <c r="R236" s="2"/>
    </row>
    <row r="237">
      <c r="A237" s="3" t="s">
        <v>9</v>
      </c>
      <c r="B237" s="4">
        <v>273.0</v>
      </c>
      <c r="C237" s="6" t="s">
        <v>244</v>
      </c>
      <c r="D237" s="7">
        <v>32.0</v>
      </c>
      <c r="E237" s="7">
        <v>7.340063713E9</v>
      </c>
      <c r="F237" s="2"/>
      <c r="G237" s="2"/>
      <c r="H237" s="2"/>
      <c r="I237" s="2"/>
      <c r="J237" s="2"/>
      <c r="K237" s="2"/>
      <c r="L237" s="2"/>
      <c r="M237" s="2"/>
      <c r="N237" s="2"/>
      <c r="O237" s="2"/>
      <c r="P237" s="2"/>
      <c r="Q237" s="2"/>
      <c r="R237" s="2"/>
    </row>
    <row r="238">
      <c r="A238" s="3" t="s">
        <v>11</v>
      </c>
      <c r="B238" s="4">
        <v>274.0</v>
      </c>
      <c r="C238" s="3" t="s">
        <v>245</v>
      </c>
      <c r="D238" s="4">
        <v>22.0</v>
      </c>
      <c r="E238" s="4">
        <v>8.824063842E9</v>
      </c>
      <c r="F238" s="2"/>
      <c r="G238" s="2"/>
      <c r="H238" s="2"/>
      <c r="I238" s="2"/>
      <c r="J238" s="2"/>
      <c r="K238" s="2"/>
      <c r="L238" s="2"/>
      <c r="M238" s="2"/>
      <c r="N238" s="2"/>
      <c r="O238" s="2"/>
      <c r="P238" s="2"/>
      <c r="Q238" s="2"/>
      <c r="R238" s="2"/>
    </row>
    <row r="239">
      <c r="A239" s="3" t="s">
        <v>9</v>
      </c>
      <c r="B239" s="4">
        <v>278.0</v>
      </c>
      <c r="C239" s="3" t="s">
        <v>246</v>
      </c>
      <c r="D239" s="4">
        <v>25.0</v>
      </c>
      <c r="E239" s="4">
        <v>9.584333719E9</v>
      </c>
      <c r="F239" s="2"/>
      <c r="G239" s="2"/>
      <c r="H239" s="2"/>
      <c r="I239" s="2"/>
      <c r="J239" s="2"/>
      <c r="K239" s="2"/>
      <c r="L239" s="2"/>
      <c r="M239" s="2"/>
      <c r="N239" s="2"/>
      <c r="O239" s="2"/>
      <c r="P239" s="2"/>
      <c r="Q239" s="2"/>
      <c r="R239" s="2"/>
    </row>
    <row r="240">
      <c r="A240" s="3" t="s">
        <v>11</v>
      </c>
      <c r="B240" s="4">
        <v>279.0</v>
      </c>
      <c r="C240" s="3" t="s">
        <v>247</v>
      </c>
      <c r="D240" s="4">
        <v>20.0</v>
      </c>
      <c r="E240" s="4">
        <v>8.698399988E9</v>
      </c>
      <c r="F240" s="2"/>
      <c r="G240" s="2"/>
      <c r="H240" s="2"/>
      <c r="I240" s="2"/>
      <c r="J240" s="2"/>
      <c r="K240" s="2"/>
      <c r="L240" s="2"/>
      <c r="M240" s="2"/>
      <c r="N240" s="2"/>
      <c r="O240" s="2"/>
      <c r="P240" s="2"/>
      <c r="Q240" s="2"/>
      <c r="R240" s="2"/>
    </row>
    <row r="241">
      <c r="A241" s="3" t="s">
        <v>13</v>
      </c>
      <c r="B241" s="4">
        <v>280.0</v>
      </c>
      <c r="C241" s="6" t="s">
        <v>248</v>
      </c>
      <c r="D241" s="7">
        <v>18.0</v>
      </c>
      <c r="E241" s="7">
        <v>9.770826316E9</v>
      </c>
      <c r="F241" s="2"/>
      <c r="G241" s="2"/>
      <c r="H241" s="2"/>
      <c r="I241" s="2"/>
      <c r="J241" s="2"/>
      <c r="K241" s="2"/>
      <c r="L241" s="2"/>
      <c r="M241" s="2"/>
      <c r="N241" s="2"/>
      <c r="O241" s="2"/>
      <c r="P241" s="2"/>
      <c r="Q241" s="2"/>
      <c r="R241" s="2"/>
    </row>
    <row r="242">
      <c r="A242" s="3" t="s">
        <v>7</v>
      </c>
      <c r="B242" s="4">
        <v>282.0</v>
      </c>
      <c r="C242" s="3" t="s">
        <v>249</v>
      </c>
      <c r="D242" s="4">
        <v>23.0</v>
      </c>
      <c r="E242" s="4">
        <v>8.928452343E9</v>
      </c>
      <c r="F242" s="2"/>
      <c r="G242" s="2"/>
      <c r="H242" s="2"/>
      <c r="I242" s="2"/>
      <c r="J242" s="2"/>
      <c r="K242" s="2"/>
      <c r="L242" s="2"/>
      <c r="M242" s="2"/>
      <c r="N242" s="2"/>
      <c r="O242" s="2"/>
      <c r="P242" s="2"/>
      <c r="Q242" s="2"/>
      <c r="R242" s="2"/>
    </row>
    <row r="243">
      <c r="A243" s="3" t="s">
        <v>9</v>
      </c>
      <c r="B243" s="4">
        <v>283.0</v>
      </c>
      <c r="C243" s="3" t="s">
        <v>250</v>
      </c>
      <c r="D243" s="4">
        <v>24.0</v>
      </c>
      <c r="E243" s="4">
        <v>9.588044122E9</v>
      </c>
      <c r="F243" s="2"/>
      <c r="G243" s="2"/>
      <c r="H243" s="2"/>
      <c r="I243" s="2"/>
      <c r="J243" s="2"/>
      <c r="K243" s="2"/>
      <c r="L243" s="2"/>
      <c r="M243" s="2"/>
      <c r="N243" s="2"/>
      <c r="O243" s="2"/>
      <c r="P243" s="2"/>
      <c r="Q243" s="2"/>
      <c r="R243" s="2"/>
    </row>
    <row r="244">
      <c r="A244" s="3" t="s">
        <v>11</v>
      </c>
      <c r="B244" s="4">
        <v>284.0</v>
      </c>
      <c r="C244" s="3" t="s">
        <v>251</v>
      </c>
      <c r="D244" s="4">
        <v>22.0</v>
      </c>
      <c r="E244" s="4">
        <v>9.00475004E9</v>
      </c>
      <c r="F244" s="2"/>
      <c r="G244" s="2"/>
      <c r="H244" s="2"/>
      <c r="I244" s="2"/>
      <c r="J244" s="2"/>
      <c r="K244" s="2"/>
      <c r="L244" s="2"/>
      <c r="M244" s="2"/>
      <c r="N244" s="2"/>
      <c r="O244" s="2"/>
      <c r="P244" s="2"/>
      <c r="Q244" s="2"/>
      <c r="R244" s="2"/>
    </row>
    <row r="245">
      <c r="A245" s="3" t="s">
        <v>13</v>
      </c>
      <c r="B245" s="4">
        <v>285.0</v>
      </c>
      <c r="C245" s="35" t="s">
        <v>252</v>
      </c>
      <c r="D245" s="22"/>
      <c r="E245" s="36">
        <v>9.302903026E9</v>
      </c>
      <c r="F245" s="2"/>
      <c r="G245" s="2"/>
      <c r="H245" s="2"/>
      <c r="I245" s="2"/>
      <c r="J245" s="2"/>
      <c r="K245" s="2"/>
      <c r="L245" s="2"/>
      <c r="M245" s="2"/>
      <c r="N245" s="2"/>
      <c r="O245" s="2"/>
      <c r="P245" s="2"/>
      <c r="Q245" s="2"/>
      <c r="R245" s="2"/>
    </row>
    <row r="246">
      <c r="A246" s="3" t="s">
        <v>5</v>
      </c>
      <c r="B246" s="4">
        <v>286.0</v>
      </c>
      <c r="C246" s="21" t="s">
        <v>253</v>
      </c>
      <c r="D246" s="13">
        <v>23.0</v>
      </c>
      <c r="E246" s="13">
        <v>7.692870939E9</v>
      </c>
      <c r="F246" s="2"/>
      <c r="G246" s="2"/>
      <c r="H246" s="2"/>
      <c r="I246" s="2"/>
      <c r="J246" s="2"/>
      <c r="K246" s="2"/>
      <c r="L246" s="2"/>
      <c r="M246" s="2"/>
      <c r="N246" s="2"/>
      <c r="O246" s="2"/>
      <c r="P246" s="2"/>
      <c r="Q246" s="2"/>
      <c r="R246" s="2"/>
    </row>
    <row r="247">
      <c r="A247" s="3" t="s">
        <v>7</v>
      </c>
      <c r="B247" s="4">
        <v>287.0</v>
      </c>
      <c r="C247" s="3" t="s">
        <v>254</v>
      </c>
      <c r="D247" s="4">
        <v>27.0</v>
      </c>
      <c r="E247" s="4">
        <v>8.269817965E9</v>
      </c>
      <c r="F247" s="2"/>
      <c r="G247" s="2"/>
      <c r="H247" s="2"/>
      <c r="I247" s="2"/>
      <c r="J247" s="2"/>
      <c r="K247" s="2"/>
      <c r="L247" s="2"/>
      <c r="M247" s="2"/>
      <c r="N247" s="2"/>
      <c r="O247" s="2"/>
      <c r="P247" s="2"/>
      <c r="Q247" s="2"/>
      <c r="R247" s="2"/>
    </row>
    <row r="248">
      <c r="A248" s="3" t="s">
        <v>11</v>
      </c>
      <c r="B248" s="4">
        <v>289.0</v>
      </c>
      <c r="C248" s="14" t="s">
        <v>255</v>
      </c>
      <c r="D248" s="15">
        <v>18.0</v>
      </c>
      <c r="E248" s="15">
        <v>7.058530107E9</v>
      </c>
      <c r="F248" s="2"/>
      <c r="G248" s="2"/>
      <c r="H248" s="2"/>
      <c r="I248" s="2"/>
      <c r="J248" s="2"/>
      <c r="K248" s="2"/>
      <c r="L248" s="2"/>
      <c r="M248" s="2"/>
      <c r="N248" s="2"/>
      <c r="O248" s="2"/>
      <c r="P248" s="2"/>
      <c r="Q248" s="2"/>
      <c r="R248" s="2"/>
    </row>
    <row r="249">
      <c r="A249" s="3" t="s">
        <v>13</v>
      </c>
      <c r="B249" s="4">
        <v>290.0</v>
      </c>
      <c r="C249" s="3" t="s">
        <v>256</v>
      </c>
      <c r="D249" s="4">
        <v>40.0</v>
      </c>
      <c r="E249" s="4">
        <v>9.619224399E9</v>
      </c>
      <c r="F249" s="2"/>
      <c r="G249" s="2"/>
      <c r="H249" s="2"/>
      <c r="I249" s="2"/>
      <c r="J249" s="2"/>
      <c r="K249" s="2"/>
      <c r="L249" s="2"/>
      <c r="M249" s="2"/>
      <c r="N249" s="2"/>
      <c r="O249" s="2"/>
      <c r="P249" s="2"/>
      <c r="Q249" s="2"/>
      <c r="R249" s="2"/>
    </row>
    <row r="250">
      <c r="A250" s="3" t="s">
        <v>5</v>
      </c>
      <c r="B250" s="4">
        <v>291.0</v>
      </c>
      <c r="C250" s="14" t="s">
        <v>257</v>
      </c>
      <c r="D250" s="15">
        <v>25.0</v>
      </c>
      <c r="E250" s="15">
        <v>8.92801288E9</v>
      </c>
      <c r="F250" s="2"/>
      <c r="G250" s="2"/>
      <c r="H250" s="2"/>
      <c r="I250" s="2"/>
      <c r="J250" s="2"/>
      <c r="K250" s="2"/>
      <c r="L250" s="2"/>
      <c r="M250" s="2"/>
      <c r="N250" s="2"/>
      <c r="O250" s="2"/>
      <c r="P250" s="2"/>
      <c r="Q250" s="2"/>
      <c r="R250" s="2"/>
    </row>
    <row r="251">
      <c r="A251" s="3" t="s">
        <v>7</v>
      </c>
      <c r="B251" s="4">
        <v>292.0</v>
      </c>
      <c r="C251" s="21" t="s">
        <v>258</v>
      </c>
      <c r="D251" s="12">
        <v>26.0</v>
      </c>
      <c r="E251" s="12">
        <v>8.080352505E9</v>
      </c>
      <c r="F251" s="2"/>
      <c r="G251" s="2"/>
      <c r="H251" s="2"/>
      <c r="I251" s="2"/>
      <c r="J251" s="2"/>
      <c r="K251" s="2"/>
      <c r="L251" s="2"/>
      <c r="M251" s="2"/>
      <c r="N251" s="2"/>
      <c r="O251" s="2"/>
      <c r="P251" s="2"/>
      <c r="Q251" s="2"/>
      <c r="R251" s="2"/>
    </row>
    <row r="252">
      <c r="A252" s="3" t="s">
        <v>9</v>
      </c>
      <c r="B252" s="4">
        <v>293.0</v>
      </c>
      <c r="C252" s="21" t="s">
        <v>259</v>
      </c>
      <c r="D252" s="12">
        <v>33.0</v>
      </c>
      <c r="E252" s="12">
        <v>8.879768484E9</v>
      </c>
      <c r="F252" s="2"/>
      <c r="G252" s="2"/>
      <c r="H252" s="2"/>
      <c r="I252" s="2"/>
      <c r="J252" s="2"/>
      <c r="K252" s="2"/>
      <c r="L252" s="2"/>
      <c r="M252" s="2"/>
      <c r="N252" s="2"/>
      <c r="O252" s="2"/>
      <c r="P252" s="2"/>
      <c r="Q252" s="2"/>
      <c r="R252" s="2"/>
    </row>
    <row r="253">
      <c r="A253" s="3" t="s">
        <v>13</v>
      </c>
      <c r="B253" s="4">
        <v>295.0</v>
      </c>
      <c r="C253" s="21" t="s">
        <v>260</v>
      </c>
      <c r="D253" s="13">
        <v>22.0</v>
      </c>
      <c r="E253" s="13">
        <v>8.488813555E9</v>
      </c>
      <c r="F253" s="2"/>
      <c r="G253" s="2"/>
      <c r="H253" s="2"/>
      <c r="I253" s="2"/>
      <c r="J253" s="2"/>
      <c r="K253" s="2"/>
      <c r="L253" s="2"/>
      <c r="M253" s="2"/>
      <c r="N253" s="2"/>
      <c r="O253" s="2"/>
      <c r="P253" s="2"/>
      <c r="Q253" s="2"/>
      <c r="R253" s="2"/>
    </row>
    <row r="254">
      <c r="A254" s="3" t="s">
        <v>5</v>
      </c>
      <c r="B254" s="4">
        <v>296.0</v>
      </c>
      <c r="C254" s="24" t="s">
        <v>261</v>
      </c>
      <c r="D254" s="13">
        <v>22.0</v>
      </c>
      <c r="E254" s="13">
        <v>9.408412844E9</v>
      </c>
      <c r="F254" s="2"/>
      <c r="G254" s="2"/>
      <c r="H254" s="2"/>
      <c r="I254" s="2"/>
      <c r="J254" s="2"/>
      <c r="K254" s="2"/>
      <c r="L254" s="2"/>
      <c r="M254" s="2"/>
      <c r="N254" s="2"/>
      <c r="O254" s="2"/>
      <c r="P254" s="2"/>
      <c r="Q254" s="2"/>
      <c r="R254" s="2"/>
    </row>
    <row r="255">
      <c r="A255" s="3" t="s">
        <v>7</v>
      </c>
      <c r="B255" s="4">
        <v>297.0</v>
      </c>
      <c r="C255" s="24" t="s">
        <v>262</v>
      </c>
      <c r="D255" s="12">
        <v>24.0</v>
      </c>
      <c r="E255" s="12">
        <v>9.328009275E9</v>
      </c>
      <c r="F255" s="2"/>
      <c r="G255" s="2"/>
      <c r="H255" s="2"/>
      <c r="I255" s="2"/>
      <c r="J255" s="2"/>
      <c r="K255" s="2"/>
      <c r="L255" s="2"/>
      <c r="M255" s="2"/>
      <c r="N255" s="2"/>
      <c r="O255" s="2"/>
      <c r="P255" s="2"/>
      <c r="Q255" s="2"/>
      <c r="R255" s="2"/>
    </row>
    <row r="256">
      <c r="A256" s="3" t="s">
        <v>9</v>
      </c>
      <c r="B256" s="4">
        <v>298.0</v>
      </c>
      <c r="C256" s="14" t="s">
        <v>263</v>
      </c>
      <c r="D256" s="15">
        <v>24.0</v>
      </c>
      <c r="E256" s="15">
        <v>9.033120743E9</v>
      </c>
      <c r="F256" s="2"/>
      <c r="G256" s="2"/>
      <c r="H256" s="2"/>
      <c r="I256" s="2"/>
      <c r="J256" s="2"/>
      <c r="K256" s="2"/>
      <c r="L256" s="2"/>
      <c r="M256" s="2"/>
      <c r="N256" s="2"/>
      <c r="O256" s="2"/>
      <c r="P256" s="2"/>
      <c r="Q256" s="2"/>
      <c r="R256" s="2"/>
    </row>
    <row r="257">
      <c r="A257" s="3" t="s">
        <v>11</v>
      </c>
      <c r="B257" s="4">
        <v>299.0</v>
      </c>
      <c r="C257" s="10" t="s">
        <v>264</v>
      </c>
      <c r="D257" s="12">
        <v>19.0</v>
      </c>
      <c r="E257" s="12">
        <v>9.426533109E9</v>
      </c>
      <c r="F257" s="2"/>
      <c r="G257" s="2"/>
      <c r="H257" s="2"/>
      <c r="I257" s="2"/>
      <c r="J257" s="2"/>
      <c r="K257" s="2"/>
      <c r="L257" s="2"/>
      <c r="M257" s="2"/>
      <c r="N257" s="2"/>
      <c r="O257" s="2"/>
      <c r="P257" s="2"/>
      <c r="Q257" s="2"/>
      <c r="R257" s="2"/>
    </row>
    <row r="258">
      <c r="A258" s="3" t="s">
        <v>13</v>
      </c>
      <c r="B258" s="4">
        <v>300.0</v>
      </c>
      <c r="C258" s="3" t="s">
        <v>265</v>
      </c>
      <c r="D258" s="4">
        <v>23.0</v>
      </c>
      <c r="E258" s="4">
        <v>9.1727443E9</v>
      </c>
      <c r="F258" s="3"/>
      <c r="G258" s="3"/>
      <c r="H258" s="3"/>
      <c r="I258" s="3"/>
      <c r="J258" s="3"/>
      <c r="K258" s="3"/>
      <c r="L258" s="2"/>
      <c r="M258" s="2"/>
      <c r="N258" s="2"/>
      <c r="O258" s="2"/>
      <c r="P258" s="2"/>
      <c r="Q258" s="2"/>
      <c r="R258" s="2"/>
    </row>
    <row r="259">
      <c r="A259" s="3" t="s">
        <v>5</v>
      </c>
      <c r="B259" s="4">
        <v>301.0</v>
      </c>
      <c r="C259" s="10" t="s">
        <v>266</v>
      </c>
      <c r="D259" s="13">
        <v>26.0</v>
      </c>
      <c r="E259" s="13">
        <v>8.655852603E9</v>
      </c>
      <c r="F259" s="3"/>
      <c r="G259" s="3"/>
      <c r="H259" s="3"/>
      <c r="I259" s="3"/>
      <c r="J259" s="3"/>
      <c r="K259" s="3"/>
      <c r="L259" s="2"/>
      <c r="M259" s="2"/>
      <c r="N259" s="2"/>
      <c r="O259" s="2"/>
      <c r="P259" s="2"/>
      <c r="Q259" s="2"/>
      <c r="R259" s="2"/>
    </row>
    <row r="260">
      <c r="A260" s="3" t="s">
        <v>7</v>
      </c>
      <c r="B260" s="4">
        <v>302.0</v>
      </c>
      <c r="C260" s="3" t="s">
        <v>267</v>
      </c>
      <c r="D260" s="4">
        <v>28.0</v>
      </c>
      <c r="E260" s="4">
        <v>8.209003271E9</v>
      </c>
      <c r="F260" s="3"/>
      <c r="G260" s="3"/>
      <c r="H260" s="3"/>
      <c r="I260" s="3"/>
      <c r="J260" s="3"/>
      <c r="K260" s="3"/>
      <c r="L260" s="2"/>
      <c r="M260" s="2"/>
      <c r="N260" s="2"/>
      <c r="O260" s="2"/>
      <c r="P260" s="2"/>
      <c r="Q260" s="2"/>
      <c r="R260" s="2"/>
    </row>
    <row r="261">
      <c r="A261" s="3" t="s">
        <v>9</v>
      </c>
      <c r="B261" s="4">
        <v>303.0</v>
      </c>
      <c r="C261" s="3" t="s">
        <v>268</v>
      </c>
      <c r="D261" s="4">
        <v>33.0</v>
      </c>
      <c r="E261" s="4">
        <v>8.43557622E9</v>
      </c>
      <c r="F261" s="3"/>
      <c r="G261" s="3"/>
      <c r="H261" s="3"/>
      <c r="I261" s="3"/>
      <c r="J261" s="3"/>
      <c r="K261" s="3"/>
      <c r="L261" s="2"/>
      <c r="M261" s="2"/>
      <c r="N261" s="2"/>
      <c r="O261" s="2"/>
      <c r="P261" s="2"/>
      <c r="Q261" s="2"/>
      <c r="R261" s="2"/>
    </row>
    <row r="262">
      <c r="A262" s="3" t="s">
        <v>11</v>
      </c>
      <c r="B262" s="4">
        <v>304.0</v>
      </c>
      <c r="C262" s="21" t="s">
        <v>269</v>
      </c>
      <c r="D262" s="12">
        <v>19.0</v>
      </c>
      <c r="E262" s="12">
        <v>9.171396575E9</v>
      </c>
      <c r="F262" s="3"/>
      <c r="G262" s="3"/>
      <c r="H262" s="3"/>
      <c r="I262" s="3"/>
      <c r="J262" s="3"/>
      <c r="K262" s="3"/>
      <c r="L262" s="2"/>
      <c r="M262" s="2"/>
      <c r="N262" s="2"/>
      <c r="O262" s="2"/>
      <c r="P262" s="2"/>
      <c r="Q262" s="2"/>
      <c r="R262" s="2"/>
    </row>
    <row r="263">
      <c r="A263" s="3" t="s">
        <v>13</v>
      </c>
      <c r="B263" s="4">
        <v>305.0</v>
      </c>
      <c r="C263" s="3" t="s">
        <v>270</v>
      </c>
      <c r="D263" s="4">
        <v>36.0</v>
      </c>
      <c r="E263" s="4">
        <v>9.86767232E9</v>
      </c>
      <c r="F263" s="3"/>
      <c r="G263" s="3"/>
      <c r="H263" s="3"/>
      <c r="I263" s="3"/>
      <c r="J263" s="3"/>
      <c r="K263" s="3"/>
      <c r="L263" s="2"/>
      <c r="M263" s="2"/>
      <c r="N263" s="2"/>
      <c r="O263" s="2"/>
      <c r="P263" s="2"/>
      <c r="Q263" s="2"/>
      <c r="R263" s="2"/>
    </row>
    <row r="264">
      <c r="A264" s="3" t="s">
        <v>5</v>
      </c>
      <c r="B264" s="4">
        <v>306.0</v>
      </c>
      <c r="C264" s="21" t="s">
        <v>271</v>
      </c>
      <c r="D264" s="22"/>
      <c r="E264" s="12">
        <v>9.893664876E9</v>
      </c>
      <c r="F264" s="3"/>
      <c r="G264" s="3"/>
      <c r="H264" s="3"/>
      <c r="I264" s="3"/>
      <c r="J264" s="3"/>
      <c r="K264" s="3"/>
      <c r="L264" s="2"/>
      <c r="M264" s="2"/>
      <c r="N264" s="2"/>
      <c r="O264" s="2"/>
      <c r="P264" s="2"/>
      <c r="Q264" s="2"/>
      <c r="R264" s="2"/>
    </row>
    <row r="265">
      <c r="A265" s="3" t="s">
        <v>9</v>
      </c>
      <c r="B265" s="4">
        <v>308.0</v>
      </c>
      <c r="C265" s="10" t="s">
        <v>272</v>
      </c>
      <c r="D265" s="12">
        <v>17.0</v>
      </c>
      <c r="E265" s="12">
        <v>8.982736141E9</v>
      </c>
      <c r="F265" s="3"/>
      <c r="G265" s="3"/>
      <c r="H265" s="3"/>
      <c r="I265" s="3"/>
      <c r="J265" s="3"/>
      <c r="K265" s="3"/>
      <c r="L265" s="2"/>
      <c r="M265" s="2"/>
      <c r="N265" s="2"/>
      <c r="O265" s="2"/>
      <c r="P265" s="2"/>
      <c r="Q265" s="2"/>
      <c r="R265" s="2"/>
    </row>
    <row r="266">
      <c r="A266" s="3" t="s">
        <v>11</v>
      </c>
      <c r="B266" s="4">
        <v>309.0</v>
      </c>
      <c r="C266" s="6" t="s">
        <v>273</v>
      </c>
      <c r="D266" s="7">
        <v>28.0</v>
      </c>
      <c r="E266" s="7">
        <v>7.021355704E9</v>
      </c>
      <c r="F266" s="3"/>
      <c r="G266" s="3"/>
      <c r="H266" s="3"/>
      <c r="I266" s="3"/>
      <c r="J266" s="3"/>
      <c r="K266" s="3"/>
      <c r="L266" s="2"/>
      <c r="M266" s="2"/>
      <c r="N266" s="2"/>
      <c r="O266" s="2"/>
      <c r="P266" s="2"/>
      <c r="Q266" s="2"/>
      <c r="R266" s="2"/>
    </row>
    <row r="267">
      <c r="A267" s="3" t="s">
        <v>13</v>
      </c>
      <c r="B267" s="4">
        <v>310.0</v>
      </c>
      <c r="C267" s="6" t="s">
        <v>274</v>
      </c>
      <c r="D267" s="7">
        <v>25.0</v>
      </c>
      <c r="E267" s="7">
        <v>7.208775076E9</v>
      </c>
      <c r="F267" s="3"/>
      <c r="G267" s="3"/>
      <c r="H267" s="3"/>
      <c r="I267" s="3"/>
      <c r="J267" s="3"/>
      <c r="K267" s="3"/>
      <c r="L267" s="2"/>
      <c r="M267" s="2"/>
      <c r="N267" s="2"/>
      <c r="O267" s="2"/>
      <c r="P267" s="2"/>
      <c r="Q267" s="2"/>
      <c r="R267" s="2"/>
    </row>
    <row r="268">
      <c r="A268" s="3" t="s">
        <v>5</v>
      </c>
      <c r="B268" s="4">
        <v>311.0</v>
      </c>
      <c r="C268" s="3" t="s">
        <v>275</v>
      </c>
      <c r="D268" s="4">
        <v>23.0</v>
      </c>
      <c r="E268" s="4">
        <v>7.777008892E9</v>
      </c>
      <c r="F268" s="3"/>
      <c r="G268" s="3"/>
      <c r="H268" s="3"/>
      <c r="I268" s="3"/>
      <c r="J268" s="3"/>
      <c r="K268" s="3"/>
      <c r="L268" s="2"/>
      <c r="M268" s="2"/>
      <c r="N268" s="2"/>
      <c r="O268" s="2"/>
      <c r="P268" s="2"/>
      <c r="Q268" s="2"/>
      <c r="R268" s="2"/>
    </row>
    <row r="269">
      <c r="A269" s="3" t="s">
        <v>7</v>
      </c>
      <c r="B269" s="4">
        <v>312.0</v>
      </c>
      <c r="C269" s="3" t="s">
        <v>276</v>
      </c>
      <c r="D269" s="4">
        <v>24.0</v>
      </c>
      <c r="E269" s="4">
        <v>8.446465513E9</v>
      </c>
      <c r="F269" s="3"/>
      <c r="G269" s="3"/>
      <c r="H269" s="3"/>
      <c r="I269" s="3"/>
      <c r="J269" s="3"/>
      <c r="K269" s="3"/>
      <c r="L269" s="2"/>
      <c r="M269" s="2"/>
      <c r="N269" s="2"/>
      <c r="O269" s="2"/>
      <c r="P269" s="2"/>
      <c r="Q269" s="2"/>
      <c r="R269" s="2"/>
    </row>
    <row r="270">
      <c r="A270" s="3" t="s">
        <v>11</v>
      </c>
      <c r="B270" s="4">
        <v>314.0</v>
      </c>
      <c r="C270" s="3" t="s">
        <v>277</v>
      </c>
      <c r="D270" s="4">
        <v>17.0</v>
      </c>
      <c r="E270" s="4">
        <v>9.739926679E9</v>
      </c>
      <c r="F270" s="3"/>
      <c r="G270" s="3"/>
      <c r="H270" s="3"/>
      <c r="I270" s="3"/>
      <c r="J270" s="3"/>
      <c r="K270" s="3"/>
      <c r="L270" s="2"/>
      <c r="M270" s="2"/>
      <c r="N270" s="2"/>
      <c r="O270" s="2"/>
      <c r="P270" s="2"/>
      <c r="Q270" s="2"/>
      <c r="R270" s="2"/>
    </row>
    <row r="271">
      <c r="A271" s="3" t="s">
        <v>13</v>
      </c>
      <c r="B271" s="4">
        <v>315.0</v>
      </c>
      <c r="C271" s="3" t="s">
        <v>278</v>
      </c>
      <c r="D271" s="4">
        <v>16.0</v>
      </c>
      <c r="E271" s="4">
        <v>7.879575799E9</v>
      </c>
      <c r="F271" s="3"/>
      <c r="G271" s="3"/>
      <c r="H271" s="3"/>
      <c r="I271" s="3"/>
      <c r="J271" s="3"/>
      <c r="K271" s="3"/>
      <c r="L271" s="2"/>
      <c r="M271" s="2"/>
      <c r="N271" s="2"/>
      <c r="O271" s="2"/>
      <c r="P271" s="2"/>
      <c r="Q271" s="2"/>
      <c r="R271" s="2"/>
    </row>
    <row r="272">
      <c r="A272" s="3" t="s">
        <v>5</v>
      </c>
      <c r="B272" s="4">
        <v>316.0</v>
      </c>
      <c r="C272" s="8" t="s">
        <v>279</v>
      </c>
      <c r="D272" s="3"/>
      <c r="E272" s="5">
        <v>7.909553001E9</v>
      </c>
      <c r="F272" s="3"/>
      <c r="G272" s="3"/>
      <c r="H272" s="3"/>
      <c r="I272" s="3"/>
      <c r="J272" s="3"/>
      <c r="K272" s="3"/>
      <c r="L272" s="2"/>
      <c r="M272" s="2"/>
      <c r="N272" s="2"/>
      <c r="O272" s="2"/>
      <c r="P272" s="2"/>
      <c r="Q272" s="2"/>
      <c r="R272" s="2"/>
    </row>
    <row r="273">
      <c r="A273" s="3" t="s">
        <v>7</v>
      </c>
      <c r="B273" s="4">
        <v>317.0</v>
      </c>
      <c r="C273" s="3" t="s">
        <v>280</v>
      </c>
      <c r="D273" s="4">
        <v>16.0</v>
      </c>
      <c r="E273" s="4">
        <v>9.479701685E9</v>
      </c>
      <c r="F273" s="3"/>
      <c r="G273" s="3"/>
      <c r="H273" s="3"/>
      <c r="I273" s="3"/>
      <c r="J273" s="3"/>
      <c r="K273" s="3"/>
      <c r="L273" s="2"/>
      <c r="M273" s="2"/>
      <c r="N273" s="2"/>
      <c r="O273" s="2"/>
      <c r="P273" s="2"/>
      <c r="Q273" s="2"/>
      <c r="R273" s="2"/>
    </row>
    <row r="274">
      <c r="A274" s="3" t="s">
        <v>11</v>
      </c>
      <c r="B274" s="4">
        <v>319.0</v>
      </c>
      <c r="C274" s="3" t="s">
        <v>281</v>
      </c>
      <c r="D274" s="4">
        <v>21.0</v>
      </c>
      <c r="E274" s="4">
        <v>9.300122738E9</v>
      </c>
      <c r="F274" s="3"/>
      <c r="G274" s="3"/>
      <c r="H274" s="3"/>
      <c r="I274" s="3"/>
      <c r="J274" s="3"/>
      <c r="K274" s="3"/>
      <c r="L274" s="2"/>
      <c r="M274" s="2"/>
      <c r="N274" s="2"/>
      <c r="O274" s="2"/>
      <c r="P274" s="2"/>
      <c r="Q274" s="2"/>
      <c r="R274" s="2"/>
    </row>
    <row r="275">
      <c r="A275" s="3" t="s">
        <v>13</v>
      </c>
      <c r="B275" s="4">
        <v>320.0</v>
      </c>
      <c r="C275" s="3" t="s">
        <v>282</v>
      </c>
      <c r="D275" s="4">
        <v>34.0</v>
      </c>
      <c r="E275" s="4">
        <v>9.76940604E9</v>
      </c>
      <c r="F275" s="3"/>
      <c r="G275" s="3"/>
      <c r="H275" s="3"/>
      <c r="I275" s="3"/>
      <c r="J275" s="3"/>
      <c r="K275" s="3"/>
      <c r="L275" s="2"/>
      <c r="M275" s="2"/>
      <c r="N275" s="2"/>
      <c r="O275" s="2"/>
      <c r="P275" s="2"/>
      <c r="Q275" s="2"/>
      <c r="R275" s="2"/>
    </row>
    <row r="276">
      <c r="A276" s="3" t="s">
        <v>5</v>
      </c>
      <c r="B276" s="4">
        <v>321.0</v>
      </c>
      <c r="C276" s="3" t="s">
        <v>283</v>
      </c>
      <c r="D276" s="4">
        <v>37.0</v>
      </c>
      <c r="E276" s="4">
        <v>9.833147155E9</v>
      </c>
      <c r="F276" s="3"/>
      <c r="G276" s="3"/>
      <c r="H276" s="3"/>
      <c r="I276" s="3"/>
      <c r="J276" s="3"/>
      <c r="K276" s="3"/>
      <c r="L276" s="2"/>
      <c r="M276" s="2"/>
      <c r="N276" s="2"/>
      <c r="O276" s="2"/>
      <c r="P276" s="2"/>
      <c r="Q276" s="2"/>
      <c r="R276" s="2"/>
    </row>
    <row r="277">
      <c r="A277" s="3" t="s">
        <v>7</v>
      </c>
      <c r="B277" s="4">
        <v>322.0</v>
      </c>
      <c r="C277" s="3" t="s">
        <v>284</v>
      </c>
      <c r="D277" s="4">
        <v>35.0</v>
      </c>
      <c r="E277" s="4">
        <v>8.085831234E9</v>
      </c>
      <c r="F277" s="3"/>
      <c r="G277" s="3"/>
      <c r="H277" s="3"/>
      <c r="I277" s="3"/>
      <c r="J277" s="3"/>
      <c r="K277" s="3"/>
      <c r="L277" s="2"/>
      <c r="M277" s="2"/>
      <c r="N277" s="2"/>
      <c r="O277" s="2"/>
      <c r="P277" s="2"/>
      <c r="Q277" s="2"/>
      <c r="R277" s="2"/>
    </row>
    <row r="278">
      <c r="A278" s="3" t="s">
        <v>9</v>
      </c>
      <c r="B278" s="4">
        <v>323.0</v>
      </c>
      <c r="C278" s="3" t="s">
        <v>285</v>
      </c>
      <c r="D278" s="4">
        <v>35.0</v>
      </c>
      <c r="E278" s="4">
        <v>9.66493465E9</v>
      </c>
      <c r="F278" s="3"/>
      <c r="G278" s="3"/>
      <c r="H278" s="3"/>
      <c r="I278" s="3"/>
      <c r="J278" s="3"/>
      <c r="K278" s="3"/>
      <c r="L278" s="2"/>
      <c r="M278" s="2"/>
      <c r="N278" s="2"/>
      <c r="O278" s="2"/>
      <c r="P278" s="2"/>
      <c r="Q278" s="2"/>
      <c r="R278" s="2"/>
    </row>
    <row r="279">
      <c r="A279" s="3" t="s">
        <v>11</v>
      </c>
      <c r="B279" s="4">
        <v>324.0</v>
      </c>
      <c r="C279" s="3" t="s">
        <v>286</v>
      </c>
      <c r="D279" s="3"/>
      <c r="E279" s="4">
        <v>6.375968292E9</v>
      </c>
      <c r="F279" s="3"/>
      <c r="G279" s="3"/>
      <c r="H279" s="3"/>
      <c r="I279" s="3"/>
      <c r="J279" s="3"/>
      <c r="K279" s="3"/>
      <c r="L279" s="2"/>
      <c r="M279" s="2"/>
      <c r="N279" s="2"/>
      <c r="O279" s="2"/>
      <c r="P279" s="2"/>
      <c r="Q279" s="2"/>
      <c r="R279" s="2"/>
    </row>
    <row r="280">
      <c r="A280" s="3" t="s">
        <v>13</v>
      </c>
      <c r="B280" s="4">
        <v>325.0</v>
      </c>
      <c r="C280" s="3" t="s">
        <v>287</v>
      </c>
      <c r="D280" s="4">
        <v>25.0</v>
      </c>
      <c r="E280" s="4">
        <v>9.833187565E9</v>
      </c>
      <c r="F280" s="3"/>
      <c r="G280" s="3"/>
      <c r="H280" s="3"/>
      <c r="I280" s="3"/>
      <c r="J280" s="3"/>
      <c r="K280" s="3"/>
      <c r="L280" s="2"/>
      <c r="M280" s="2"/>
      <c r="N280" s="2"/>
      <c r="O280" s="2"/>
      <c r="P280" s="2"/>
      <c r="Q280" s="2"/>
      <c r="R280" s="2"/>
    </row>
    <row r="281">
      <c r="A281" s="3" t="s">
        <v>5</v>
      </c>
      <c r="B281" s="4">
        <v>326.0</v>
      </c>
      <c r="C281" s="6" t="s">
        <v>288</v>
      </c>
      <c r="D281" s="7">
        <v>16.0</v>
      </c>
      <c r="E281" s="7">
        <v>7.724878393E9</v>
      </c>
      <c r="F281" s="3"/>
      <c r="G281" s="3"/>
      <c r="H281" s="3"/>
      <c r="I281" s="3"/>
      <c r="J281" s="3"/>
      <c r="K281" s="3"/>
      <c r="L281" s="2"/>
      <c r="M281" s="2"/>
      <c r="N281" s="2"/>
      <c r="O281" s="2"/>
      <c r="P281" s="2"/>
      <c r="Q281" s="2"/>
      <c r="R281" s="2"/>
    </row>
    <row r="282">
      <c r="A282" s="3" t="s">
        <v>7</v>
      </c>
      <c r="B282" s="4">
        <v>327.0</v>
      </c>
      <c r="C282" s="37" t="s">
        <v>288</v>
      </c>
      <c r="D282" s="38">
        <v>16.0</v>
      </c>
      <c r="E282" s="38">
        <v>6.264523877E9</v>
      </c>
      <c r="F282" s="3"/>
      <c r="G282" s="3"/>
      <c r="H282" s="3"/>
      <c r="I282" s="3"/>
      <c r="J282" s="3"/>
      <c r="K282" s="3"/>
      <c r="L282" s="2"/>
      <c r="M282" s="2"/>
      <c r="N282" s="2"/>
      <c r="O282" s="2"/>
      <c r="P282" s="2"/>
      <c r="Q282" s="2"/>
      <c r="R282" s="2"/>
    </row>
    <row r="283">
      <c r="A283" s="3" t="s">
        <v>9</v>
      </c>
      <c r="B283" s="4">
        <v>328.0</v>
      </c>
      <c r="C283" s="3" t="s">
        <v>289</v>
      </c>
      <c r="D283" s="4">
        <v>15.0</v>
      </c>
      <c r="E283" s="4">
        <v>9.685079278E9</v>
      </c>
      <c r="F283" s="3"/>
      <c r="G283" s="3"/>
      <c r="H283" s="3"/>
      <c r="I283" s="3"/>
      <c r="J283" s="3"/>
      <c r="K283" s="3"/>
      <c r="L283" s="2"/>
      <c r="M283" s="2"/>
      <c r="N283" s="2"/>
      <c r="O283" s="2"/>
      <c r="P283" s="2"/>
      <c r="Q283" s="2"/>
      <c r="R283" s="2"/>
    </row>
    <row r="284">
      <c r="A284" s="3" t="s">
        <v>11</v>
      </c>
      <c r="B284" s="4">
        <v>329.0</v>
      </c>
      <c r="C284" s="6" t="s">
        <v>290</v>
      </c>
      <c r="D284" s="7">
        <v>19.0</v>
      </c>
      <c r="E284" s="7">
        <v>8.39012839E9</v>
      </c>
      <c r="F284" s="3"/>
      <c r="G284" s="3"/>
      <c r="H284" s="3"/>
      <c r="I284" s="3"/>
      <c r="J284" s="3"/>
      <c r="K284" s="3"/>
      <c r="L284" s="2"/>
      <c r="M284" s="2"/>
      <c r="N284" s="2"/>
      <c r="O284" s="2"/>
      <c r="P284" s="2"/>
      <c r="Q284" s="2"/>
      <c r="R284" s="2"/>
    </row>
    <row r="285">
      <c r="A285" s="3" t="s">
        <v>13</v>
      </c>
      <c r="B285" s="4">
        <v>330.0</v>
      </c>
      <c r="C285" s="3" t="s">
        <v>291</v>
      </c>
      <c r="D285" s="4">
        <v>14.0</v>
      </c>
      <c r="E285" s="4">
        <v>7.999380042E9</v>
      </c>
      <c r="F285" s="3"/>
      <c r="G285" s="3"/>
      <c r="H285" s="3"/>
      <c r="I285" s="3"/>
      <c r="J285" s="3"/>
      <c r="K285" s="3"/>
      <c r="L285" s="2"/>
      <c r="M285" s="2"/>
      <c r="N285" s="2"/>
      <c r="O285" s="2"/>
      <c r="P285" s="2"/>
      <c r="Q285" s="2"/>
      <c r="R285" s="2"/>
    </row>
    <row r="286">
      <c r="A286" s="3" t="s">
        <v>5</v>
      </c>
      <c r="B286" s="4">
        <v>331.0</v>
      </c>
      <c r="C286" s="6" t="s">
        <v>291</v>
      </c>
      <c r="D286" s="7">
        <v>21.0</v>
      </c>
      <c r="E286" s="7">
        <v>8.719032004E9</v>
      </c>
      <c r="F286" s="3"/>
      <c r="G286" s="3"/>
      <c r="H286" s="3"/>
      <c r="I286" s="3"/>
      <c r="J286" s="3"/>
      <c r="K286" s="3"/>
      <c r="L286" s="2"/>
      <c r="M286" s="2"/>
      <c r="N286" s="2"/>
      <c r="O286" s="2"/>
      <c r="P286" s="2"/>
      <c r="Q286" s="2"/>
      <c r="R286" s="2"/>
    </row>
    <row r="287">
      <c r="A287" s="3" t="s">
        <v>9</v>
      </c>
      <c r="B287" s="4">
        <v>333.0</v>
      </c>
      <c r="C287" s="3" t="s">
        <v>292</v>
      </c>
      <c r="D287" s="4">
        <v>37.0</v>
      </c>
      <c r="E287" s="4">
        <v>9.752307729E9</v>
      </c>
      <c r="F287" s="3"/>
      <c r="G287" s="3"/>
      <c r="H287" s="3"/>
      <c r="I287" s="3"/>
      <c r="J287" s="3"/>
      <c r="K287" s="3"/>
      <c r="L287" s="2"/>
      <c r="M287" s="2"/>
      <c r="N287" s="2"/>
      <c r="O287" s="2"/>
      <c r="P287" s="2"/>
      <c r="Q287" s="2"/>
      <c r="R287" s="2"/>
    </row>
    <row r="288">
      <c r="A288" s="3" t="s">
        <v>11</v>
      </c>
      <c r="B288" s="4">
        <v>334.0</v>
      </c>
      <c r="C288" s="3" t="s">
        <v>293</v>
      </c>
      <c r="D288" s="4">
        <v>31.0</v>
      </c>
      <c r="E288" s="4">
        <v>9.007086765E9</v>
      </c>
      <c r="F288" s="3"/>
      <c r="G288" s="3"/>
      <c r="H288" s="3"/>
      <c r="I288" s="3"/>
      <c r="J288" s="3"/>
      <c r="K288" s="3"/>
      <c r="L288" s="2"/>
      <c r="M288" s="2"/>
      <c r="N288" s="2"/>
      <c r="O288" s="2"/>
      <c r="P288" s="2"/>
      <c r="Q288" s="2"/>
      <c r="R288" s="2"/>
    </row>
    <row r="289">
      <c r="A289" s="3" t="s">
        <v>13</v>
      </c>
      <c r="B289" s="4">
        <v>335.0</v>
      </c>
      <c r="C289" s="3" t="s">
        <v>294</v>
      </c>
      <c r="D289" s="4">
        <v>17.0</v>
      </c>
      <c r="E289" s="4">
        <v>9.421163161E9</v>
      </c>
      <c r="F289" s="3"/>
      <c r="G289" s="3"/>
      <c r="H289" s="3"/>
      <c r="I289" s="3"/>
      <c r="J289" s="3"/>
      <c r="K289" s="3"/>
      <c r="L289" s="2"/>
      <c r="M289" s="2"/>
      <c r="N289" s="2"/>
      <c r="O289" s="2"/>
      <c r="P289" s="2"/>
      <c r="Q289" s="2"/>
      <c r="R289" s="2"/>
    </row>
    <row r="290">
      <c r="A290" s="3" t="s">
        <v>5</v>
      </c>
      <c r="B290" s="4">
        <v>336.0</v>
      </c>
      <c r="C290" s="21" t="s">
        <v>295</v>
      </c>
      <c r="D290" s="13">
        <v>35.0</v>
      </c>
      <c r="E290" s="13">
        <v>9.920978116E9</v>
      </c>
      <c r="F290" s="3"/>
      <c r="G290" s="3"/>
      <c r="H290" s="3"/>
      <c r="I290" s="3"/>
      <c r="J290" s="3"/>
      <c r="K290" s="3"/>
      <c r="L290" s="2"/>
      <c r="M290" s="2"/>
      <c r="N290" s="2"/>
      <c r="O290" s="2"/>
      <c r="P290" s="2"/>
      <c r="Q290" s="2"/>
      <c r="R290" s="2"/>
    </row>
    <row r="291">
      <c r="A291" s="3" t="s">
        <v>7</v>
      </c>
      <c r="B291" s="4">
        <v>337.0</v>
      </c>
      <c r="C291" s="21" t="s">
        <v>296</v>
      </c>
      <c r="D291" s="12">
        <v>23.0</v>
      </c>
      <c r="E291" s="12">
        <v>8.459510994E9</v>
      </c>
      <c r="F291" s="3"/>
      <c r="G291" s="3"/>
      <c r="H291" s="3"/>
      <c r="I291" s="3"/>
      <c r="J291" s="3"/>
      <c r="K291" s="3"/>
      <c r="L291" s="2"/>
      <c r="M291" s="2"/>
      <c r="N291" s="2"/>
      <c r="O291" s="2"/>
      <c r="P291" s="2"/>
      <c r="Q291" s="2"/>
      <c r="R291" s="2"/>
    </row>
    <row r="292">
      <c r="A292" s="3" t="s">
        <v>9</v>
      </c>
      <c r="B292" s="4">
        <v>338.0</v>
      </c>
      <c r="C292" s="3" t="s">
        <v>297</v>
      </c>
      <c r="D292" s="4">
        <v>20.0</v>
      </c>
      <c r="E292" s="4">
        <v>7.869716919E9</v>
      </c>
      <c r="F292" s="3"/>
      <c r="G292" s="3"/>
      <c r="H292" s="3"/>
      <c r="I292" s="3"/>
      <c r="J292" s="3"/>
      <c r="K292" s="3"/>
      <c r="L292" s="2"/>
      <c r="M292" s="2"/>
      <c r="N292" s="2"/>
      <c r="O292" s="2"/>
      <c r="P292" s="2"/>
      <c r="Q292" s="2"/>
      <c r="R292" s="2"/>
    </row>
    <row r="293">
      <c r="A293" s="3" t="s">
        <v>5</v>
      </c>
      <c r="B293" s="4">
        <v>341.0</v>
      </c>
      <c r="C293" s="21" t="s">
        <v>298</v>
      </c>
      <c r="D293" s="12">
        <v>17.0</v>
      </c>
      <c r="E293" s="12">
        <v>9.039721583E9</v>
      </c>
      <c r="F293" s="3"/>
      <c r="G293" s="3"/>
      <c r="H293" s="3"/>
      <c r="I293" s="3"/>
      <c r="J293" s="3"/>
      <c r="K293" s="3"/>
      <c r="L293" s="2"/>
      <c r="M293" s="2"/>
      <c r="N293" s="2"/>
      <c r="O293" s="2"/>
      <c r="P293" s="2"/>
      <c r="Q293" s="2"/>
      <c r="R293" s="2"/>
    </row>
    <row r="294">
      <c r="A294" s="3" t="s">
        <v>9</v>
      </c>
      <c r="B294" s="4">
        <v>343.0</v>
      </c>
      <c r="C294" s="3" t="s">
        <v>299</v>
      </c>
      <c r="D294" s="4">
        <v>25.0</v>
      </c>
      <c r="E294" s="4">
        <v>9.630403137E9</v>
      </c>
      <c r="F294" s="3"/>
      <c r="G294" s="3"/>
      <c r="H294" s="3"/>
      <c r="I294" s="3"/>
      <c r="J294" s="3"/>
      <c r="K294" s="3"/>
      <c r="L294" s="2"/>
      <c r="M294" s="2"/>
      <c r="N294" s="2"/>
      <c r="O294" s="2"/>
      <c r="P294" s="2"/>
      <c r="Q294" s="2"/>
      <c r="R294" s="2"/>
    </row>
    <row r="295">
      <c r="A295" s="3" t="s">
        <v>11</v>
      </c>
      <c r="B295" s="4">
        <v>344.0</v>
      </c>
      <c r="C295" s="19" t="s">
        <v>300</v>
      </c>
      <c r="D295" s="25">
        <v>16.0</v>
      </c>
      <c r="E295" s="25">
        <v>6.261547164E9</v>
      </c>
      <c r="F295" s="3"/>
      <c r="G295" s="3"/>
      <c r="H295" s="3"/>
      <c r="I295" s="3"/>
      <c r="J295" s="3"/>
      <c r="K295" s="3"/>
      <c r="L295" s="2"/>
      <c r="M295" s="2"/>
      <c r="N295" s="2"/>
      <c r="O295" s="2"/>
      <c r="P295" s="2"/>
      <c r="Q295" s="2"/>
      <c r="R295" s="2"/>
    </row>
    <row r="296">
      <c r="A296" s="3" t="s">
        <v>13</v>
      </c>
      <c r="B296" s="4">
        <v>345.0</v>
      </c>
      <c r="C296" s="3" t="s">
        <v>301</v>
      </c>
      <c r="D296" s="4">
        <v>36.0</v>
      </c>
      <c r="E296" s="4">
        <v>9.42857098E9</v>
      </c>
      <c r="F296" s="3"/>
      <c r="G296" s="3"/>
      <c r="H296" s="3"/>
      <c r="I296" s="3"/>
      <c r="J296" s="3"/>
      <c r="K296" s="3"/>
      <c r="L296" s="2"/>
      <c r="M296" s="2"/>
      <c r="N296" s="2"/>
      <c r="O296" s="2"/>
      <c r="P296" s="2"/>
      <c r="Q296" s="2"/>
      <c r="R296" s="2"/>
    </row>
    <row r="297">
      <c r="A297" s="3" t="s">
        <v>5</v>
      </c>
      <c r="B297" s="4">
        <v>346.0</v>
      </c>
      <c r="C297" s="24" t="s">
        <v>302</v>
      </c>
      <c r="D297" s="12">
        <v>20.0</v>
      </c>
      <c r="E297" s="12">
        <v>7.021786769E9</v>
      </c>
      <c r="F297" s="3"/>
      <c r="G297" s="3"/>
      <c r="H297" s="3"/>
      <c r="I297" s="3"/>
      <c r="J297" s="3"/>
      <c r="K297" s="3"/>
      <c r="L297" s="2"/>
      <c r="M297" s="2"/>
      <c r="N297" s="2"/>
      <c r="O297" s="2"/>
      <c r="P297" s="2"/>
      <c r="Q297" s="2"/>
      <c r="R297" s="2"/>
    </row>
    <row r="298">
      <c r="A298" s="3" t="s">
        <v>7</v>
      </c>
      <c r="B298" s="4">
        <v>347.0</v>
      </c>
      <c r="C298" s="14" t="s">
        <v>303</v>
      </c>
      <c r="D298" s="25">
        <v>35.0</v>
      </c>
      <c r="E298" s="15">
        <v>9.82027913E9</v>
      </c>
      <c r="F298" s="3"/>
      <c r="G298" s="3"/>
      <c r="H298" s="3"/>
      <c r="I298" s="3"/>
      <c r="J298" s="3"/>
      <c r="K298" s="3"/>
      <c r="L298" s="2"/>
      <c r="M298" s="2"/>
      <c r="N298" s="2"/>
      <c r="O298" s="2"/>
      <c r="P298" s="2"/>
      <c r="Q298" s="2"/>
      <c r="R298" s="2"/>
    </row>
    <row r="299">
      <c r="A299" s="3" t="s">
        <v>9</v>
      </c>
      <c r="B299" s="4">
        <v>348.0</v>
      </c>
      <c r="C299" s="3" t="s">
        <v>304</v>
      </c>
      <c r="D299" s="4">
        <v>26.0</v>
      </c>
      <c r="E299" s="4">
        <v>9.689245706E9</v>
      </c>
      <c r="F299" s="3"/>
      <c r="G299" s="3"/>
      <c r="H299" s="3"/>
      <c r="I299" s="3"/>
      <c r="J299" s="3"/>
      <c r="K299" s="3"/>
      <c r="L299" s="2"/>
      <c r="M299" s="2"/>
      <c r="N299" s="2"/>
      <c r="O299" s="2"/>
      <c r="P299" s="2"/>
      <c r="Q299" s="2"/>
      <c r="R299" s="2"/>
    </row>
    <row r="300">
      <c r="A300" s="3" t="s">
        <v>11</v>
      </c>
      <c r="B300" s="4">
        <v>349.0</v>
      </c>
      <c r="C300" s="3" t="s">
        <v>305</v>
      </c>
      <c r="D300" s="4">
        <v>19.0</v>
      </c>
      <c r="E300" s="4">
        <v>8.77947261E9</v>
      </c>
      <c r="F300" s="3"/>
      <c r="G300" s="3"/>
      <c r="H300" s="3"/>
      <c r="I300" s="3"/>
      <c r="J300" s="3"/>
      <c r="K300" s="3"/>
      <c r="L300" s="2"/>
      <c r="M300" s="2"/>
      <c r="N300" s="2"/>
      <c r="O300" s="2"/>
      <c r="P300" s="2"/>
      <c r="Q300" s="2"/>
      <c r="R300" s="2"/>
    </row>
    <row r="301">
      <c r="A301" s="3" t="s">
        <v>13</v>
      </c>
      <c r="B301" s="4">
        <v>350.0</v>
      </c>
      <c r="C301" s="6" t="s">
        <v>306</v>
      </c>
      <c r="D301" s="7">
        <v>20.0</v>
      </c>
      <c r="E301" s="7">
        <v>9.967730847E9</v>
      </c>
      <c r="F301" s="3"/>
      <c r="G301" s="3"/>
      <c r="H301" s="3"/>
      <c r="I301" s="3"/>
      <c r="J301" s="3"/>
      <c r="K301" s="3"/>
      <c r="L301" s="2"/>
      <c r="M301" s="2"/>
      <c r="N301" s="2"/>
      <c r="O301" s="2"/>
      <c r="P301" s="2"/>
      <c r="Q301" s="2"/>
      <c r="R301" s="2"/>
    </row>
    <row r="302">
      <c r="A302" s="3" t="s">
        <v>5</v>
      </c>
      <c r="B302" s="4">
        <v>351.0</v>
      </c>
      <c r="C302" s="3" t="s">
        <v>307</v>
      </c>
      <c r="D302" s="4">
        <v>19.0</v>
      </c>
      <c r="E302" s="4">
        <v>7.359656529E9</v>
      </c>
      <c r="F302" s="2"/>
      <c r="G302" s="2"/>
      <c r="H302" s="2"/>
      <c r="I302" s="2"/>
      <c r="J302" s="2"/>
      <c r="K302" s="2"/>
      <c r="L302" s="2"/>
      <c r="M302" s="2"/>
      <c r="N302" s="2"/>
      <c r="O302" s="2"/>
      <c r="P302" s="2"/>
      <c r="Q302" s="2"/>
      <c r="R302" s="2"/>
    </row>
    <row r="303">
      <c r="A303" s="3" t="s">
        <v>7</v>
      </c>
      <c r="B303" s="4">
        <v>352.0</v>
      </c>
      <c r="C303" s="3" t="s">
        <v>308</v>
      </c>
      <c r="D303" s="4">
        <v>23.0</v>
      </c>
      <c r="E303" s="4">
        <v>7.977416163E9</v>
      </c>
      <c r="F303" s="3"/>
      <c r="G303" s="3"/>
      <c r="H303" s="3"/>
      <c r="I303" s="3"/>
      <c r="J303" s="3"/>
      <c r="K303" s="3"/>
      <c r="L303" s="2"/>
      <c r="M303" s="2"/>
      <c r="N303" s="2"/>
      <c r="O303" s="2"/>
      <c r="P303" s="2"/>
      <c r="Q303" s="2"/>
      <c r="R303" s="2"/>
    </row>
    <row r="304">
      <c r="A304" s="3" t="s">
        <v>9</v>
      </c>
      <c r="B304" s="4">
        <v>353.0</v>
      </c>
      <c r="C304" s="3" t="s">
        <v>309</v>
      </c>
      <c r="D304" s="4">
        <v>20.0</v>
      </c>
      <c r="E304" s="4">
        <v>9.016598307E9</v>
      </c>
      <c r="F304" s="3"/>
      <c r="G304" s="3"/>
      <c r="H304" s="3"/>
      <c r="I304" s="3"/>
      <c r="J304" s="3"/>
      <c r="K304" s="3"/>
      <c r="L304" s="2"/>
      <c r="M304" s="2"/>
      <c r="N304" s="2"/>
      <c r="O304" s="2"/>
      <c r="P304" s="2"/>
      <c r="Q304" s="2"/>
      <c r="R304" s="2"/>
    </row>
    <row r="305">
      <c r="A305" s="3" t="s">
        <v>11</v>
      </c>
      <c r="B305" s="4">
        <v>354.0</v>
      </c>
      <c r="C305" s="3" t="s">
        <v>310</v>
      </c>
      <c r="D305" s="4">
        <v>19.0</v>
      </c>
      <c r="E305" s="4">
        <v>9.321436665E9</v>
      </c>
      <c r="F305" s="3"/>
      <c r="G305" s="3"/>
      <c r="H305" s="3"/>
      <c r="I305" s="3"/>
      <c r="J305" s="3"/>
      <c r="K305" s="3"/>
      <c r="L305" s="2"/>
      <c r="M305" s="2"/>
      <c r="N305" s="2"/>
      <c r="O305" s="2"/>
      <c r="P305" s="2"/>
      <c r="Q305" s="2"/>
      <c r="R305" s="2"/>
    </row>
    <row r="306">
      <c r="A306" s="3" t="s">
        <v>13</v>
      </c>
      <c r="B306" s="4">
        <v>355.0</v>
      </c>
      <c r="C306" s="3" t="s">
        <v>311</v>
      </c>
      <c r="D306" s="4">
        <v>21.0</v>
      </c>
      <c r="E306" s="4">
        <v>7.715078224E9</v>
      </c>
      <c r="F306" s="3"/>
      <c r="G306" s="3"/>
      <c r="H306" s="3"/>
      <c r="I306" s="3"/>
      <c r="J306" s="3"/>
      <c r="K306" s="3"/>
      <c r="L306" s="2"/>
      <c r="M306" s="2"/>
      <c r="N306" s="2"/>
      <c r="O306" s="2"/>
      <c r="P306" s="2"/>
      <c r="Q306" s="2"/>
      <c r="R306" s="2"/>
    </row>
    <row r="307">
      <c r="A307" s="3" t="s">
        <v>7</v>
      </c>
      <c r="B307" s="4">
        <v>357.0</v>
      </c>
      <c r="C307" s="3" t="s">
        <v>312</v>
      </c>
      <c r="D307" s="4">
        <v>35.0</v>
      </c>
      <c r="E307" s="4">
        <v>6.266556077E9</v>
      </c>
      <c r="F307" s="3"/>
      <c r="G307" s="3"/>
      <c r="H307" s="3"/>
      <c r="I307" s="3"/>
      <c r="J307" s="3"/>
      <c r="K307" s="3"/>
      <c r="L307" s="2"/>
      <c r="M307" s="2"/>
      <c r="N307" s="2"/>
      <c r="O307" s="2"/>
      <c r="P307" s="2"/>
      <c r="Q307" s="2"/>
      <c r="R307" s="2"/>
    </row>
    <row r="308">
      <c r="A308" s="3" t="s">
        <v>9</v>
      </c>
      <c r="B308" s="4">
        <v>358.0</v>
      </c>
      <c r="C308" s="6" t="s">
        <v>313</v>
      </c>
      <c r="D308" s="3"/>
      <c r="E308" s="7">
        <v>9.649566062E9</v>
      </c>
      <c r="F308" s="3"/>
      <c r="G308" s="3"/>
      <c r="H308" s="3"/>
      <c r="I308" s="3"/>
      <c r="J308" s="3"/>
      <c r="K308" s="3"/>
      <c r="L308" s="2"/>
      <c r="M308" s="2"/>
      <c r="N308" s="2"/>
      <c r="O308" s="2"/>
      <c r="P308" s="2"/>
      <c r="Q308" s="2"/>
      <c r="R308" s="2"/>
    </row>
    <row r="309">
      <c r="A309" s="3" t="s">
        <v>11</v>
      </c>
      <c r="B309" s="4">
        <v>359.0</v>
      </c>
      <c r="C309" s="6" t="s">
        <v>314</v>
      </c>
      <c r="D309" s="7">
        <v>17.0</v>
      </c>
      <c r="E309" s="7">
        <v>7.869495296E9</v>
      </c>
      <c r="F309" s="3"/>
      <c r="G309" s="3"/>
      <c r="H309" s="3"/>
      <c r="I309" s="3"/>
      <c r="J309" s="3"/>
      <c r="K309" s="3"/>
      <c r="L309" s="2"/>
      <c r="M309" s="2"/>
      <c r="N309" s="2"/>
      <c r="O309" s="2"/>
      <c r="P309" s="2"/>
      <c r="Q309" s="2"/>
      <c r="R309" s="2"/>
    </row>
    <row r="310">
      <c r="A310" s="3" t="s">
        <v>13</v>
      </c>
      <c r="B310" s="4">
        <v>360.0</v>
      </c>
      <c r="C310" s="3" t="s">
        <v>315</v>
      </c>
      <c r="D310" s="4">
        <v>18.0</v>
      </c>
      <c r="E310" s="4">
        <v>7.024325588E9</v>
      </c>
      <c r="F310" s="3"/>
      <c r="G310" s="3"/>
      <c r="H310" s="3"/>
      <c r="I310" s="3"/>
      <c r="J310" s="3"/>
      <c r="K310" s="3"/>
      <c r="L310" s="2"/>
      <c r="M310" s="2"/>
      <c r="N310" s="2"/>
      <c r="O310" s="2"/>
      <c r="P310" s="2"/>
      <c r="Q310" s="2"/>
      <c r="R310" s="2"/>
    </row>
    <row r="311">
      <c r="A311" s="3" t="s">
        <v>5</v>
      </c>
      <c r="B311" s="4">
        <v>361.0</v>
      </c>
      <c r="C311" s="3" t="s">
        <v>316</v>
      </c>
      <c r="D311" s="4">
        <v>18.0</v>
      </c>
      <c r="E311" s="47" t="s">
        <v>429</v>
      </c>
      <c r="F311" s="3"/>
      <c r="G311" s="3"/>
      <c r="H311" s="3"/>
      <c r="I311" s="3"/>
      <c r="J311" s="3"/>
      <c r="K311" s="3"/>
      <c r="L311" s="2"/>
      <c r="M311" s="2"/>
      <c r="N311" s="2"/>
      <c r="O311" s="2"/>
      <c r="P311" s="2"/>
      <c r="Q311" s="2"/>
      <c r="R311" s="2"/>
    </row>
    <row r="312">
      <c r="A312" s="3" t="s">
        <v>7</v>
      </c>
      <c r="B312" s="4">
        <v>362.0</v>
      </c>
      <c r="C312" s="3" t="s">
        <v>317</v>
      </c>
      <c r="D312" s="4">
        <v>20.0</v>
      </c>
      <c r="E312" s="4">
        <v>9.892796456E9</v>
      </c>
      <c r="F312" s="3"/>
      <c r="G312" s="3"/>
      <c r="H312" s="3"/>
      <c r="I312" s="3"/>
      <c r="J312" s="3"/>
      <c r="K312" s="3"/>
      <c r="L312" s="2"/>
      <c r="M312" s="2"/>
      <c r="N312" s="2"/>
      <c r="O312" s="2"/>
      <c r="P312" s="2"/>
      <c r="Q312" s="2"/>
      <c r="R312" s="2"/>
    </row>
    <row r="313">
      <c r="A313" s="3" t="s">
        <v>9</v>
      </c>
      <c r="B313" s="4">
        <v>363.0</v>
      </c>
      <c r="C313" s="3" t="s">
        <v>318</v>
      </c>
      <c r="D313" s="4">
        <v>22.0</v>
      </c>
      <c r="E313" s="4">
        <v>8.951027964E9</v>
      </c>
      <c r="F313" s="3"/>
      <c r="G313" s="3"/>
      <c r="H313" s="3"/>
      <c r="I313" s="3"/>
      <c r="J313" s="3"/>
      <c r="K313" s="3"/>
      <c r="L313" s="2"/>
      <c r="M313" s="2"/>
      <c r="N313" s="2"/>
      <c r="O313" s="2"/>
      <c r="P313" s="2"/>
      <c r="Q313" s="2"/>
      <c r="R313" s="2"/>
    </row>
    <row r="314">
      <c r="A314" s="3" t="s">
        <v>11</v>
      </c>
      <c r="B314" s="4">
        <v>364.0</v>
      </c>
      <c r="C314" s="6" t="s">
        <v>319</v>
      </c>
      <c r="D314" s="7">
        <v>22.0</v>
      </c>
      <c r="E314" s="7">
        <v>7.020776797E9</v>
      </c>
      <c r="F314" s="3"/>
      <c r="G314" s="3"/>
      <c r="H314" s="3"/>
      <c r="I314" s="3"/>
      <c r="J314" s="3"/>
      <c r="K314" s="3"/>
      <c r="L314" s="2"/>
      <c r="M314" s="2"/>
      <c r="N314" s="2"/>
      <c r="O314" s="2"/>
      <c r="P314" s="2"/>
      <c r="Q314" s="2"/>
      <c r="R314" s="2"/>
    </row>
    <row r="315">
      <c r="A315" s="3" t="s">
        <v>13</v>
      </c>
      <c r="B315" s="4">
        <v>365.0</v>
      </c>
      <c r="C315" s="3" t="s">
        <v>320</v>
      </c>
      <c r="D315" s="4">
        <v>16.0</v>
      </c>
      <c r="E315" s="4">
        <v>9.15283066E9</v>
      </c>
      <c r="F315" s="3"/>
      <c r="G315" s="3"/>
      <c r="H315" s="3"/>
      <c r="I315" s="3"/>
      <c r="J315" s="3"/>
      <c r="K315" s="3"/>
      <c r="L315" s="2"/>
      <c r="M315" s="2"/>
      <c r="N315" s="2"/>
      <c r="O315" s="2"/>
      <c r="P315" s="2"/>
      <c r="Q315" s="2"/>
      <c r="R315" s="2"/>
    </row>
    <row r="316">
      <c r="A316" s="3" t="s">
        <v>5</v>
      </c>
      <c r="B316" s="4">
        <v>366.0</v>
      </c>
      <c r="C316" s="6" t="s">
        <v>321</v>
      </c>
      <c r="D316" s="7">
        <v>20.0</v>
      </c>
      <c r="E316" s="7">
        <v>9.15277998E9</v>
      </c>
      <c r="F316" s="3"/>
      <c r="G316" s="3"/>
      <c r="H316" s="3"/>
      <c r="I316" s="3"/>
      <c r="J316" s="3"/>
      <c r="K316" s="3"/>
      <c r="L316" s="2"/>
      <c r="M316" s="2"/>
      <c r="N316" s="2"/>
      <c r="O316" s="2"/>
      <c r="P316" s="2"/>
      <c r="Q316" s="2"/>
      <c r="R316" s="2"/>
    </row>
    <row r="317">
      <c r="A317" s="3" t="s">
        <v>7</v>
      </c>
      <c r="B317" s="4">
        <v>367.0</v>
      </c>
      <c r="C317" s="3" t="s">
        <v>322</v>
      </c>
      <c r="D317" s="4">
        <v>16.0</v>
      </c>
      <c r="E317" s="4">
        <v>9.860750007E9</v>
      </c>
      <c r="F317" s="3"/>
      <c r="G317" s="3"/>
      <c r="H317" s="3"/>
      <c r="I317" s="3"/>
      <c r="J317" s="3"/>
      <c r="K317" s="3"/>
      <c r="L317" s="2"/>
      <c r="M317" s="2"/>
      <c r="N317" s="2"/>
      <c r="O317" s="2"/>
      <c r="P317" s="2"/>
      <c r="Q317" s="2"/>
      <c r="R317" s="2"/>
    </row>
    <row r="318">
      <c r="A318" s="3" t="s">
        <v>9</v>
      </c>
      <c r="B318" s="4">
        <v>368.0</v>
      </c>
      <c r="C318" s="3" t="s">
        <v>323</v>
      </c>
      <c r="D318" s="4">
        <v>23.0</v>
      </c>
      <c r="E318" s="4">
        <v>7.977757478E9</v>
      </c>
      <c r="F318" s="3"/>
      <c r="G318" s="3"/>
      <c r="H318" s="3"/>
      <c r="I318" s="3"/>
      <c r="J318" s="3"/>
      <c r="K318" s="3"/>
      <c r="L318" s="2"/>
      <c r="M318" s="2"/>
      <c r="N318" s="2"/>
      <c r="O318" s="2"/>
      <c r="P318" s="2"/>
      <c r="Q318" s="2"/>
      <c r="R318" s="2"/>
    </row>
    <row r="319">
      <c r="A319" s="3" t="s">
        <v>11</v>
      </c>
      <c r="B319" s="4">
        <v>369.0</v>
      </c>
      <c r="C319" s="6" t="s">
        <v>324</v>
      </c>
      <c r="D319" s="7">
        <v>21.0</v>
      </c>
      <c r="E319" s="7">
        <v>9.309875185E9</v>
      </c>
      <c r="F319" s="3"/>
      <c r="G319" s="3"/>
      <c r="H319" s="3"/>
      <c r="I319" s="3"/>
      <c r="J319" s="3"/>
      <c r="K319" s="3"/>
      <c r="L319" s="2"/>
      <c r="M319" s="2"/>
      <c r="N319" s="2"/>
      <c r="O319" s="2"/>
      <c r="P319" s="2"/>
      <c r="Q319" s="2"/>
      <c r="R319" s="2"/>
    </row>
    <row r="320">
      <c r="A320" s="3" t="s">
        <v>13</v>
      </c>
      <c r="B320" s="4">
        <v>370.0</v>
      </c>
      <c r="C320" s="6" t="s">
        <v>325</v>
      </c>
      <c r="D320" s="7">
        <v>19.0</v>
      </c>
      <c r="E320" s="7">
        <v>9.321454342E9</v>
      </c>
      <c r="F320" s="3"/>
      <c r="G320" s="3"/>
      <c r="H320" s="3"/>
      <c r="I320" s="3"/>
      <c r="J320" s="3"/>
      <c r="K320" s="3"/>
      <c r="L320" s="2"/>
      <c r="M320" s="2"/>
      <c r="N320" s="2"/>
      <c r="O320" s="2"/>
      <c r="P320" s="2"/>
      <c r="Q320" s="2"/>
      <c r="R320" s="2"/>
    </row>
    <row r="321">
      <c r="A321" s="3" t="s">
        <v>5</v>
      </c>
      <c r="B321" s="4">
        <v>371.0</v>
      </c>
      <c r="C321" s="3" t="s">
        <v>326</v>
      </c>
      <c r="D321" s="4">
        <v>35.0</v>
      </c>
      <c r="E321" s="4">
        <v>9.9781265E9</v>
      </c>
      <c r="F321" s="3"/>
      <c r="G321" s="3"/>
      <c r="H321" s="3"/>
      <c r="I321" s="3"/>
      <c r="J321" s="3"/>
      <c r="K321" s="3"/>
      <c r="L321" s="2"/>
      <c r="M321" s="2"/>
      <c r="N321" s="2"/>
      <c r="O321" s="2"/>
      <c r="P321" s="2"/>
      <c r="Q321" s="2"/>
      <c r="R321" s="2"/>
    </row>
    <row r="322">
      <c r="A322" s="3" t="s">
        <v>7</v>
      </c>
      <c r="B322" s="4">
        <v>372.0</v>
      </c>
      <c r="C322" s="3" t="s">
        <v>327</v>
      </c>
      <c r="D322" s="4">
        <v>33.0</v>
      </c>
      <c r="E322" s="47" t="s">
        <v>430</v>
      </c>
      <c r="F322" s="3"/>
      <c r="G322" s="3"/>
      <c r="H322" s="3"/>
      <c r="I322" s="3"/>
      <c r="J322" s="3"/>
      <c r="K322" s="3"/>
      <c r="L322" s="2"/>
      <c r="M322" s="2"/>
      <c r="N322" s="2"/>
      <c r="O322" s="2"/>
      <c r="P322" s="2"/>
      <c r="Q322" s="2"/>
      <c r="R322" s="2"/>
    </row>
    <row r="323">
      <c r="A323" s="3" t="s">
        <v>9</v>
      </c>
      <c r="B323" s="4">
        <v>373.0</v>
      </c>
      <c r="C323" s="3" t="s">
        <v>328</v>
      </c>
      <c r="D323" s="4">
        <v>41.0</v>
      </c>
      <c r="E323" s="4">
        <v>9.624818191E9</v>
      </c>
      <c r="F323" s="3"/>
      <c r="G323" s="3"/>
      <c r="H323" s="3"/>
      <c r="I323" s="3"/>
      <c r="J323" s="3"/>
      <c r="K323" s="3"/>
      <c r="L323" s="2"/>
      <c r="M323" s="2"/>
      <c r="N323" s="2"/>
      <c r="O323" s="2"/>
      <c r="P323" s="2"/>
      <c r="Q323" s="2"/>
      <c r="R323" s="2"/>
    </row>
    <row r="324">
      <c r="A324" s="3" t="s">
        <v>11</v>
      </c>
      <c r="B324" s="4">
        <v>374.0</v>
      </c>
      <c r="C324" s="6" t="s">
        <v>329</v>
      </c>
      <c r="D324" s="7">
        <v>24.0</v>
      </c>
      <c r="E324" s="7">
        <v>8.080541144E9</v>
      </c>
      <c r="F324" s="3"/>
      <c r="G324" s="3"/>
      <c r="H324" s="3"/>
      <c r="I324" s="3"/>
      <c r="J324" s="3"/>
      <c r="K324" s="3"/>
      <c r="L324" s="2"/>
      <c r="M324" s="2"/>
      <c r="N324" s="2"/>
      <c r="O324" s="2"/>
      <c r="P324" s="2"/>
      <c r="Q324" s="2"/>
      <c r="R324" s="2"/>
    </row>
    <row r="325">
      <c r="A325" s="3" t="s">
        <v>13</v>
      </c>
      <c r="B325" s="4">
        <v>375.0</v>
      </c>
      <c r="C325" s="3" t="s">
        <v>330</v>
      </c>
      <c r="D325" s="4">
        <v>23.0</v>
      </c>
      <c r="E325" s="4">
        <v>9.97811323E9</v>
      </c>
      <c r="F325" s="3"/>
      <c r="G325" s="3"/>
      <c r="H325" s="3"/>
      <c r="I325" s="3"/>
      <c r="J325" s="3"/>
      <c r="K325" s="3"/>
      <c r="L325" s="2"/>
      <c r="M325" s="2"/>
      <c r="N325" s="2"/>
      <c r="O325" s="2"/>
      <c r="P325" s="2"/>
      <c r="Q325" s="2"/>
      <c r="R325" s="2"/>
    </row>
    <row r="326">
      <c r="A326" s="3" t="s">
        <v>5</v>
      </c>
      <c r="B326" s="4">
        <v>376.0</v>
      </c>
      <c r="C326" s="3" t="s">
        <v>331</v>
      </c>
      <c r="D326" s="4">
        <v>20.0</v>
      </c>
      <c r="E326" s="4">
        <v>7.977142002E9</v>
      </c>
      <c r="F326" s="3"/>
      <c r="G326" s="3"/>
      <c r="H326" s="3"/>
      <c r="I326" s="3"/>
      <c r="J326" s="3"/>
      <c r="K326" s="3"/>
      <c r="L326" s="2"/>
      <c r="M326" s="2"/>
      <c r="N326" s="2"/>
      <c r="O326" s="2"/>
      <c r="P326" s="2"/>
      <c r="Q326" s="2"/>
      <c r="R326" s="2"/>
    </row>
    <row r="327">
      <c r="A327" s="3" t="s">
        <v>7</v>
      </c>
      <c r="B327" s="4">
        <v>377.0</v>
      </c>
      <c r="C327" s="6" t="s">
        <v>332</v>
      </c>
      <c r="D327" s="7">
        <v>19.0</v>
      </c>
      <c r="E327" s="7">
        <v>8.104169297E9</v>
      </c>
      <c r="F327" s="3"/>
      <c r="G327" s="3"/>
      <c r="H327" s="3"/>
      <c r="I327" s="3"/>
      <c r="J327" s="3"/>
      <c r="K327" s="3"/>
      <c r="L327" s="2"/>
      <c r="M327" s="2"/>
      <c r="N327" s="2"/>
      <c r="O327" s="2"/>
      <c r="P327" s="2"/>
      <c r="Q327" s="2"/>
      <c r="R327" s="2"/>
    </row>
    <row r="328">
      <c r="A328" s="3" t="s">
        <v>9</v>
      </c>
      <c r="B328" s="4">
        <v>378.0</v>
      </c>
      <c r="C328" s="3" t="s">
        <v>333</v>
      </c>
      <c r="D328" s="4">
        <v>28.0</v>
      </c>
      <c r="E328" s="4">
        <v>9.829178078E9</v>
      </c>
      <c r="F328" s="3"/>
      <c r="G328" s="3"/>
      <c r="H328" s="3"/>
      <c r="I328" s="3"/>
      <c r="J328" s="3"/>
      <c r="K328" s="3"/>
      <c r="L328" s="2"/>
      <c r="M328" s="2"/>
      <c r="N328" s="2"/>
      <c r="O328" s="2"/>
      <c r="P328" s="2"/>
      <c r="Q328" s="2"/>
      <c r="R328" s="2"/>
    </row>
    <row r="329">
      <c r="A329" s="3" t="s">
        <v>11</v>
      </c>
      <c r="B329" s="4">
        <v>379.0</v>
      </c>
      <c r="C329" s="3" t="s">
        <v>334</v>
      </c>
      <c r="D329" s="4">
        <v>18.0</v>
      </c>
      <c r="E329" s="4">
        <v>9.359542859E9</v>
      </c>
      <c r="F329" s="3"/>
      <c r="G329" s="3"/>
      <c r="H329" s="3"/>
      <c r="I329" s="3"/>
      <c r="J329" s="3"/>
      <c r="K329" s="3"/>
      <c r="L329" s="2"/>
      <c r="M329" s="2"/>
      <c r="N329" s="2"/>
      <c r="O329" s="2"/>
      <c r="P329" s="2"/>
      <c r="Q329" s="2"/>
      <c r="R329" s="2"/>
    </row>
    <row r="330">
      <c r="A330" s="3" t="s">
        <v>13</v>
      </c>
      <c r="B330" s="4">
        <v>380.0</v>
      </c>
      <c r="C330" s="3" t="s">
        <v>335</v>
      </c>
      <c r="D330" s="4">
        <v>24.0</v>
      </c>
      <c r="E330" s="4">
        <v>9.773447004E9</v>
      </c>
      <c r="F330" s="3"/>
      <c r="G330" s="3"/>
      <c r="H330" s="3"/>
      <c r="I330" s="3"/>
      <c r="J330" s="3"/>
      <c r="K330" s="3"/>
      <c r="L330" s="2"/>
      <c r="M330" s="2"/>
      <c r="N330" s="2"/>
      <c r="O330" s="2"/>
      <c r="P330" s="2"/>
      <c r="Q330" s="2"/>
      <c r="R330" s="2"/>
    </row>
    <row r="331">
      <c r="A331" s="3" t="s">
        <v>7</v>
      </c>
      <c r="B331" s="4">
        <v>382.0</v>
      </c>
      <c r="C331" s="3" t="s">
        <v>336</v>
      </c>
      <c r="D331" s="4">
        <v>18.0</v>
      </c>
      <c r="E331" s="4">
        <v>9.106879995E9</v>
      </c>
      <c r="F331" s="3"/>
      <c r="G331" s="3"/>
      <c r="H331" s="3"/>
      <c r="I331" s="3"/>
      <c r="J331" s="3"/>
      <c r="K331" s="3"/>
      <c r="L331" s="2"/>
      <c r="M331" s="2"/>
      <c r="N331" s="2"/>
      <c r="O331" s="2"/>
      <c r="P331" s="2"/>
      <c r="Q331" s="2"/>
      <c r="R331" s="2"/>
    </row>
    <row r="332">
      <c r="A332" s="3" t="s">
        <v>9</v>
      </c>
      <c r="B332" s="4">
        <v>383.0</v>
      </c>
      <c r="C332" s="3" t="s">
        <v>337</v>
      </c>
      <c r="D332" s="4">
        <v>21.0</v>
      </c>
      <c r="E332" s="4">
        <v>9.023810551E9</v>
      </c>
      <c r="F332" s="3"/>
      <c r="G332" s="3"/>
      <c r="H332" s="3"/>
      <c r="I332" s="3"/>
      <c r="J332" s="3"/>
      <c r="K332" s="3"/>
      <c r="L332" s="2"/>
      <c r="M332" s="2"/>
      <c r="N332" s="2"/>
      <c r="O332" s="2"/>
      <c r="P332" s="2"/>
      <c r="Q332" s="2"/>
      <c r="R332" s="2"/>
    </row>
    <row r="333">
      <c r="A333" s="3" t="s">
        <v>11</v>
      </c>
      <c r="B333" s="4">
        <v>384.0</v>
      </c>
      <c r="C333" s="3" t="s">
        <v>338</v>
      </c>
      <c r="D333" s="4">
        <v>16.0</v>
      </c>
      <c r="E333" s="4">
        <v>7.058053936E9</v>
      </c>
      <c r="F333" s="3"/>
      <c r="G333" s="3"/>
      <c r="H333" s="3"/>
      <c r="I333" s="3"/>
      <c r="J333" s="3"/>
      <c r="K333" s="3"/>
      <c r="L333" s="2"/>
      <c r="M333" s="2"/>
      <c r="N333" s="2"/>
      <c r="O333" s="2"/>
      <c r="P333" s="2"/>
      <c r="Q333" s="2"/>
      <c r="R333" s="2"/>
    </row>
    <row r="334">
      <c r="A334" s="2" t="s">
        <v>5</v>
      </c>
      <c r="B334" s="39">
        <v>386.0</v>
      </c>
      <c r="C334" s="2" t="s">
        <v>339</v>
      </c>
      <c r="D334" s="2"/>
      <c r="E334" s="39">
        <v>9.833554206E9</v>
      </c>
      <c r="F334" s="2"/>
      <c r="G334" s="2"/>
      <c r="H334" s="2"/>
      <c r="I334" s="2"/>
      <c r="J334" s="2"/>
      <c r="K334" s="2"/>
      <c r="L334" s="2"/>
      <c r="M334" s="2"/>
      <c r="N334" s="2"/>
      <c r="O334" s="2"/>
      <c r="P334" s="2"/>
      <c r="Q334" s="2"/>
      <c r="R334" s="2"/>
    </row>
    <row r="335">
      <c r="A335" s="2" t="s">
        <v>7</v>
      </c>
      <c r="B335" s="39">
        <v>387.0</v>
      </c>
      <c r="C335" s="2" t="s">
        <v>340</v>
      </c>
      <c r="D335" s="2"/>
      <c r="E335" s="39">
        <v>9.521514471E9</v>
      </c>
      <c r="F335" s="2"/>
      <c r="G335" s="2"/>
      <c r="H335" s="2"/>
      <c r="I335" s="2"/>
      <c r="J335" s="2"/>
      <c r="K335" s="2"/>
      <c r="L335" s="2"/>
      <c r="M335" s="2"/>
      <c r="N335" s="2"/>
      <c r="O335" s="2"/>
      <c r="P335" s="2"/>
      <c r="Q335" s="2"/>
      <c r="R335" s="2"/>
    </row>
    <row r="336">
      <c r="A336" s="2" t="s">
        <v>9</v>
      </c>
      <c r="B336" s="39">
        <v>388.0</v>
      </c>
      <c r="C336" s="2" t="s">
        <v>341</v>
      </c>
      <c r="D336" s="2"/>
      <c r="E336" s="39">
        <v>7.879379757E9</v>
      </c>
      <c r="F336" s="2"/>
      <c r="G336" s="2"/>
      <c r="H336" s="2"/>
      <c r="I336" s="2"/>
      <c r="J336" s="2"/>
      <c r="K336" s="2"/>
      <c r="L336" s="2"/>
      <c r="M336" s="2"/>
      <c r="N336" s="2"/>
      <c r="O336" s="2"/>
      <c r="P336" s="2"/>
      <c r="Q336" s="2"/>
      <c r="R336" s="2"/>
    </row>
    <row r="337">
      <c r="A337" s="2" t="s">
        <v>13</v>
      </c>
      <c r="B337" s="39">
        <v>390.0</v>
      </c>
      <c r="C337" s="2" t="s">
        <v>342</v>
      </c>
      <c r="D337" s="2"/>
      <c r="E337" s="39">
        <v>9.619402561E9</v>
      </c>
      <c r="F337" s="2"/>
      <c r="G337" s="2"/>
      <c r="H337" s="2"/>
      <c r="I337" s="2"/>
      <c r="J337" s="2"/>
      <c r="K337" s="2"/>
      <c r="L337" s="2"/>
      <c r="M337" s="2"/>
      <c r="N337" s="2"/>
      <c r="O337" s="2"/>
      <c r="P337" s="2"/>
      <c r="Q337" s="2"/>
      <c r="R337" s="2"/>
    </row>
    <row r="338">
      <c r="A338" s="2" t="s">
        <v>5</v>
      </c>
      <c r="B338" s="39">
        <v>391.0</v>
      </c>
      <c r="C338" s="2" t="s">
        <v>343</v>
      </c>
      <c r="D338" s="2"/>
      <c r="E338" s="39">
        <v>6.261629202E9</v>
      </c>
      <c r="F338" s="2"/>
      <c r="G338" s="2"/>
      <c r="H338" s="2"/>
      <c r="I338" s="2"/>
      <c r="J338" s="2"/>
      <c r="K338" s="2"/>
      <c r="L338" s="2"/>
      <c r="M338" s="2"/>
      <c r="N338" s="2"/>
      <c r="O338" s="2"/>
      <c r="P338" s="2"/>
      <c r="Q338" s="2"/>
      <c r="R338" s="2"/>
    </row>
    <row r="339">
      <c r="A339" s="2" t="s">
        <v>7</v>
      </c>
      <c r="B339" s="39">
        <v>392.0</v>
      </c>
      <c r="C339" s="2" t="s">
        <v>344</v>
      </c>
      <c r="D339" s="2"/>
      <c r="E339" s="39">
        <v>8.890820414E9</v>
      </c>
      <c r="F339" s="2"/>
      <c r="G339" s="2"/>
      <c r="H339" s="2"/>
      <c r="I339" s="2"/>
      <c r="J339" s="2"/>
      <c r="K339" s="2"/>
      <c r="L339" s="2"/>
      <c r="M339" s="2"/>
      <c r="N339" s="2"/>
      <c r="O339" s="2"/>
      <c r="P339" s="2"/>
      <c r="Q339" s="2"/>
      <c r="R339" s="2"/>
    </row>
    <row r="340">
      <c r="A340" s="2" t="s">
        <v>9</v>
      </c>
      <c r="B340" s="39">
        <v>393.0</v>
      </c>
      <c r="C340" s="40" t="s">
        <v>345</v>
      </c>
      <c r="D340" s="2"/>
      <c r="E340" s="41">
        <v>7.020649986E9</v>
      </c>
      <c r="F340" s="2"/>
      <c r="G340" s="2"/>
      <c r="H340" s="2"/>
      <c r="I340" s="2"/>
      <c r="J340" s="2"/>
      <c r="K340" s="2"/>
      <c r="L340" s="2"/>
      <c r="M340" s="2"/>
      <c r="N340" s="2"/>
      <c r="O340" s="2"/>
      <c r="P340" s="2"/>
      <c r="Q340" s="2"/>
      <c r="R340" s="2"/>
    </row>
    <row r="341">
      <c r="A341" s="2" t="s">
        <v>11</v>
      </c>
      <c r="B341" s="39">
        <v>394.0</v>
      </c>
      <c r="C341" s="42" t="s">
        <v>346</v>
      </c>
      <c r="D341" s="43"/>
      <c r="E341" s="39">
        <v>9.820972712E9</v>
      </c>
      <c r="F341" s="2"/>
      <c r="G341" s="2"/>
      <c r="H341" s="2"/>
      <c r="I341" s="2"/>
      <c r="J341" s="2"/>
      <c r="K341" s="2"/>
      <c r="L341" s="2"/>
      <c r="M341" s="2"/>
      <c r="N341" s="2"/>
      <c r="O341" s="2"/>
      <c r="P341" s="2"/>
      <c r="Q341" s="2"/>
      <c r="R341" s="2"/>
    </row>
    <row r="342">
      <c r="A342" s="2" t="s">
        <v>13</v>
      </c>
      <c r="B342" s="39">
        <v>395.0</v>
      </c>
      <c r="C342" s="8" t="s">
        <v>347</v>
      </c>
      <c r="D342" s="3"/>
      <c r="E342" s="39">
        <v>9.96997168E9</v>
      </c>
      <c r="F342" s="2"/>
      <c r="G342" s="2"/>
      <c r="H342" s="2"/>
      <c r="I342" s="2"/>
      <c r="J342" s="2"/>
      <c r="K342" s="2"/>
      <c r="L342" s="2"/>
      <c r="M342" s="2"/>
      <c r="N342" s="2"/>
      <c r="O342" s="2"/>
      <c r="P342" s="2"/>
      <c r="Q342" s="2"/>
      <c r="R342" s="2"/>
    </row>
    <row r="343">
      <c r="A343" s="2" t="s">
        <v>5</v>
      </c>
      <c r="B343" s="39">
        <v>396.0</v>
      </c>
      <c r="C343" s="42" t="s">
        <v>348</v>
      </c>
      <c r="D343" s="43"/>
      <c r="E343" s="39">
        <v>7.987411677E9</v>
      </c>
      <c r="F343" s="2"/>
      <c r="G343" s="2"/>
      <c r="H343" s="2"/>
      <c r="I343" s="2"/>
      <c r="J343" s="2"/>
      <c r="K343" s="2"/>
      <c r="L343" s="2"/>
      <c r="M343" s="2"/>
      <c r="N343" s="2"/>
      <c r="O343" s="2"/>
      <c r="P343" s="2"/>
      <c r="Q343" s="2"/>
      <c r="R343" s="2"/>
    </row>
    <row r="344">
      <c r="A344" s="2" t="s">
        <v>7</v>
      </c>
      <c r="B344" s="39">
        <v>397.0</v>
      </c>
      <c r="C344" s="8" t="s">
        <v>349</v>
      </c>
      <c r="D344" s="3"/>
      <c r="E344" s="39">
        <v>9.870901143E9</v>
      </c>
      <c r="F344" s="2"/>
      <c r="G344" s="2"/>
      <c r="H344" s="2"/>
      <c r="I344" s="2"/>
      <c r="J344" s="2"/>
      <c r="K344" s="2"/>
      <c r="L344" s="2"/>
      <c r="M344" s="2"/>
      <c r="N344" s="2"/>
      <c r="O344" s="2"/>
      <c r="P344" s="2"/>
      <c r="Q344" s="2"/>
      <c r="R344" s="2"/>
    </row>
    <row r="345">
      <c r="A345" s="2" t="s">
        <v>9</v>
      </c>
      <c r="B345" s="39">
        <v>398.0</v>
      </c>
      <c r="C345" s="42" t="s">
        <v>350</v>
      </c>
      <c r="D345" s="43"/>
      <c r="E345" s="39">
        <v>8.69287501E9</v>
      </c>
      <c r="F345" s="2"/>
      <c r="G345" s="2"/>
      <c r="H345" s="2"/>
      <c r="I345" s="2"/>
      <c r="J345" s="2"/>
      <c r="K345" s="2"/>
      <c r="L345" s="2"/>
      <c r="M345" s="2"/>
      <c r="N345" s="2"/>
      <c r="O345" s="2"/>
      <c r="P345" s="2"/>
      <c r="Q345" s="2"/>
      <c r="R345" s="2"/>
    </row>
    <row r="346">
      <c r="A346" s="2" t="s">
        <v>11</v>
      </c>
      <c r="B346" s="39">
        <v>399.0</v>
      </c>
      <c r="C346" s="8" t="s">
        <v>351</v>
      </c>
      <c r="D346" s="3"/>
      <c r="E346" s="44">
        <v>8.839742689E9</v>
      </c>
      <c r="F346" s="2"/>
      <c r="G346" s="2"/>
      <c r="H346" s="2"/>
      <c r="I346" s="2"/>
      <c r="J346" s="2"/>
      <c r="K346" s="2"/>
      <c r="L346" s="2"/>
      <c r="M346" s="2"/>
      <c r="N346" s="2"/>
      <c r="O346" s="2"/>
      <c r="P346" s="2"/>
      <c r="Q346" s="2"/>
      <c r="R346" s="2"/>
    </row>
    <row r="347">
      <c r="A347" s="2" t="s">
        <v>13</v>
      </c>
      <c r="B347" s="39">
        <v>400.0</v>
      </c>
      <c r="C347" s="42" t="s">
        <v>352</v>
      </c>
      <c r="D347" s="43"/>
      <c r="E347" s="44">
        <v>9.755410101E9</v>
      </c>
      <c r="F347" s="2"/>
      <c r="G347" s="2"/>
      <c r="H347" s="2"/>
      <c r="I347" s="2"/>
      <c r="J347" s="2"/>
      <c r="K347" s="2"/>
      <c r="L347" s="2"/>
      <c r="M347" s="2"/>
      <c r="N347" s="2"/>
      <c r="O347" s="2"/>
      <c r="P347" s="2"/>
      <c r="Q347" s="2"/>
      <c r="R347" s="2"/>
    </row>
    <row r="348">
      <c r="A348" s="2" t="s">
        <v>5</v>
      </c>
      <c r="B348" s="39">
        <v>401.0</v>
      </c>
      <c r="C348" s="8" t="s">
        <v>353</v>
      </c>
      <c r="D348" s="3"/>
      <c r="E348" s="39">
        <v>7.710839615E9</v>
      </c>
      <c r="F348" s="2"/>
      <c r="G348" s="2"/>
      <c r="H348" s="2"/>
      <c r="I348" s="2"/>
      <c r="J348" s="2"/>
      <c r="K348" s="2"/>
      <c r="L348" s="2"/>
      <c r="M348" s="2"/>
      <c r="N348" s="2"/>
      <c r="O348" s="2"/>
      <c r="P348" s="2"/>
      <c r="Q348" s="2"/>
      <c r="R348" s="2"/>
    </row>
    <row r="349">
      <c r="A349" s="2" t="s">
        <v>9</v>
      </c>
      <c r="B349" s="39">
        <v>403.0</v>
      </c>
      <c r="C349" s="42" t="s">
        <v>354</v>
      </c>
      <c r="D349" s="43"/>
      <c r="E349" s="39">
        <v>8.827135666E9</v>
      </c>
      <c r="F349" s="2"/>
      <c r="G349" s="2"/>
      <c r="H349" s="2"/>
      <c r="I349" s="2"/>
      <c r="J349" s="2"/>
      <c r="K349" s="2"/>
      <c r="L349" s="2"/>
      <c r="M349" s="2"/>
      <c r="N349" s="2"/>
      <c r="O349" s="2"/>
      <c r="P349" s="2"/>
      <c r="Q349" s="2"/>
      <c r="R349" s="2"/>
    </row>
    <row r="350">
      <c r="A350" s="2" t="s">
        <v>11</v>
      </c>
      <c r="B350" s="39">
        <v>404.0</v>
      </c>
      <c r="C350" s="8" t="s">
        <v>355</v>
      </c>
      <c r="D350" s="3"/>
      <c r="E350" s="39">
        <v>9.016044818E9</v>
      </c>
      <c r="F350" s="2"/>
      <c r="G350" s="2"/>
      <c r="H350" s="2"/>
      <c r="I350" s="2"/>
      <c r="J350" s="2"/>
      <c r="K350" s="2"/>
      <c r="L350" s="2"/>
      <c r="M350" s="2"/>
      <c r="N350" s="2"/>
      <c r="O350" s="2"/>
      <c r="P350" s="2"/>
      <c r="Q350" s="2"/>
      <c r="R350" s="2"/>
    </row>
    <row r="351">
      <c r="A351" s="2" t="s">
        <v>13</v>
      </c>
      <c r="B351" s="39">
        <v>405.0</v>
      </c>
      <c r="C351" s="42" t="s">
        <v>356</v>
      </c>
      <c r="D351" s="43"/>
      <c r="E351" s="39">
        <v>6.261254231E9</v>
      </c>
      <c r="F351" s="2"/>
      <c r="G351" s="2"/>
      <c r="H351" s="2"/>
      <c r="I351" s="2"/>
      <c r="J351" s="2"/>
      <c r="K351" s="2"/>
      <c r="L351" s="2"/>
      <c r="M351" s="2"/>
      <c r="N351" s="2"/>
      <c r="O351" s="2"/>
      <c r="P351" s="2"/>
      <c r="Q351" s="2"/>
      <c r="R351" s="2"/>
    </row>
    <row r="352">
      <c r="A352" s="2" t="s">
        <v>5</v>
      </c>
      <c r="B352" s="39">
        <v>406.0</v>
      </c>
      <c r="C352" s="8" t="s">
        <v>357</v>
      </c>
      <c r="D352" s="3"/>
      <c r="E352" s="39">
        <v>7.021614861E9</v>
      </c>
      <c r="F352" s="2"/>
      <c r="G352" s="2"/>
      <c r="H352" s="2"/>
      <c r="I352" s="2"/>
      <c r="J352" s="2"/>
      <c r="K352" s="2"/>
      <c r="L352" s="2"/>
      <c r="M352" s="2"/>
      <c r="N352" s="2"/>
      <c r="O352" s="2"/>
      <c r="P352" s="2"/>
      <c r="Q352" s="2"/>
      <c r="R352" s="2"/>
    </row>
    <row r="353">
      <c r="A353" s="2" t="s">
        <v>7</v>
      </c>
      <c r="B353" s="39">
        <v>407.0</v>
      </c>
      <c r="C353" s="42" t="s">
        <v>358</v>
      </c>
      <c r="D353" s="43"/>
      <c r="E353" s="39">
        <v>6.266164866E9</v>
      </c>
      <c r="F353" s="2"/>
      <c r="G353" s="2"/>
      <c r="H353" s="2"/>
      <c r="I353" s="2"/>
      <c r="J353" s="2"/>
      <c r="K353" s="2"/>
      <c r="L353" s="2"/>
      <c r="M353" s="2"/>
      <c r="N353" s="2"/>
      <c r="O353" s="2"/>
      <c r="P353" s="2"/>
      <c r="Q353" s="2"/>
      <c r="R353" s="2"/>
    </row>
    <row r="354">
      <c r="A354" s="2" t="s">
        <v>9</v>
      </c>
      <c r="B354" s="39">
        <v>408.0</v>
      </c>
      <c r="C354" s="8" t="s">
        <v>359</v>
      </c>
      <c r="D354" s="3"/>
      <c r="E354" s="39">
        <v>7.972936914E9</v>
      </c>
      <c r="F354" s="2"/>
      <c r="G354" s="2"/>
      <c r="H354" s="2"/>
      <c r="I354" s="2"/>
      <c r="J354" s="2"/>
      <c r="K354" s="2"/>
      <c r="L354" s="2"/>
      <c r="M354" s="2"/>
      <c r="N354" s="2"/>
      <c r="O354" s="2"/>
      <c r="P354" s="2"/>
      <c r="Q354" s="2"/>
      <c r="R354" s="2"/>
    </row>
    <row r="355">
      <c r="A355" s="2" t="s">
        <v>11</v>
      </c>
      <c r="B355" s="39">
        <v>409.0</v>
      </c>
      <c r="C355" s="42" t="s">
        <v>360</v>
      </c>
      <c r="D355" s="43"/>
      <c r="E355" s="41">
        <v>7.972234068E9</v>
      </c>
      <c r="F355" s="2"/>
      <c r="G355" s="2"/>
      <c r="H355" s="2"/>
      <c r="I355" s="2"/>
      <c r="J355" s="2"/>
      <c r="K355" s="2"/>
      <c r="L355" s="2"/>
      <c r="M355" s="2"/>
      <c r="N355" s="2"/>
      <c r="O355" s="2"/>
      <c r="P355" s="2"/>
      <c r="Q355" s="2"/>
      <c r="R355" s="2"/>
    </row>
    <row r="356">
      <c r="A356" s="2" t="s">
        <v>13</v>
      </c>
      <c r="B356" s="39">
        <v>410.0</v>
      </c>
      <c r="C356" s="8" t="s">
        <v>254</v>
      </c>
      <c r="D356" s="3"/>
      <c r="E356" s="39">
        <v>9.409480931E9</v>
      </c>
      <c r="F356" s="2"/>
      <c r="G356" s="2"/>
      <c r="H356" s="2"/>
      <c r="I356" s="2"/>
      <c r="J356" s="2"/>
      <c r="K356" s="2"/>
      <c r="L356" s="2"/>
      <c r="M356" s="2"/>
      <c r="N356" s="2"/>
      <c r="O356" s="2"/>
      <c r="P356" s="2"/>
      <c r="Q356" s="2"/>
      <c r="R356" s="2"/>
    </row>
    <row r="357">
      <c r="A357" s="2" t="s">
        <v>5</v>
      </c>
      <c r="B357" s="39">
        <v>411.0</v>
      </c>
      <c r="C357" s="42" t="s">
        <v>361</v>
      </c>
      <c r="D357" s="43"/>
      <c r="E357" s="41">
        <v>6.353644233E9</v>
      </c>
      <c r="F357" s="2"/>
      <c r="G357" s="2"/>
      <c r="H357" s="2"/>
      <c r="I357" s="2"/>
      <c r="J357" s="2"/>
      <c r="K357" s="2"/>
      <c r="L357" s="2"/>
      <c r="M357" s="2"/>
      <c r="N357" s="2"/>
      <c r="O357" s="2"/>
      <c r="P357" s="2"/>
      <c r="Q357" s="2"/>
      <c r="R357" s="2"/>
    </row>
    <row r="358">
      <c r="A358" s="2" t="s">
        <v>7</v>
      </c>
      <c r="B358" s="39">
        <v>412.0</v>
      </c>
      <c r="C358" s="8" t="s">
        <v>362</v>
      </c>
      <c r="D358" s="3"/>
      <c r="E358" s="45">
        <v>7.859805309E9</v>
      </c>
      <c r="F358" s="2"/>
      <c r="G358" s="2"/>
      <c r="H358" s="2"/>
      <c r="I358" s="2"/>
      <c r="J358" s="2"/>
      <c r="K358" s="2"/>
      <c r="L358" s="2"/>
      <c r="M358" s="2"/>
      <c r="N358" s="2"/>
      <c r="O358" s="2"/>
      <c r="P358" s="2"/>
      <c r="Q358" s="2"/>
      <c r="R358" s="2"/>
    </row>
    <row r="359">
      <c r="A359" s="2" t="s">
        <v>9</v>
      </c>
      <c r="B359" s="39">
        <v>413.0</v>
      </c>
      <c r="C359" s="42" t="s">
        <v>363</v>
      </c>
      <c r="D359" s="43"/>
      <c r="E359" s="39">
        <v>9.6995123E9</v>
      </c>
      <c r="F359" s="2"/>
      <c r="G359" s="2"/>
      <c r="H359" s="2"/>
      <c r="I359" s="2"/>
      <c r="J359" s="2"/>
      <c r="K359" s="2"/>
      <c r="L359" s="2"/>
      <c r="M359" s="2"/>
      <c r="N359" s="2"/>
      <c r="O359" s="2"/>
      <c r="P359" s="2"/>
      <c r="Q359" s="2"/>
      <c r="R359" s="2"/>
    </row>
    <row r="360">
      <c r="A360" s="2" t="s">
        <v>11</v>
      </c>
      <c r="B360" s="39">
        <v>414.0</v>
      </c>
      <c r="C360" s="8" t="s">
        <v>364</v>
      </c>
      <c r="D360" s="3"/>
      <c r="E360" s="39">
        <v>8.080300157E9</v>
      </c>
      <c r="F360" s="2"/>
      <c r="G360" s="2"/>
      <c r="H360" s="2"/>
      <c r="I360" s="2"/>
      <c r="J360" s="2"/>
      <c r="K360" s="2"/>
      <c r="L360" s="2"/>
      <c r="M360" s="2"/>
      <c r="N360" s="2"/>
      <c r="O360" s="2"/>
      <c r="P360" s="2"/>
      <c r="Q360" s="2"/>
      <c r="R360" s="2"/>
    </row>
    <row r="361">
      <c r="A361" s="2" t="s">
        <v>13</v>
      </c>
      <c r="B361" s="39">
        <v>415.0</v>
      </c>
      <c r="C361" s="42" t="s">
        <v>365</v>
      </c>
      <c r="D361" s="43"/>
      <c r="E361" s="39">
        <v>9.328845368E9</v>
      </c>
      <c r="F361" s="2"/>
      <c r="G361" s="2"/>
      <c r="H361" s="2"/>
      <c r="I361" s="2"/>
      <c r="J361" s="2"/>
      <c r="K361" s="2"/>
      <c r="L361" s="2"/>
      <c r="M361" s="2"/>
      <c r="N361" s="2"/>
      <c r="O361" s="2"/>
      <c r="P361" s="2"/>
      <c r="Q361" s="2"/>
      <c r="R361" s="2"/>
    </row>
    <row r="362">
      <c r="A362" s="2" t="s">
        <v>5</v>
      </c>
      <c r="B362" s="39">
        <v>416.0</v>
      </c>
      <c r="C362" s="8" t="s">
        <v>366</v>
      </c>
      <c r="D362" s="3"/>
      <c r="E362" s="39">
        <v>8.879138436E9</v>
      </c>
      <c r="F362" s="2"/>
      <c r="G362" s="2"/>
      <c r="H362" s="2"/>
      <c r="I362" s="2"/>
      <c r="J362" s="2"/>
      <c r="K362" s="2"/>
      <c r="L362" s="2"/>
      <c r="M362" s="2"/>
      <c r="N362" s="2"/>
      <c r="O362" s="2"/>
      <c r="P362" s="2"/>
      <c r="Q362" s="2"/>
      <c r="R362" s="2"/>
    </row>
    <row r="363">
      <c r="A363" s="2" t="s">
        <v>7</v>
      </c>
      <c r="B363" s="39">
        <v>417.0</v>
      </c>
      <c r="C363" s="42" t="s">
        <v>367</v>
      </c>
      <c r="D363" s="43"/>
      <c r="E363" s="39">
        <v>8.08713502E9</v>
      </c>
      <c r="F363" s="2"/>
      <c r="G363" s="2"/>
      <c r="H363" s="2"/>
      <c r="I363" s="2"/>
      <c r="J363" s="2"/>
      <c r="K363" s="2"/>
      <c r="L363" s="2"/>
      <c r="M363" s="2"/>
      <c r="N363" s="2"/>
      <c r="O363" s="2"/>
      <c r="P363" s="2"/>
      <c r="Q363" s="2"/>
      <c r="R363" s="2"/>
    </row>
    <row r="364">
      <c r="A364" s="2" t="s">
        <v>9</v>
      </c>
      <c r="B364" s="39">
        <v>418.0</v>
      </c>
      <c r="C364" s="8" t="s">
        <v>368</v>
      </c>
      <c r="D364" s="3"/>
      <c r="E364" s="39">
        <v>9.243438779E9</v>
      </c>
      <c r="F364" s="2"/>
      <c r="G364" s="2"/>
      <c r="H364" s="2"/>
      <c r="I364" s="2"/>
      <c r="J364" s="2"/>
      <c r="K364" s="2"/>
      <c r="L364" s="2"/>
      <c r="M364" s="2"/>
      <c r="N364" s="2"/>
      <c r="O364" s="2"/>
      <c r="P364" s="2"/>
      <c r="Q364" s="2"/>
      <c r="R364" s="2"/>
    </row>
    <row r="365">
      <c r="A365" s="2" t="s">
        <v>11</v>
      </c>
      <c r="B365" s="39">
        <v>419.0</v>
      </c>
      <c r="C365" s="42" t="s">
        <v>369</v>
      </c>
      <c r="D365" s="43"/>
      <c r="E365" s="39">
        <v>9.902930191E9</v>
      </c>
      <c r="F365" s="2"/>
      <c r="G365" s="2"/>
      <c r="H365" s="2"/>
      <c r="I365" s="2"/>
      <c r="J365" s="2"/>
      <c r="K365" s="2"/>
      <c r="L365" s="2"/>
      <c r="M365" s="2"/>
      <c r="N365" s="2"/>
      <c r="O365" s="2"/>
      <c r="P365" s="2"/>
      <c r="Q365" s="2"/>
      <c r="R365" s="2"/>
    </row>
    <row r="366">
      <c r="A366" s="2" t="s">
        <v>13</v>
      </c>
      <c r="B366" s="39">
        <v>420.0</v>
      </c>
      <c r="C366" s="8" t="s">
        <v>370</v>
      </c>
      <c r="D366" s="3"/>
      <c r="E366" s="39">
        <v>9.220225997E9</v>
      </c>
      <c r="F366" s="2"/>
      <c r="G366" s="2"/>
      <c r="H366" s="2"/>
      <c r="I366" s="2"/>
      <c r="J366" s="2"/>
      <c r="K366" s="2"/>
      <c r="L366" s="2"/>
      <c r="M366" s="2"/>
      <c r="N366" s="2"/>
      <c r="O366" s="2"/>
      <c r="P366" s="2"/>
      <c r="Q366" s="2"/>
      <c r="R366" s="2"/>
    </row>
    <row r="367">
      <c r="A367" s="2" t="s">
        <v>5</v>
      </c>
      <c r="B367" s="39">
        <v>421.0</v>
      </c>
      <c r="C367" s="42" t="s">
        <v>371</v>
      </c>
      <c r="D367" s="43"/>
      <c r="E367" s="39">
        <v>9.537492999E9</v>
      </c>
      <c r="F367" s="2"/>
      <c r="G367" s="2"/>
      <c r="H367" s="2"/>
      <c r="I367" s="2"/>
      <c r="J367" s="2"/>
      <c r="K367" s="2"/>
      <c r="L367" s="2"/>
      <c r="M367" s="2"/>
      <c r="N367" s="2"/>
      <c r="O367" s="2"/>
      <c r="P367" s="2"/>
      <c r="Q367" s="2"/>
      <c r="R367" s="2"/>
    </row>
    <row r="368">
      <c r="A368" s="2" t="s">
        <v>7</v>
      </c>
      <c r="B368" s="39">
        <v>422.0</v>
      </c>
      <c r="C368" s="8" t="s">
        <v>372</v>
      </c>
      <c r="D368" s="3"/>
      <c r="E368" s="39">
        <v>9.029907634E9</v>
      </c>
      <c r="F368" s="2"/>
      <c r="G368" s="2"/>
      <c r="H368" s="2"/>
      <c r="I368" s="2"/>
      <c r="J368" s="2"/>
      <c r="K368" s="2"/>
      <c r="L368" s="2"/>
      <c r="M368" s="2"/>
      <c r="N368" s="2"/>
      <c r="O368" s="2"/>
      <c r="P368" s="2"/>
      <c r="Q368" s="2"/>
      <c r="R368" s="2"/>
    </row>
    <row r="369">
      <c r="A369" s="2" t="s">
        <v>5</v>
      </c>
      <c r="B369" s="39">
        <v>423.0</v>
      </c>
      <c r="C369" s="42" t="s">
        <v>373</v>
      </c>
      <c r="D369" s="43"/>
      <c r="E369" s="39">
        <v>7.666868225E9</v>
      </c>
      <c r="F369" s="2"/>
      <c r="G369" s="2"/>
      <c r="H369" s="2"/>
      <c r="I369" s="2"/>
      <c r="J369" s="2"/>
      <c r="K369" s="2"/>
      <c r="L369" s="2"/>
      <c r="M369" s="2"/>
      <c r="N369" s="2"/>
      <c r="O369" s="2"/>
      <c r="P369" s="2"/>
      <c r="Q369" s="2"/>
      <c r="R369" s="2"/>
    </row>
    <row r="370">
      <c r="A370" s="2" t="s">
        <v>7</v>
      </c>
      <c r="B370" s="39">
        <v>424.0</v>
      </c>
      <c r="C370" s="3" t="s">
        <v>374</v>
      </c>
      <c r="D370" s="3"/>
      <c r="E370" s="45">
        <v>9.408284474E9</v>
      </c>
      <c r="F370" s="2"/>
      <c r="G370" s="2"/>
      <c r="H370" s="2"/>
      <c r="I370" s="2"/>
      <c r="J370" s="2"/>
      <c r="K370" s="2"/>
      <c r="L370" s="2"/>
      <c r="M370" s="2"/>
      <c r="N370" s="2"/>
      <c r="O370" s="2"/>
      <c r="P370" s="2"/>
      <c r="Q370" s="2"/>
      <c r="R370" s="2"/>
    </row>
    <row r="371">
      <c r="A371" s="2" t="s">
        <v>9</v>
      </c>
      <c r="B371" s="39">
        <v>425.0</v>
      </c>
      <c r="C371" s="43" t="s">
        <v>375</v>
      </c>
      <c r="D371" s="43"/>
      <c r="E371" s="45">
        <v>9.429061267E9</v>
      </c>
      <c r="F371" s="2"/>
      <c r="G371" s="2"/>
      <c r="H371" s="2"/>
      <c r="I371" s="2"/>
      <c r="J371" s="2"/>
      <c r="K371" s="2"/>
      <c r="L371" s="2"/>
      <c r="M371" s="2"/>
      <c r="N371" s="2"/>
      <c r="O371" s="2"/>
      <c r="P371" s="2"/>
      <c r="Q371" s="2"/>
      <c r="R371" s="2"/>
    </row>
    <row r="372">
      <c r="A372" s="2" t="s">
        <v>11</v>
      </c>
      <c r="B372" s="39">
        <v>426.0</v>
      </c>
      <c r="C372" s="3" t="s">
        <v>376</v>
      </c>
      <c r="D372" s="3"/>
      <c r="E372" s="45">
        <v>9.665179539E9</v>
      </c>
      <c r="F372" s="2"/>
      <c r="G372" s="2"/>
      <c r="H372" s="2"/>
      <c r="I372" s="2"/>
      <c r="J372" s="2"/>
      <c r="K372" s="2"/>
      <c r="L372" s="2"/>
      <c r="M372" s="2"/>
      <c r="N372" s="2"/>
      <c r="O372" s="2"/>
      <c r="P372" s="2"/>
      <c r="Q372" s="2"/>
      <c r="R372" s="2"/>
    </row>
    <row r="373">
      <c r="A373" s="2" t="s">
        <v>13</v>
      </c>
      <c r="B373" s="39">
        <v>427.0</v>
      </c>
      <c r="C373" s="43" t="s">
        <v>377</v>
      </c>
      <c r="D373" s="43"/>
      <c r="E373" s="39">
        <v>8.32021587E9</v>
      </c>
      <c r="F373" s="2"/>
      <c r="G373" s="2"/>
      <c r="H373" s="2"/>
      <c r="I373" s="2"/>
      <c r="J373" s="2"/>
      <c r="K373" s="2"/>
      <c r="L373" s="2"/>
      <c r="M373" s="2"/>
      <c r="N373" s="2"/>
      <c r="O373" s="2"/>
      <c r="P373" s="2"/>
      <c r="Q373" s="2"/>
      <c r="R373" s="2"/>
    </row>
    <row r="374">
      <c r="A374" s="2" t="s">
        <v>7</v>
      </c>
      <c r="B374" s="39">
        <v>429.0</v>
      </c>
      <c r="C374" s="3" t="s">
        <v>378</v>
      </c>
      <c r="D374" s="3"/>
      <c r="E374" s="45">
        <v>6.352539935E9</v>
      </c>
      <c r="F374" s="2"/>
      <c r="G374" s="2"/>
      <c r="H374" s="2"/>
      <c r="I374" s="2"/>
      <c r="J374" s="2"/>
      <c r="K374" s="2"/>
      <c r="L374" s="2"/>
      <c r="M374" s="2"/>
      <c r="N374" s="2"/>
      <c r="O374" s="2"/>
      <c r="P374" s="2"/>
      <c r="Q374" s="2"/>
      <c r="R374" s="2"/>
    </row>
    <row r="375">
      <c r="A375" s="2" t="s">
        <v>9</v>
      </c>
      <c r="B375" s="39">
        <v>430.0</v>
      </c>
      <c r="C375" s="43" t="s">
        <v>379</v>
      </c>
      <c r="D375" s="43"/>
      <c r="E375" s="39">
        <v>6.354503433E9</v>
      </c>
      <c r="F375" s="2"/>
      <c r="G375" s="2"/>
      <c r="H375" s="2"/>
      <c r="I375" s="2"/>
      <c r="J375" s="2"/>
      <c r="K375" s="2"/>
      <c r="L375" s="2"/>
      <c r="M375" s="2"/>
      <c r="N375" s="2"/>
      <c r="O375" s="2"/>
      <c r="P375" s="2"/>
      <c r="Q375" s="2"/>
      <c r="R375" s="2"/>
    </row>
    <row r="376">
      <c r="A376" s="2" t="s">
        <v>11</v>
      </c>
      <c r="B376" s="39">
        <v>431.0</v>
      </c>
      <c r="C376" s="3" t="s">
        <v>380</v>
      </c>
      <c r="D376" s="3"/>
      <c r="E376" s="39">
        <v>9.926652838E9</v>
      </c>
      <c r="F376" s="2"/>
      <c r="G376" s="2"/>
      <c r="H376" s="2"/>
      <c r="I376" s="2"/>
      <c r="J376" s="2"/>
      <c r="K376" s="2"/>
      <c r="L376" s="2"/>
      <c r="M376" s="2"/>
      <c r="N376" s="2"/>
      <c r="O376" s="2"/>
      <c r="P376" s="2"/>
      <c r="Q376" s="2"/>
      <c r="R376" s="2"/>
    </row>
    <row r="377">
      <c r="A377" s="2" t="s">
        <v>13</v>
      </c>
      <c r="B377" s="39">
        <v>432.0</v>
      </c>
      <c r="C377" s="43" t="s">
        <v>381</v>
      </c>
      <c r="D377" s="43"/>
      <c r="E377" s="39">
        <v>7.861988616E9</v>
      </c>
      <c r="F377" s="2"/>
      <c r="G377" s="2"/>
      <c r="H377" s="2"/>
      <c r="I377" s="2"/>
      <c r="J377" s="2"/>
      <c r="K377" s="2"/>
      <c r="L377" s="2"/>
      <c r="M377" s="2"/>
      <c r="N377" s="2"/>
      <c r="O377" s="2"/>
      <c r="P377" s="2"/>
      <c r="Q377" s="2"/>
      <c r="R377" s="2"/>
    </row>
    <row r="378">
      <c r="A378" s="2" t="s">
        <v>5</v>
      </c>
      <c r="B378" s="39">
        <v>433.0</v>
      </c>
      <c r="C378" s="3" t="s">
        <v>382</v>
      </c>
      <c r="D378" s="3"/>
      <c r="E378" s="39">
        <v>7.016262814E9</v>
      </c>
      <c r="F378" s="2"/>
      <c r="G378" s="2"/>
      <c r="H378" s="2"/>
      <c r="I378" s="2"/>
      <c r="J378" s="2"/>
      <c r="K378" s="2"/>
      <c r="L378" s="2"/>
      <c r="M378" s="2"/>
      <c r="N378" s="2"/>
      <c r="O378" s="2"/>
      <c r="P378" s="2"/>
      <c r="Q378" s="2"/>
      <c r="R378" s="2"/>
    </row>
    <row r="379">
      <c r="A379" s="2" t="s">
        <v>7</v>
      </c>
      <c r="B379" s="39">
        <v>434.0</v>
      </c>
      <c r="C379" s="43" t="s">
        <v>383</v>
      </c>
      <c r="D379" s="43"/>
      <c r="E379" s="45">
        <v>9.322516964E9</v>
      </c>
      <c r="F379" s="2"/>
      <c r="G379" s="2"/>
      <c r="H379" s="2"/>
      <c r="I379" s="2"/>
      <c r="J379" s="2"/>
      <c r="K379" s="2"/>
      <c r="L379" s="2"/>
      <c r="M379" s="2"/>
      <c r="N379" s="2"/>
      <c r="O379" s="2"/>
      <c r="P379" s="2"/>
      <c r="Q379" s="2"/>
      <c r="R379" s="2"/>
    </row>
    <row r="380">
      <c r="A380" s="2" t="s">
        <v>9</v>
      </c>
      <c r="B380" s="39">
        <v>435.0</v>
      </c>
      <c r="C380" s="3" t="s">
        <v>384</v>
      </c>
      <c r="D380" s="3"/>
      <c r="E380" s="39">
        <v>9.833047489E9</v>
      </c>
      <c r="F380" s="2"/>
      <c r="G380" s="2"/>
      <c r="H380" s="2"/>
      <c r="I380" s="2"/>
      <c r="J380" s="2"/>
      <c r="K380" s="2"/>
      <c r="L380" s="2"/>
      <c r="M380" s="2"/>
      <c r="N380" s="2"/>
      <c r="O380" s="2"/>
      <c r="P380" s="2"/>
      <c r="Q380" s="2"/>
      <c r="R380" s="2"/>
    </row>
    <row r="381">
      <c r="A381" s="2" t="s">
        <v>11</v>
      </c>
      <c r="B381" s="39">
        <v>436.0</v>
      </c>
      <c r="C381" s="43" t="s">
        <v>385</v>
      </c>
      <c r="D381" s="43"/>
      <c r="E381" s="39">
        <v>9.820154441E9</v>
      </c>
      <c r="F381" s="2"/>
      <c r="G381" s="2"/>
      <c r="H381" s="2"/>
      <c r="I381" s="2"/>
      <c r="J381" s="2"/>
      <c r="K381" s="2"/>
      <c r="L381" s="2"/>
      <c r="M381" s="2"/>
      <c r="N381" s="2"/>
      <c r="O381" s="2"/>
      <c r="P381" s="2"/>
      <c r="Q381" s="2"/>
      <c r="R381" s="2"/>
    </row>
    <row r="382">
      <c r="A382" s="2" t="s">
        <v>13</v>
      </c>
      <c r="B382" s="39">
        <v>437.0</v>
      </c>
      <c r="C382" s="3" t="s">
        <v>386</v>
      </c>
      <c r="D382" s="3"/>
      <c r="E382" s="39">
        <v>8.817004734E9</v>
      </c>
      <c r="F382" s="2"/>
      <c r="G382" s="2"/>
      <c r="H382" s="2"/>
      <c r="I382" s="2"/>
      <c r="J382" s="2"/>
      <c r="K382" s="2"/>
      <c r="L382" s="2"/>
      <c r="M382" s="2"/>
      <c r="N382" s="2"/>
      <c r="O382" s="2"/>
      <c r="P382" s="2"/>
      <c r="Q382" s="2"/>
      <c r="R382" s="2"/>
    </row>
    <row r="383">
      <c r="A383" s="2" t="s">
        <v>5</v>
      </c>
      <c r="B383" s="39">
        <v>438.0</v>
      </c>
      <c r="C383" s="43" t="s">
        <v>387</v>
      </c>
      <c r="D383" s="43"/>
      <c r="E383" s="39">
        <v>9.653253372E9</v>
      </c>
      <c r="F383" s="2"/>
      <c r="G383" s="2"/>
      <c r="H383" s="2"/>
      <c r="I383" s="2"/>
      <c r="J383" s="2"/>
      <c r="K383" s="2"/>
      <c r="L383" s="2"/>
      <c r="M383" s="2"/>
      <c r="N383" s="2"/>
      <c r="O383" s="2"/>
      <c r="P383" s="2"/>
      <c r="Q383" s="2"/>
      <c r="R383" s="2"/>
    </row>
    <row r="384">
      <c r="A384" s="2" t="s">
        <v>7</v>
      </c>
      <c r="B384" s="39">
        <v>439.0</v>
      </c>
      <c r="C384" s="3" t="s">
        <v>388</v>
      </c>
      <c r="D384" s="3"/>
      <c r="E384" s="45">
        <v>9.773635256E9</v>
      </c>
      <c r="F384" s="2"/>
      <c r="G384" s="2"/>
      <c r="H384" s="2"/>
      <c r="I384" s="2"/>
      <c r="J384" s="2"/>
      <c r="K384" s="2"/>
      <c r="L384" s="2"/>
      <c r="M384" s="2"/>
      <c r="N384" s="2"/>
      <c r="O384" s="2"/>
      <c r="P384" s="2"/>
      <c r="Q384" s="2"/>
      <c r="R384" s="2"/>
    </row>
    <row r="385">
      <c r="A385" s="2" t="s">
        <v>9</v>
      </c>
      <c r="B385" s="39">
        <v>440.0</v>
      </c>
      <c r="C385" s="43" t="s">
        <v>389</v>
      </c>
      <c r="D385" s="43"/>
      <c r="E385" s="39">
        <v>9.111347172E9</v>
      </c>
      <c r="F385" s="2"/>
      <c r="G385" s="2"/>
      <c r="H385" s="2"/>
      <c r="I385" s="2"/>
      <c r="J385" s="2"/>
      <c r="K385" s="2"/>
      <c r="L385" s="2"/>
      <c r="M385" s="2"/>
      <c r="N385" s="2"/>
      <c r="O385" s="2"/>
      <c r="P385" s="2"/>
      <c r="Q385" s="2"/>
      <c r="R385" s="2"/>
    </row>
    <row r="386">
      <c r="A386" s="2" t="s">
        <v>11</v>
      </c>
      <c r="B386" s="39">
        <v>441.0</v>
      </c>
      <c r="C386" s="3" t="s">
        <v>390</v>
      </c>
      <c r="D386" s="3"/>
      <c r="E386" s="39">
        <v>9.909887762E9</v>
      </c>
      <c r="F386" s="2"/>
      <c r="G386" s="2"/>
      <c r="H386" s="2"/>
      <c r="I386" s="2"/>
      <c r="J386" s="2"/>
      <c r="K386" s="2"/>
      <c r="L386" s="2"/>
      <c r="M386" s="2"/>
      <c r="N386" s="2"/>
      <c r="O386" s="2"/>
      <c r="P386" s="2"/>
      <c r="Q386" s="2"/>
      <c r="R386" s="2"/>
    </row>
    <row r="387">
      <c r="A387" s="2" t="s">
        <v>13</v>
      </c>
      <c r="B387" s="39">
        <v>442.0</v>
      </c>
      <c r="C387" s="42" t="s">
        <v>391</v>
      </c>
      <c r="D387" s="3"/>
      <c r="E387" s="39">
        <v>9.824277791E9</v>
      </c>
      <c r="F387" s="2"/>
      <c r="G387" s="2"/>
      <c r="H387" s="2"/>
      <c r="I387" s="2"/>
      <c r="J387" s="2"/>
      <c r="K387" s="2"/>
      <c r="L387" s="2"/>
      <c r="M387" s="2"/>
      <c r="N387" s="2"/>
      <c r="O387" s="2"/>
      <c r="P387" s="2"/>
      <c r="Q387" s="2"/>
      <c r="R387" s="2"/>
    </row>
    <row r="388">
      <c r="A388" s="2" t="s">
        <v>5</v>
      </c>
      <c r="B388" s="39">
        <v>443.0</v>
      </c>
      <c r="C388" s="3" t="s">
        <v>392</v>
      </c>
      <c r="D388" s="3"/>
      <c r="E388" s="45">
        <v>9.977892424E9</v>
      </c>
      <c r="F388" s="2"/>
      <c r="G388" s="2"/>
      <c r="H388" s="2"/>
      <c r="I388" s="2"/>
      <c r="J388" s="2"/>
      <c r="K388" s="2"/>
      <c r="L388" s="2"/>
      <c r="M388" s="2"/>
      <c r="N388" s="2"/>
      <c r="O388" s="2"/>
      <c r="P388" s="2"/>
      <c r="Q388" s="2"/>
      <c r="R388" s="2"/>
    </row>
    <row r="389">
      <c r="A389" s="2" t="s">
        <v>7</v>
      </c>
      <c r="B389" s="39">
        <v>444.0</v>
      </c>
      <c r="C389" s="43" t="s">
        <v>355</v>
      </c>
      <c r="D389" s="43"/>
      <c r="E389" s="45">
        <v>8.983021828E9</v>
      </c>
      <c r="F389" s="2"/>
      <c r="G389" s="2"/>
      <c r="H389" s="2"/>
      <c r="I389" s="2"/>
      <c r="J389" s="2"/>
      <c r="K389" s="2"/>
      <c r="L389" s="2"/>
      <c r="M389" s="2"/>
      <c r="N389" s="2"/>
      <c r="O389" s="2"/>
      <c r="P389" s="2"/>
      <c r="Q389" s="2"/>
      <c r="R389" s="2"/>
    </row>
    <row r="390">
      <c r="A390" s="2" t="s">
        <v>9</v>
      </c>
      <c r="B390" s="39">
        <v>445.0</v>
      </c>
      <c r="C390" s="8" t="s">
        <v>343</v>
      </c>
      <c r="D390" s="3"/>
      <c r="E390" s="44">
        <v>9.977003919E9</v>
      </c>
      <c r="F390" s="2"/>
      <c r="G390" s="2"/>
      <c r="H390" s="2"/>
      <c r="I390" s="2"/>
      <c r="J390" s="2"/>
      <c r="K390" s="2"/>
      <c r="L390" s="2"/>
      <c r="M390" s="2"/>
      <c r="N390" s="2"/>
      <c r="O390" s="2"/>
      <c r="P390" s="2"/>
      <c r="Q390" s="2"/>
      <c r="R390" s="2"/>
    </row>
    <row r="391">
      <c r="A391" s="2" t="s">
        <v>5</v>
      </c>
      <c r="B391" s="39">
        <v>448.0</v>
      </c>
      <c r="C391" s="42" t="s">
        <v>393</v>
      </c>
      <c r="D391" s="43"/>
      <c r="E391" s="39">
        <v>7.898717647E9</v>
      </c>
      <c r="F391" s="2"/>
      <c r="G391" s="2"/>
      <c r="H391" s="2"/>
      <c r="I391" s="2"/>
      <c r="J391" s="2"/>
      <c r="K391" s="2"/>
      <c r="L391" s="2"/>
      <c r="M391" s="2"/>
      <c r="N391" s="2"/>
      <c r="O391" s="2"/>
      <c r="P391" s="2"/>
      <c r="Q391" s="2"/>
      <c r="R391" s="2"/>
    </row>
    <row r="392">
      <c r="A392" s="2" t="s">
        <v>7</v>
      </c>
      <c r="B392" s="39">
        <v>449.0</v>
      </c>
      <c r="C392" s="8" t="s">
        <v>394</v>
      </c>
      <c r="D392" s="3"/>
      <c r="E392" s="39">
        <v>2.135477336E9</v>
      </c>
      <c r="F392" s="2"/>
      <c r="G392" s="2"/>
      <c r="H392" s="2"/>
      <c r="I392" s="2"/>
      <c r="J392" s="2"/>
      <c r="K392" s="2"/>
      <c r="L392" s="2"/>
      <c r="M392" s="2"/>
      <c r="N392" s="2"/>
      <c r="O392" s="2"/>
      <c r="P392" s="2"/>
      <c r="Q392" s="2"/>
      <c r="R392" s="2"/>
    </row>
    <row r="393">
      <c r="A393" s="2" t="s">
        <v>9</v>
      </c>
      <c r="B393" s="39">
        <v>450.0</v>
      </c>
      <c r="C393" s="42" t="s">
        <v>395</v>
      </c>
      <c r="D393" s="43"/>
      <c r="E393" s="39">
        <v>8.866084392E9</v>
      </c>
      <c r="F393" s="2"/>
      <c r="G393" s="2"/>
      <c r="H393" s="2"/>
      <c r="I393" s="2"/>
      <c r="J393" s="2"/>
      <c r="K393" s="2"/>
      <c r="L393" s="2"/>
      <c r="M393" s="2"/>
      <c r="N393" s="2"/>
      <c r="O393" s="2"/>
      <c r="P393" s="2"/>
      <c r="Q393" s="2"/>
      <c r="R393" s="2"/>
    </row>
    <row r="394">
      <c r="A394" s="2" t="s">
        <v>11</v>
      </c>
      <c r="B394" s="39">
        <v>451.0</v>
      </c>
      <c r="C394" s="46" t="s">
        <v>396</v>
      </c>
      <c r="D394" s="2"/>
      <c r="E394" s="39">
        <v>9.981000715E9</v>
      </c>
      <c r="F394" s="2"/>
      <c r="G394" s="2"/>
      <c r="H394" s="2"/>
      <c r="I394" s="2"/>
      <c r="J394" s="2"/>
      <c r="K394" s="2"/>
      <c r="L394" s="2"/>
      <c r="M394" s="2"/>
      <c r="N394" s="2"/>
      <c r="O394" s="2"/>
      <c r="P394" s="2"/>
      <c r="Q394" s="2"/>
      <c r="R394" s="2"/>
    </row>
    <row r="395">
      <c r="A395" s="3" t="s">
        <v>13</v>
      </c>
      <c r="B395" s="4">
        <v>452.0</v>
      </c>
      <c r="C395" s="42" t="s">
        <v>397</v>
      </c>
      <c r="D395" s="3"/>
      <c r="E395" s="4">
        <v>9.981000715E9</v>
      </c>
      <c r="F395" s="3"/>
      <c r="G395" s="3"/>
      <c r="H395" s="3"/>
      <c r="I395" s="3"/>
      <c r="J395" s="3"/>
      <c r="K395" s="3"/>
      <c r="L395" s="2"/>
      <c r="M395" s="2"/>
      <c r="N395" s="2"/>
      <c r="O395" s="2"/>
      <c r="P395" s="2"/>
      <c r="Q395" s="2"/>
      <c r="R395" s="2"/>
    </row>
    <row r="396">
      <c r="A396" s="3" t="s">
        <v>5</v>
      </c>
      <c r="B396" s="4">
        <v>453.0</v>
      </c>
      <c r="C396" s="3" t="s">
        <v>398</v>
      </c>
      <c r="D396" s="3"/>
      <c r="E396" s="4">
        <v>9.036980953E9</v>
      </c>
      <c r="F396" s="3"/>
      <c r="G396" s="3"/>
      <c r="H396" s="3"/>
      <c r="I396" s="3"/>
      <c r="J396" s="3"/>
      <c r="K396" s="3"/>
      <c r="L396" s="2"/>
      <c r="M396" s="2"/>
      <c r="N396" s="2"/>
      <c r="O396" s="2"/>
      <c r="P396" s="2"/>
      <c r="Q396" s="2"/>
      <c r="R396" s="2"/>
    </row>
    <row r="397">
      <c r="A397" s="3" t="s">
        <v>7</v>
      </c>
      <c r="B397" s="4">
        <v>454.0</v>
      </c>
      <c r="C397" s="3" t="s">
        <v>399</v>
      </c>
      <c r="D397" s="3"/>
      <c r="E397" s="4">
        <v>7.70987325E9</v>
      </c>
      <c r="F397" s="3"/>
      <c r="G397" s="3"/>
      <c r="H397" s="3"/>
      <c r="I397" s="3"/>
      <c r="J397" s="3"/>
      <c r="K397" s="3"/>
      <c r="L397" s="2"/>
      <c r="M397" s="2"/>
      <c r="N397" s="2"/>
      <c r="O397" s="2"/>
      <c r="P397" s="2"/>
      <c r="Q397" s="2"/>
      <c r="R397" s="2"/>
    </row>
    <row r="398">
      <c r="A398" s="2" t="s">
        <v>9</v>
      </c>
      <c r="B398" s="39">
        <v>455.0</v>
      </c>
      <c r="C398" s="2" t="s">
        <v>400</v>
      </c>
      <c r="D398" s="2"/>
      <c r="E398" s="39">
        <v>8.200395936E9</v>
      </c>
      <c r="F398" s="2"/>
      <c r="G398" s="2"/>
      <c r="H398" s="2"/>
      <c r="I398" s="2"/>
      <c r="J398" s="2"/>
      <c r="K398" s="2"/>
      <c r="L398" s="2"/>
      <c r="M398" s="2"/>
      <c r="N398" s="2"/>
      <c r="O398" s="2"/>
      <c r="P398" s="2"/>
      <c r="Q398" s="2"/>
      <c r="R398" s="2"/>
    </row>
    <row r="399">
      <c r="A399" s="2" t="s">
        <v>11</v>
      </c>
      <c r="B399" s="39">
        <v>456.0</v>
      </c>
      <c r="C399" s="2" t="s">
        <v>401</v>
      </c>
      <c r="D399" s="2"/>
      <c r="E399" s="39">
        <v>9.893967854E9</v>
      </c>
      <c r="F399" s="2"/>
      <c r="G399" s="2"/>
      <c r="H399" s="2"/>
      <c r="I399" s="2"/>
      <c r="J399" s="2"/>
      <c r="K399" s="2"/>
      <c r="L399" s="2"/>
      <c r="M399" s="2"/>
      <c r="N399" s="2"/>
      <c r="O399" s="2"/>
      <c r="P399" s="2"/>
      <c r="Q399" s="2"/>
      <c r="R399" s="2"/>
    </row>
    <row r="400">
      <c r="A400" s="2" t="s">
        <v>13</v>
      </c>
      <c r="B400" s="39">
        <v>457.0</v>
      </c>
      <c r="C400" s="2" t="s">
        <v>402</v>
      </c>
      <c r="D400" s="2"/>
      <c r="E400" s="39">
        <v>6.260188588E9</v>
      </c>
      <c r="F400" s="2"/>
      <c r="G400" s="2"/>
      <c r="H400" s="2"/>
      <c r="I400" s="2"/>
      <c r="J400" s="2"/>
      <c r="K400" s="2"/>
      <c r="L400" s="2"/>
      <c r="M400" s="2"/>
      <c r="N400" s="2"/>
      <c r="O400" s="2"/>
      <c r="P400" s="2"/>
      <c r="Q400" s="2"/>
      <c r="R400" s="2"/>
    </row>
    <row r="401">
      <c r="A401" s="2" t="s">
        <v>5</v>
      </c>
      <c r="B401" s="39">
        <v>458.0</v>
      </c>
      <c r="C401" s="2" t="s">
        <v>403</v>
      </c>
      <c r="D401" s="2"/>
      <c r="E401" s="39">
        <v>9.893267239E9</v>
      </c>
      <c r="F401" s="2"/>
      <c r="G401" s="2"/>
      <c r="H401" s="2"/>
      <c r="I401" s="2"/>
      <c r="J401" s="2"/>
      <c r="K401" s="2"/>
      <c r="L401" s="2"/>
      <c r="M401" s="2"/>
      <c r="N401" s="2"/>
      <c r="O401" s="2"/>
      <c r="P401" s="2"/>
      <c r="Q401" s="2"/>
      <c r="R401" s="2"/>
    </row>
    <row r="402">
      <c r="A402" s="2" t="s">
        <v>7</v>
      </c>
      <c r="B402" s="39">
        <v>459.0</v>
      </c>
      <c r="C402" s="2" t="s">
        <v>404</v>
      </c>
      <c r="D402" s="2"/>
      <c r="E402" s="39">
        <v>9.92393692E9</v>
      </c>
      <c r="F402" s="2"/>
      <c r="G402" s="2"/>
      <c r="H402" s="2"/>
      <c r="I402" s="2"/>
      <c r="J402" s="2"/>
      <c r="K402" s="2"/>
      <c r="L402" s="2"/>
      <c r="M402" s="2"/>
      <c r="N402" s="2"/>
      <c r="O402" s="2"/>
      <c r="P402" s="2"/>
      <c r="Q402" s="2"/>
      <c r="R402" s="2"/>
    </row>
    <row r="403">
      <c r="A403" s="2" t="s">
        <v>9</v>
      </c>
      <c r="B403" s="39">
        <v>460.0</v>
      </c>
      <c r="C403" s="2" t="s">
        <v>405</v>
      </c>
      <c r="D403" s="2"/>
      <c r="E403" s="39">
        <v>8.421277997E9</v>
      </c>
      <c r="F403" s="2"/>
      <c r="G403" s="2"/>
      <c r="H403" s="2"/>
      <c r="I403" s="2"/>
      <c r="J403" s="2"/>
      <c r="K403" s="2"/>
      <c r="L403" s="2"/>
      <c r="M403" s="2"/>
      <c r="N403" s="2"/>
      <c r="O403" s="2"/>
      <c r="P403" s="2"/>
      <c r="Q403" s="2"/>
      <c r="R403" s="2"/>
    </row>
    <row r="404">
      <c r="A404" s="2" t="s">
        <v>11</v>
      </c>
      <c r="B404" s="39">
        <v>461.0</v>
      </c>
      <c r="C404" s="2" t="s">
        <v>406</v>
      </c>
      <c r="D404" s="2"/>
      <c r="E404" s="39">
        <v>9.325702528E9</v>
      </c>
      <c r="F404" s="2"/>
      <c r="G404" s="2"/>
      <c r="H404" s="2"/>
      <c r="I404" s="2"/>
      <c r="J404" s="2"/>
      <c r="K404" s="2"/>
      <c r="L404" s="2"/>
      <c r="M404" s="2"/>
      <c r="N404" s="2"/>
      <c r="O404" s="2"/>
      <c r="P404" s="2"/>
      <c r="Q404" s="2"/>
      <c r="R404" s="2"/>
    </row>
    <row r="405">
      <c r="A405" s="2" t="s">
        <v>13</v>
      </c>
      <c r="B405" s="39">
        <v>462.0</v>
      </c>
      <c r="C405" s="2" t="s">
        <v>407</v>
      </c>
      <c r="D405" s="2"/>
      <c r="E405" s="39">
        <v>9.049038089E9</v>
      </c>
      <c r="F405" s="2"/>
      <c r="G405" s="2"/>
      <c r="H405" s="2"/>
      <c r="I405" s="2"/>
      <c r="J405" s="2"/>
      <c r="K405" s="2"/>
      <c r="L405" s="2"/>
      <c r="M405" s="2"/>
      <c r="N405" s="2"/>
      <c r="O405" s="2"/>
      <c r="P405" s="2"/>
      <c r="Q405" s="2"/>
      <c r="R405" s="2"/>
    </row>
    <row r="406">
      <c r="A406" s="2" t="s">
        <v>5</v>
      </c>
      <c r="B406" s="39">
        <v>463.0</v>
      </c>
      <c r="C406" s="2" t="s">
        <v>408</v>
      </c>
      <c r="D406" s="2"/>
      <c r="E406" s="39">
        <v>9.201696457E9</v>
      </c>
      <c r="F406" s="2"/>
      <c r="G406" s="2"/>
      <c r="H406" s="2"/>
      <c r="I406" s="2"/>
      <c r="J406" s="2"/>
      <c r="K406" s="2"/>
      <c r="L406" s="2"/>
      <c r="M406" s="2"/>
      <c r="N406" s="2"/>
      <c r="O406" s="2"/>
      <c r="P406" s="2"/>
      <c r="Q406" s="2"/>
      <c r="R406" s="2"/>
    </row>
    <row r="407">
      <c r="A407" s="2" t="s">
        <v>7</v>
      </c>
      <c r="B407" s="39">
        <v>464.0</v>
      </c>
      <c r="C407" s="2" t="s">
        <v>409</v>
      </c>
      <c r="D407" s="2"/>
      <c r="E407" s="39">
        <v>9.834083806E9</v>
      </c>
      <c r="F407" s="2"/>
      <c r="G407" s="2"/>
      <c r="H407" s="2"/>
      <c r="I407" s="2"/>
      <c r="J407" s="2"/>
      <c r="K407" s="2"/>
      <c r="L407" s="2"/>
      <c r="M407" s="2"/>
      <c r="N407" s="2"/>
      <c r="O407" s="2"/>
      <c r="P407" s="2"/>
      <c r="Q407" s="2"/>
      <c r="R407" s="2"/>
    </row>
    <row r="408">
      <c r="A408" s="2" t="s">
        <v>9</v>
      </c>
      <c r="B408" s="39">
        <v>465.0</v>
      </c>
      <c r="C408" s="2" t="s">
        <v>410</v>
      </c>
      <c r="D408" s="2"/>
      <c r="E408" s="39">
        <v>8.734839993E9</v>
      </c>
      <c r="F408" s="2"/>
      <c r="G408" s="2"/>
      <c r="H408" s="2"/>
      <c r="I408" s="2"/>
      <c r="J408" s="2"/>
      <c r="K408" s="2"/>
      <c r="L408" s="2"/>
      <c r="M408" s="2"/>
      <c r="N408" s="2"/>
      <c r="O408" s="2"/>
      <c r="P408" s="2"/>
      <c r="Q408" s="2"/>
      <c r="R408" s="2"/>
    </row>
    <row r="409">
      <c r="A409" s="2" t="s">
        <v>11</v>
      </c>
      <c r="B409" s="39">
        <v>466.0</v>
      </c>
      <c r="C409" s="2" t="s">
        <v>411</v>
      </c>
      <c r="D409" s="2"/>
      <c r="E409" s="39">
        <v>7.62204382E9</v>
      </c>
      <c r="F409" s="2"/>
      <c r="G409" s="2"/>
      <c r="H409" s="2"/>
      <c r="I409" s="2"/>
      <c r="J409" s="2"/>
      <c r="K409" s="2"/>
      <c r="L409" s="2"/>
      <c r="M409" s="2"/>
      <c r="N409" s="2"/>
      <c r="O409" s="2"/>
      <c r="P409" s="2"/>
      <c r="Q409" s="2"/>
      <c r="R409" s="2"/>
    </row>
    <row r="410">
      <c r="A410" s="2" t="s">
        <v>13</v>
      </c>
      <c r="B410" s="39">
        <v>467.0</v>
      </c>
      <c r="C410" s="2" t="s">
        <v>412</v>
      </c>
      <c r="D410" s="2"/>
      <c r="E410" s="39">
        <v>9.712146398E9</v>
      </c>
      <c r="F410" s="2"/>
      <c r="G410" s="2"/>
      <c r="H410" s="2"/>
      <c r="I410" s="2"/>
      <c r="J410" s="2"/>
      <c r="K410" s="2"/>
      <c r="L410" s="2"/>
      <c r="M410" s="2"/>
      <c r="N410" s="2"/>
      <c r="O410" s="2"/>
      <c r="P410" s="2"/>
      <c r="Q410" s="2"/>
      <c r="R410" s="2"/>
    </row>
    <row r="411">
      <c r="A411" s="2" t="s">
        <v>5</v>
      </c>
      <c r="B411" s="39">
        <v>468.0</v>
      </c>
      <c r="C411" s="2" t="s">
        <v>413</v>
      </c>
      <c r="D411" s="2"/>
      <c r="E411" s="39">
        <v>9.426172768E9</v>
      </c>
      <c r="F411" s="2"/>
      <c r="G411" s="2"/>
      <c r="H411" s="2"/>
      <c r="I411" s="2"/>
      <c r="J411" s="2"/>
      <c r="K411" s="2"/>
      <c r="L411" s="2"/>
      <c r="M411" s="2"/>
      <c r="N411" s="2"/>
      <c r="O411" s="2"/>
      <c r="P411" s="2"/>
      <c r="Q411" s="2"/>
      <c r="R411" s="2"/>
    </row>
    <row r="412">
      <c r="A412" s="2" t="s">
        <v>7</v>
      </c>
      <c r="B412" s="39">
        <v>469.0</v>
      </c>
      <c r="C412" s="2" t="s">
        <v>414</v>
      </c>
      <c r="D412" s="2"/>
      <c r="E412" s="39">
        <v>8.971996137E9</v>
      </c>
      <c r="F412" s="2"/>
      <c r="G412" s="2"/>
      <c r="H412" s="2"/>
      <c r="I412" s="2"/>
      <c r="J412" s="2"/>
      <c r="K412" s="2"/>
      <c r="L412" s="2"/>
      <c r="M412" s="2"/>
      <c r="N412" s="2"/>
      <c r="O412" s="2"/>
      <c r="P412" s="2"/>
      <c r="Q412" s="2"/>
      <c r="R412" s="2"/>
    </row>
    <row r="413">
      <c r="A413" s="2" t="s">
        <v>9</v>
      </c>
      <c r="B413" s="39">
        <v>470.0</v>
      </c>
      <c r="C413" s="2" t="s">
        <v>415</v>
      </c>
      <c r="D413" s="2"/>
      <c r="E413" s="39">
        <v>9.714233768E9</v>
      </c>
      <c r="F413" s="2"/>
      <c r="G413" s="2"/>
      <c r="H413" s="2"/>
      <c r="I413" s="2"/>
      <c r="J413" s="2"/>
      <c r="K413" s="2"/>
      <c r="L413" s="2"/>
      <c r="M413" s="2"/>
      <c r="N413" s="2"/>
      <c r="O413" s="2"/>
      <c r="P413" s="2"/>
      <c r="Q413" s="2"/>
      <c r="R413" s="2"/>
    </row>
    <row r="414">
      <c r="A414" s="2" t="s">
        <v>11</v>
      </c>
      <c r="B414" s="39">
        <v>471.0</v>
      </c>
      <c r="C414" s="2" t="s">
        <v>416</v>
      </c>
      <c r="D414" s="2"/>
      <c r="E414" s="39">
        <v>8.780627901E9</v>
      </c>
      <c r="F414" s="2"/>
      <c r="G414" s="2"/>
      <c r="H414" s="2"/>
      <c r="I414" s="2"/>
      <c r="J414" s="2"/>
      <c r="K414" s="2"/>
      <c r="L414" s="2"/>
      <c r="M414" s="2"/>
      <c r="N414" s="2"/>
      <c r="O414" s="2"/>
      <c r="P414" s="2"/>
      <c r="Q414" s="2"/>
      <c r="R414" s="2"/>
    </row>
    <row r="415">
      <c r="A415" s="2" t="s">
        <v>13</v>
      </c>
      <c r="B415" s="39">
        <v>472.0</v>
      </c>
      <c r="C415" s="2" t="s">
        <v>417</v>
      </c>
      <c r="D415" s="2"/>
      <c r="E415" s="39">
        <v>9.755283303E9</v>
      </c>
      <c r="F415" s="2"/>
      <c r="G415" s="2"/>
      <c r="H415" s="2"/>
      <c r="I415" s="2"/>
      <c r="J415" s="2"/>
      <c r="K415" s="2"/>
      <c r="L415" s="2"/>
      <c r="M415" s="2"/>
      <c r="N415" s="2"/>
      <c r="O415" s="2"/>
      <c r="P415" s="2"/>
      <c r="Q415" s="2"/>
      <c r="R415" s="2"/>
    </row>
    <row r="416">
      <c r="A416" s="2" t="s">
        <v>5</v>
      </c>
      <c r="B416" s="39">
        <v>473.0</v>
      </c>
      <c r="C416" s="2" t="s">
        <v>418</v>
      </c>
      <c r="D416" s="2"/>
      <c r="E416" s="39">
        <v>7.974433972E9</v>
      </c>
      <c r="F416" s="2"/>
      <c r="G416" s="2"/>
      <c r="H416" s="2"/>
      <c r="I416" s="2"/>
      <c r="J416" s="2"/>
      <c r="K416" s="2"/>
      <c r="L416" s="2"/>
      <c r="M416" s="2"/>
      <c r="N416" s="2"/>
      <c r="O416" s="2"/>
      <c r="P416" s="2"/>
      <c r="Q416" s="2"/>
      <c r="R416" s="2"/>
    </row>
    <row r="417">
      <c r="A417" s="2" t="s">
        <v>7</v>
      </c>
      <c r="B417" s="39">
        <v>474.0</v>
      </c>
      <c r="C417" s="2" t="s">
        <v>419</v>
      </c>
      <c r="D417" s="2"/>
      <c r="E417" s="39">
        <v>9.17362393E9</v>
      </c>
      <c r="F417" s="2"/>
      <c r="G417" s="2"/>
      <c r="H417" s="2"/>
      <c r="I417" s="2"/>
      <c r="J417" s="2"/>
      <c r="K417" s="2"/>
      <c r="L417" s="2"/>
      <c r="M417" s="2"/>
      <c r="N417" s="2"/>
      <c r="O417" s="2"/>
      <c r="P417" s="2"/>
      <c r="Q417" s="2"/>
      <c r="R417" s="2"/>
    </row>
    <row r="418">
      <c r="A418" s="2" t="s">
        <v>9</v>
      </c>
      <c r="B418" s="39">
        <v>475.0</v>
      </c>
      <c r="C418" s="2" t="s">
        <v>420</v>
      </c>
      <c r="D418" s="2"/>
      <c r="E418" s="39">
        <v>4.084205253E9</v>
      </c>
      <c r="F418" s="2"/>
      <c r="G418" s="2"/>
      <c r="H418" s="2"/>
      <c r="I418" s="2"/>
      <c r="J418" s="2"/>
      <c r="K418" s="2"/>
      <c r="L418" s="2"/>
      <c r="M418" s="2"/>
      <c r="N418" s="2"/>
      <c r="O418" s="2"/>
      <c r="P418" s="2"/>
      <c r="Q418" s="2"/>
      <c r="R418" s="2"/>
    </row>
    <row r="419">
      <c r="A419" s="2"/>
      <c r="B419" s="2"/>
      <c r="C419" s="2"/>
      <c r="D419" s="2"/>
      <c r="E419" s="2"/>
      <c r="F419" s="2"/>
      <c r="G419" s="2"/>
      <c r="H419" s="2"/>
      <c r="I419" s="2"/>
      <c r="J419" s="2"/>
      <c r="K419" s="2"/>
      <c r="L419" s="2"/>
      <c r="M419" s="2"/>
      <c r="N419" s="2"/>
      <c r="O419" s="2"/>
      <c r="P419" s="2"/>
      <c r="Q419" s="2"/>
      <c r="R419" s="2"/>
    </row>
    <row r="420">
      <c r="A420" s="2"/>
      <c r="B420" s="2"/>
      <c r="C420" s="2"/>
      <c r="D420" s="2"/>
      <c r="E420" s="2"/>
      <c r="F420" s="2"/>
      <c r="G420" s="2"/>
      <c r="H420" s="2"/>
      <c r="I420" s="2"/>
      <c r="J420" s="2"/>
      <c r="K420" s="2"/>
      <c r="L420" s="2"/>
      <c r="M420" s="2"/>
      <c r="N420" s="2"/>
      <c r="O420" s="2"/>
      <c r="P420" s="2"/>
      <c r="Q420" s="2"/>
      <c r="R420" s="2"/>
    </row>
    <row r="421">
      <c r="A421" s="2"/>
      <c r="B421" s="2"/>
      <c r="C421" s="2"/>
      <c r="D421" s="2"/>
      <c r="E421" s="2"/>
      <c r="F421" s="2"/>
      <c r="G421" s="2"/>
      <c r="H421" s="2"/>
      <c r="I421" s="2"/>
      <c r="J421" s="2"/>
      <c r="K421" s="2"/>
      <c r="L421" s="2"/>
      <c r="M421" s="2"/>
      <c r="N421" s="2"/>
      <c r="O421" s="2"/>
      <c r="P421" s="2"/>
      <c r="Q421" s="2"/>
      <c r="R421" s="2"/>
    </row>
    <row r="422">
      <c r="A422" s="2"/>
      <c r="B422" s="2"/>
      <c r="C422" s="2"/>
      <c r="D422" s="2"/>
      <c r="E422" s="2"/>
      <c r="F422" s="2"/>
      <c r="G422" s="2"/>
      <c r="H422" s="2"/>
      <c r="I422" s="2"/>
      <c r="J422" s="2"/>
      <c r="K422" s="2"/>
      <c r="L422" s="2"/>
      <c r="M422" s="2"/>
      <c r="N422" s="2"/>
      <c r="O422" s="2"/>
      <c r="P422" s="2"/>
      <c r="Q422" s="2"/>
      <c r="R422" s="2"/>
    </row>
    <row r="423">
      <c r="A423" s="2"/>
      <c r="B423" s="2"/>
      <c r="C423" s="2"/>
      <c r="D423" s="2"/>
      <c r="E423" s="2"/>
      <c r="F423" s="2"/>
      <c r="G423" s="2"/>
      <c r="H423" s="2"/>
      <c r="I423" s="2"/>
      <c r="J423" s="2"/>
      <c r="K423" s="2"/>
      <c r="L423" s="2"/>
      <c r="M423" s="2"/>
      <c r="N423" s="2"/>
      <c r="O423" s="2"/>
      <c r="P423" s="2"/>
      <c r="Q423" s="2"/>
      <c r="R423" s="2"/>
    </row>
    <row r="424">
      <c r="A424" s="2"/>
      <c r="B424" s="2"/>
      <c r="C424" s="2"/>
      <c r="D424" s="2"/>
      <c r="E424" s="2"/>
      <c r="F424" s="2"/>
      <c r="G424" s="2"/>
      <c r="H424" s="2"/>
      <c r="I424" s="2"/>
      <c r="J424" s="2"/>
      <c r="K424" s="2"/>
      <c r="L424" s="2"/>
      <c r="M424" s="2"/>
      <c r="N424" s="2"/>
      <c r="O424" s="2"/>
      <c r="P424" s="2"/>
      <c r="Q424" s="2"/>
      <c r="R424" s="2"/>
    </row>
    <row r="425">
      <c r="A425" s="2"/>
      <c r="B425" s="2"/>
      <c r="C425" s="2"/>
      <c r="D425" s="2"/>
      <c r="E425" s="2"/>
      <c r="F425" s="2"/>
      <c r="G425" s="2"/>
      <c r="H425" s="2"/>
      <c r="I425" s="2"/>
      <c r="J425" s="2"/>
      <c r="K425" s="2"/>
      <c r="L425" s="2"/>
      <c r="M425" s="2"/>
      <c r="N425" s="2"/>
      <c r="O425" s="2"/>
      <c r="P425" s="2"/>
      <c r="Q425" s="2"/>
      <c r="R425" s="2"/>
    </row>
    <row r="426">
      <c r="A426" s="2"/>
      <c r="B426" s="2"/>
      <c r="C426" s="2"/>
      <c r="D426" s="2"/>
      <c r="E426" s="2"/>
      <c r="F426" s="2"/>
      <c r="G426" s="2"/>
      <c r="H426" s="2"/>
      <c r="I426" s="2"/>
      <c r="J426" s="2"/>
      <c r="K426" s="2"/>
      <c r="L426" s="2"/>
      <c r="M426" s="2"/>
      <c r="N426" s="2"/>
      <c r="O426" s="2"/>
      <c r="P426" s="2"/>
      <c r="Q426" s="2"/>
      <c r="R426" s="2"/>
    </row>
    <row r="427">
      <c r="A427" s="2"/>
      <c r="B427" s="2"/>
      <c r="C427" s="2"/>
      <c r="D427" s="2"/>
      <c r="E427" s="2"/>
      <c r="F427" s="2"/>
      <c r="G427" s="2"/>
      <c r="H427" s="2"/>
      <c r="I427" s="2"/>
      <c r="J427" s="2"/>
      <c r="K427" s="2"/>
      <c r="L427" s="2"/>
      <c r="M427" s="2"/>
      <c r="N427" s="2"/>
      <c r="O427" s="2"/>
      <c r="P427" s="2"/>
      <c r="Q427" s="2"/>
      <c r="R427" s="2"/>
    </row>
    <row r="428">
      <c r="A428" s="2"/>
      <c r="B428" s="2"/>
      <c r="C428" s="2"/>
      <c r="D428" s="2"/>
      <c r="E428" s="2"/>
      <c r="F428" s="2"/>
      <c r="G428" s="2"/>
      <c r="H428" s="2"/>
      <c r="I428" s="2"/>
      <c r="J428" s="2"/>
      <c r="K428" s="2"/>
      <c r="L428" s="2"/>
      <c r="M428" s="2"/>
      <c r="N428" s="2"/>
      <c r="O428" s="2"/>
      <c r="P428" s="2"/>
      <c r="Q428" s="2"/>
      <c r="R428" s="2"/>
    </row>
    <row r="429">
      <c r="A429" s="2"/>
      <c r="B429" s="2"/>
      <c r="C429" s="2"/>
      <c r="D429" s="2"/>
      <c r="E429" s="2"/>
      <c r="F429" s="2"/>
      <c r="G429" s="2"/>
      <c r="H429" s="2"/>
      <c r="I429" s="2"/>
      <c r="J429" s="2"/>
      <c r="K429" s="2"/>
      <c r="L429" s="2"/>
      <c r="M429" s="2"/>
      <c r="N429" s="2"/>
      <c r="O429" s="2"/>
      <c r="P429" s="2"/>
      <c r="Q429" s="2"/>
      <c r="R429" s="2"/>
    </row>
    <row r="430">
      <c r="A430" s="2"/>
      <c r="B430" s="2"/>
      <c r="C430" s="2"/>
      <c r="D430" s="2"/>
      <c r="E430" s="2"/>
      <c r="F430" s="2"/>
      <c r="G430" s="2"/>
      <c r="H430" s="2"/>
      <c r="I430" s="2"/>
      <c r="J430" s="2"/>
      <c r="K430" s="2"/>
      <c r="L430" s="2"/>
      <c r="M430" s="2"/>
      <c r="N430" s="2"/>
      <c r="O430" s="2"/>
      <c r="P430" s="2"/>
      <c r="Q430" s="2"/>
      <c r="R430" s="2"/>
    </row>
    <row r="431">
      <c r="A431" s="2"/>
      <c r="B431" s="2"/>
      <c r="C431" s="2"/>
      <c r="D431" s="2"/>
      <c r="E431" s="2"/>
      <c r="F431" s="2"/>
      <c r="G431" s="2"/>
      <c r="H431" s="2"/>
      <c r="I431" s="2"/>
      <c r="J431" s="2"/>
      <c r="K431" s="2"/>
      <c r="L431" s="2"/>
      <c r="M431" s="2"/>
      <c r="N431" s="2"/>
      <c r="O431" s="2"/>
      <c r="P431" s="2"/>
      <c r="Q431" s="2"/>
      <c r="R431" s="2"/>
    </row>
    <row r="432">
      <c r="A432" s="2"/>
      <c r="B432" s="2"/>
      <c r="C432" s="2"/>
      <c r="D432" s="2"/>
      <c r="E432" s="2"/>
      <c r="F432" s="2"/>
      <c r="G432" s="2"/>
      <c r="H432" s="2"/>
      <c r="I432" s="2"/>
      <c r="J432" s="2"/>
      <c r="K432" s="2"/>
      <c r="L432" s="2"/>
      <c r="M432" s="2"/>
      <c r="N432" s="2"/>
      <c r="O432" s="2"/>
      <c r="P432" s="2"/>
      <c r="Q432" s="2"/>
      <c r="R432" s="2"/>
    </row>
    <row r="433">
      <c r="A433" s="2"/>
      <c r="B433" s="2"/>
      <c r="C433" s="2"/>
      <c r="D433" s="2"/>
      <c r="E433" s="2"/>
      <c r="F433" s="2"/>
      <c r="G433" s="2"/>
      <c r="H433" s="2"/>
      <c r="I433" s="2"/>
      <c r="J433" s="2"/>
      <c r="K433" s="2"/>
      <c r="L433" s="2"/>
      <c r="M433" s="2"/>
      <c r="N433" s="2"/>
      <c r="O433" s="2"/>
      <c r="P433" s="2"/>
      <c r="Q433" s="2"/>
      <c r="R433" s="2"/>
    </row>
    <row r="434">
      <c r="A434" s="2"/>
      <c r="B434" s="2"/>
      <c r="C434" s="2"/>
      <c r="D434" s="2"/>
      <c r="E434" s="2"/>
      <c r="F434" s="2"/>
      <c r="G434" s="2"/>
      <c r="H434" s="2"/>
      <c r="I434" s="2"/>
      <c r="J434" s="2"/>
      <c r="K434" s="2"/>
      <c r="L434" s="2"/>
      <c r="M434" s="2"/>
      <c r="N434" s="2"/>
      <c r="O434" s="2"/>
      <c r="P434" s="2"/>
      <c r="Q434" s="2"/>
      <c r="R434" s="2"/>
    </row>
    <row r="435">
      <c r="A435" s="2"/>
      <c r="B435" s="2"/>
      <c r="C435" s="2"/>
      <c r="D435" s="2"/>
      <c r="E435" s="2"/>
      <c r="F435" s="2"/>
      <c r="G435" s="2"/>
      <c r="H435" s="2"/>
      <c r="I435" s="2"/>
      <c r="J435" s="2"/>
      <c r="K435" s="2"/>
      <c r="L435" s="2"/>
      <c r="M435" s="2"/>
      <c r="N435" s="2"/>
      <c r="O435" s="2"/>
      <c r="P435" s="2"/>
      <c r="Q435" s="2"/>
      <c r="R435" s="2"/>
    </row>
    <row r="436">
      <c r="A436" s="2"/>
      <c r="B436" s="2"/>
      <c r="C436" s="2"/>
      <c r="D436" s="2"/>
      <c r="E436" s="2"/>
      <c r="F436" s="2"/>
      <c r="G436" s="2"/>
      <c r="H436" s="2"/>
      <c r="I436" s="2"/>
      <c r="J436" s="2"/>
      <c r="K436" s="2"/>
      <c r="L436" s="2"/>
      <c r="M436" s="2"/>
      <c r="N436" s="2"/>
      <c r="O436" s="2"/>
      <c r="P436" s="2"/>
      <c r="Q436" s="2"/>
      <c r="R436" s="2"/>
    </row>
    <row r="437">
      <c r="A437" s="2"/>
      <c r="B437" s="2"/>
      <c r="C437" s="2"/>
      <c r="D437" s="2"/>
      <c r="E437" s="2"/>
      <c r="F437" s="2"/>
      <c r="G437" s="2"/>
      <c r="H437" s="2"/>
      <c r="I437" s="2"/>
      <c r="J437" s="2"/>
      <c r="K437" s="2"/>
      <c r="L437" s="2"/>
      <c r="M437" s="2"/>
      <c r="N437" s="2"/>
      <c r="O437" s="2"/>
      <c r="P437" s="2"/>
      <c r="Q437" s="2"/>
      <c r="R437" s="2"/>
    </row>
    <row r="438">
      <c r="A438" s="2"/>
      <c r="B438" s="2"/>
      <c r="C438" s="2"/>
      <c r="D438" s="2"/>
      <c r="E438" s="2"/>
      <c r="F438" s="2"/>
      <c r="G438" s="2"/>
      <c r="H438" s="2"/>
      <c r="I438" s="2"/>
      <c r="J438" s="2"/>
      <c r="K438" s="2"/>
      <c r="L438" s="2"/>
      <c r="M438" s="2"/>
      <c r="N438" s="2"/>
      <c r="O438" s="2"/>
      <c r="P438" s="2"/>
      <c r="Q438" s="2"/>
      <c r="R438" s="2"/>
    </row>
    <row r="439">
      <c r="A439" s="2"/>
      <c r="B439" s="2"/>
      <c r="C439" s="2"/>
      <c r="D439" s="2"/>
      <c r="E439" s="2"/>
      <c r="F439" s="2"/>
      <c r="G439" s="2"/>
      <c r="H439" s="2"/>
      <c r="I439" s="2"/>
      <c r="J439" s="2"/>
      <c r="K439" s="2"/>
      <c r="L439" s="2"/>
      <c r="M439" s="2"/>
      <c r="N439" s="2"/>
      <c r="O439" s="2"/>
      <c r="P439" s="2"/>
      <c r="Q439" s="2"/>
      <c r="R439" s="2"/>
    </row>
    <row r="440">
      <c r="A440" s="2"/>
      <c r="B440" s="2"/>
      <c r="C440" s="2"/>
      <c r="D440" s="2"/>
      <c r="E440" s="2"/>
      <c r="F440" s="2"/>
      <c r="G440" s="2"/>
      <c r="H440" s="2"/>
      <c r="I440" s="2"/>
      <c r="J440" s="2"/>
      <c r="K440" s="2"/>
      <c r="L440" s="2"/>
      <c r="M440" s="2"/>
      <c r="N440" s="2"/>
      <c r="O440" s="2"/>
      <c r="P440" s="2"/>
      <c r="Q440" s="2"/>
      <c r="R440" s="2"/>
    </row>
    <row r="441">
      <c r="A441" s="2"/>
      <c r="B441" s="2"/>
      <c r="C441" s="2"/>
      <c r="D441" s="2"/>
      <c r="E441" s="2"/>
      <c r="F441" s="2"/>
      <c r="G441" s="2"/>
      <c r="H441" s="2"/>
      <c r="I441" s="2"/>
      <c r="J441" s="2"/>
      <c r="K441" s="2"/>
      <c r="L441" s="2"/>
      <c r="M441" s="2"/>
      <c r="N441" s="2"/>
      <c r="O441" s="2"/>
      <c r="P441" s="2"/>
      <c r="Q441" s="2"/>
      <c r="R441" s="2"/>
    </row>
    <row r="442">
      <c r="A442" s="2"/>
      <c r="B442" s="2"/>
      <c r="C442" s="2"/>
      <c r="D442" s="2"/>
      <c r="E442" s="2"/>
      <c r="F442" s="2"/>
      <c r="G442" s="2"/>
      <c r="H442" s="2"/>
      <c r="I442" s="2"/>
      <c r="J442" s="2"/>
      <c r="K442" s="2"/>
      <c r="L442" s="2"/>
      <c r="M442" s="2"/>
      <c r="N442" s="2"/>
      <c r="O442" s="2"/>
      <c r="P442" s="2"/>
      <c r="Q442" s="2"/>
      <c r="R442" s="2"/>
    </row>
    <row r="443">
      <c r="A443" s="2"/>
      <c r="B443" s="2"/>
      <c r="C443" s="2"/>
      <c r="D443" s="2"/>
      <c r="E443" s="2"/>
      <c r="F443" s="2"/>
      <c r="G443" s="2"/>
      <c r="H443" s="2"/>
      <c r="I443" s="2"/>
      <c r="J443" s="2"/>
      <c r="K443" s="2"/>
      <c r="L443" s="2"/>
      <c r="M443" s="2"/>
      <c r="N443" s="2"/>
      <c r="O443" s="2"/>
      <c r="P443" s="2"/>
      <c r="Q443" s="2"/>
      <c r="R443" s="2"/>
    </row>
    <row r="444">
      <c r="A444" s="2"/>
      <c r="B444" s="2"/>
      <c r="C444" s="2"/>
      <c r="D444" s="2"/>
      <c r="E444" s="2"/>
      <c r="F444" s="2"/>
      <c r="G444" s="2"/>
      <c r="H444" s="2"/>
      <c r="I444" s="2"/>
      <c r="J444" s="2"/>
      <c r="K444" s="2"/>
      <c r="L444" s="2"/>
      <c r="M444" s="2"/>
      <c r="N444" s="2"/>
      <c r="O444" s="2"/>
      <c r="P444" s="2"/>
      <c r="Q444" s="2"/>
      <c r="R444" s="2"/>
    </row>
    <row r="445">
      <c r="A445" s="2"/>
      <c r="B445" s="2"/>
      <c r="C445" s="2"/>
      <c r="D445" s="2"/>
      <c r="E445" s="2"/>
      <c r="F445" s="2"/>
      <c r="G445" s="2"/>
      <c r="H445" s="2"/>
      <c r="I445" s="2"/>
      <c r="J445" s="2"/>
      <c r="K445" s="2"/>
      <c r="L445" s="2"/>
      <c r="M445" s="2"/>
      <c r="N445" s="2"/>
      <c r="O445" s="2"/>
      <c r="P445" s="2"/>
      <c r="Q445" s="2"/>
      <c r="R445" s="2"/>
    </row>
    <row r="446">
      <c r="A446" s="2"/>
      <c r="B446" s="2"/>
      <c r="C446" s="2"/>
      <c r="D446" s="2"/>
      <c r="E446" s="2"/>
      <c r="F446" s="2"/>
      <c r="G446" s="2"/>
      <c r="H446" s="2"/>
      <c r="I446" s="2"/>
      <c r="J446" s="2"/>
      <c r="K446" s="2"/>
      <c r="L446" s="2"/>
      <c r="M446" s="2"/>
      <c r="N446" s="2"/>
      <c r="O446" s="2"/>
      <c r="P446" s="2"/>
      <c r="Q446" s="2"/>
      <c r="R446" s="2"/>
    </row>
    <row r="447">
      <c r="A447" s="2"/>
      <c r="B447" s="2"/>
      <c r="C447" s="2"/>
      <c r="D447" s="2"/>
      <c r="E447" s="2"/>
      <c r="F447" s="2"/>
      <c r="G447" s="2"/>
      <c r="H447" s="2"/>
      <c r="I447" s="2"/>
      <c r="J447" s="2"/>
      <c r="K447" s="2"/>
      <c r="L447" s="2"/>
      <c r="M447" s="2"/>
      <c r="N447" s="2"/>
      <c r="O447" s="2"/>
      <c r="P447" s="2"/>
      <c r="Q447" s="2"/>
      <c r="R447" s="2"/>
    </row>
    <row r="448">
      <c r="A448" s="2"/>
      <c r="B448" s="2"/>
      <c r="C448" s="2"/>
      <c r="D448" s="2"/>
      <c r="E448" s="2"/>
      <c r="F448" s="2"/>
      <c r="G448" s="2"/>
      <c r="H448" s="2"/>
      <c r="I448" s="2"/>
      <c r="J448" s="2"/>
      <c r="K448" s="2"/>
      <c r="L448" s="2"/>
      <c r="M448" s="2"/>
      <c r="N448" s="2"/>
      <c r="O448" s="2"/>
      <c r="P448" s="2"/>
      <c r="Q448" s="2"/>
      <c r="R448" s="2"/>
    </row>
    <row r="449">
      <c r="A449" s="2"/>
      <c r="B449" s="2"/>
      <c r="C449" s="2"/>
      <c r="D449" s="2"/>
      <c r="E449" s="2"/>
      <c r="F449" s="2"/>
      <c r="G449" s="2"/>
      <c r="H449" s="2"/>
      <c r="I449" s="2"/>
      <c r="J449" s="2"/>
      <c r="K449" s="2"/>
      <c r="L449" s="2"/>
      <c r="M449" s="2"/>
      <c r="N449" s="2"/>
      <c r="O449" s="2"/>
      <c r="P449" s="2"/>
      <c r="Q449" s="2"/>
      <c r="R449" s="2"/>
    </row>
    <row r="450">
      <c r="A450" s="2"/>
      <c r="B450" s="2"/>
      <c r="C450" s="2"/>
      <c r="D450" s="2"/>
      <c r="E450" s="2"/>
      <c r="F450" s="2"/>
      <c r="G450" s="2"/>
      <c r="H450" s="2"/>
      <c r="I450" s="2"/>
      <c r="J450" s="2"/>
      <c r="K450" s="2"/>
      <c r="L450" s="2"/>
      <c r="M450" s="2"/>
      <c r="N450" s="2"/>
      <c r="O450" s="2"/>
      <c r="P450" s="2"/>
      <c r="Q450" s="2"/>
      <c r="R450" s="2"/>
    </row>
    <row r="451">
      <c r="A451" s="2"/>
      <c r="B451" s="2"/>
      <c r="C451" s="2"/>
      <c r="D451" s="2"/>
      <c r="E451" s="2"/>
      <c r="F451" s="2"/>
      <c r="G451" s="2"/>
      <c r="H451" s="2"/>
      <c r="I451" s="2"/>
      <c r="J451" s="2"/>
      <c r="K451" s="2"/>
      <c r="L451" s="2"/>
      <c r="M451" s="2"/>
      <c r="N451" s="2"/>
      <c r="O451" s="2"/>
      <c r="P451" s="2"/>
      <c r="Q451" s="2"/>
      <c r="R451" s="2"/>
    </row>
    <row r="452">
      <c r="A452" s="2"/>
      <c r="B452" s="2"/>
      <c r="C452" s="2"/>
      <c r="D452" s="2"/>
      <c r="E452" s="2"/>
      <c r="F452" s="2"/>
      <c r="G452" s="2"/>
      <c r="H452" s="2"/>
      <c r="I452" s="2"/>
      <c r="J452" s="2"/>
      <c r="K452" s="2"/>
      <c r="L452" s="2"/>
      <c r="M452" s="2"/>
      <c r="N452" s="2"/>
      <c r="O452" s="2"/>
      <c r="P452" s="2"/>
      <c r="Q452" s="2"/>
      <c r="R452" s="2"/>
    </row>
    <row r="453">
      <c r="A453" s="2"/>
      <c r="B453" s="2"/>
      <c r="C453" s="2"/>
      <c r="D453" s="2"/>
      <c r="E453" s="2"/>
      <c r="F453" s="2"/>
      <c r="G453" s="2"/>
      <c r="H453" s="2"/>
      <c r="I453" s="2"/>
      <c r="J453" s="2"/>
      <c r="K453" s="2"/>
      <c r="L453" s="2"/>
      <c r="M453" s="2"/>
      <c r="N453" s="2"/>
      <c r="O453" s="2"/>
      <c r="P453" s="2"/>
      <c r="Q453" s="2"/>
      <c r="R453" s="2"/>
    </row>
    <row r="454">
      <c r="A454" s="2"/>
      <c r="B454" s="2"/>
      <c r="C454" s="2"/>
      <c r="D454" s="2"/>
      <c r="E454" s="2"/>
      <c r="F454" s="2"/>
      <c r="G454" s="2"/>
      <c r="H454" s="2"/>
      <c r="I454" s="2"/>
      <c r="J454" s="2"/>
      <c r="K454" s="2"/>
      <c r="L454" s="2"/>
      <c r="M454" s="2"/>
      <c r="N454" s="2"/>
      <c r="O454" s="2"/>
      <c r="P454" s="2"/>
      <c r="Q454" s="2"/>
      <c r="R454" s="2"/>
    </row>
    <row r="455">
      <c r="A455" s="2"/>
      <c r="B455" s="2"/>
      <c r="C455" s="2"/>
      <c r="D455" s="2"/>
      <c r="E455" s="2"/>
      <c r="F455" s="2"/>
      <c r="G455" s="2"/>
      <c r="H455" s="2"/>
      <c r="I455" s="2"/>
      <c r="J455" s="2"/>
      <c r="K455" s="2"/>
      <c r="L455" s="2"/>
      <c r="M455" s="2"/>
      <c r="N455" s="2"/>
      <c r="O455" s="2"/>
      <c r="P455" s="2"/>
      <c r="Q455" s="2"/>
      <c r="R455" s="2"/>
    </row>
    <row r="456">
      <c r="A456" s="2"/>
      <c r="B456" s="2"/>
      <c r="C456" s="2"/>
      <c r="D456" s="2"/>
      <c r="E456" s="2"/>
      <c r="F456" s="2"/>
      <c r="G456" s="2"/>
      <c r="H456" s="2"/>
      <c r="I456" s="2"/>
      <c r="J456" s="2"/>
      <c r="K456" s="2"/>
      <c r="L456" s="2"/>
      <c r="M456" s="2"/>
      <c r="N456" s="2"/>
      <c r="O456" s="2"/>
      <c r="P456" s="2"/>
      <c r="Q456" s="2"/>
      <c r="R456" s="2"/>
    </row>
    <row r="457">
      <c r="A457" s="2"/>
      <c r="B457" s="2"/>
      <c r="C457" s="2"/>
      <c r="D457" s="2"/>
      <c r="E457" s="2"/>
      <c r="F457" s="2"/>
      <c r="G457" s="2"/>
      <c r="H457" s="2"/>
      <c r="I457" s="2"/>
      <c r="J457" s="2"/>
      <c r="K457" s="2"/>
      <c r="L457" s="2"/>
      <c r="M457" s="2"/>
      <c r="N457" s="2"/>
      <c r="O457" s="2"/>
      <c r="P457" s="2"/>
      <c r="Q457" s="2"/>
      <c r="R457" s="2"/>
    </row>
    <row r="458">
      <c r="A458" s="2"/>
      <c r="B458" s="2"/>
      <c r="C458" s="2"/>
      <c r="D458" s="2"/>
      <c r="E458" s="2"/>
      <c r="F458" s="2"/>
      <c r="G458" s="2"/>
      <c r="H458" s="2"/>
      <c r="I458" s="2"/>
      <c r="J458" s="2"/>
      <c r="K458" s="2"/>
      <c r="L458" s="2"/>
      <c r="M458" s="2"/>
      <c r="N458" s="2"/>
      <c r="O458" s="2"/>
      <c r="P458" s="2"/>
      <c r="Q458" s="2"/>
      <c r="R458" s="2"/>
    </row>
    <row r="459">
      <c r="A459" s="2"/>
      <c r="B459" s="2"/>
      <c r="C459" s="2"/>
      <c r="D459" s="2"/>
      <c r="E459" s="2"/>
      <c r="F459" s="2"/>
      <c r="G459" s="2"/>
      <c r="H459" s="2"/>
      <c r="I459" s="2"/>
      <c r="J459" s="2"/>
      <c r="K459" s="2"/>
      <c r="L459" s="2"/>
      <c r="M459" s="2"/>
      <c r="N459" s="2"/>
      <c r="O459" s="2"/>
      <c r="P459" s="2"/>
      <c r="Q459" s="2"/>
      <c r="R459" s="2"/>
    </row>
    <row r="460">
      <c r="A460" s="2"/>
      <c r="B460" s="2"/>
      <c r="C460" s="2"/>
      <c r="D460" s="2"/>
      <c r="E460" s="2"/>
      <c r="F460" s="2"/>
      <c r="G460" s="2"/>
      <c r="H460" s="2"/>
      <c r="I460" s="2"/>
      <c r="J460" s="2"/>
      <c r="K460" s="2"/>
      <c r="L460" s="2"/>
      <c r="M460" s="2"/>
      <c r="N460" s="2"/>
      <c r="O460" s="2"/>
      <c r="P460" s="2"/>
      <c r="Q460" s="2"/>
      <c r="R460" s="2"/>
    </row>
    <row r="461">
      <c r="A461" s="2"/>
      <c r="B461" s="2"/>
      <c r="C461" s="2"/>
      <c r="D461" s="2"/>
      <c r="E461" s="2"/>
      <c r="F461" s="2"/>
      <c r="G461" s="2"/>
      <c r="H461" s="2"/>
      <c r="I461" s="2"/>
      <c r="J461" s="2"/>
      <c r="K461" s="2"/>
      <c r="L461" s="2"/>
      <c r="M461" s="2"/>
      <c r="N461" s="2"/>
      <c r="O461" s="2"/>
      <c r="P461" s="2"/>
      <c r="Q461" s="2"/>
      <c r="R461" s="2"/>
    </row>
    <row r="462">
      <c r="A462" s="2"/>
      <c r="B462" s="2"/>
      <c r="C462" s="2"/>
      <c r="D462" s="2"/>
      <c r="E462" s="2"/>
      <c r="F462" s="2"/>
      <c r="G462" s="2"/>
      <c r="H462" s="2"/>
      <c r="I462" s="2"/>
      <c r="J462" s="2"/>
      <c r="K462" s="2"/>
      <c r="L462" s="2"/>
      <c r="M462" s="2"/>
      <c r="N462" s="2"/>
      <c r="O462" s="2"/>
      <c r="P462" s="2"/>
      <c r="Q462" s="2"/>
      <c r="R462" s="2"/>
    </row>
    <row r="463">
      <c r="A463" s="2"/>
      <c r="B463" s="2"/>
      <c r="C463" s="2"/>
      <c r="D463" s="2"/>
      <c r="E463" s="2"/>
      <c r="F463" s="2"/>
      <c r="G463" s="2"/>
      <c r="H463" s="2"/>
      <c r="I463" s="2"/>
      <c r="J463" s="2"/>
      <c r="K463" s="2"/>
      <c r="L463" s="2"/>
      <c r="M463" s="2"/>
      <c r="N463" s="2"/>
      <c r="O463" s="2"/>
      <c r="P463" s="2"/>
      <c r="Q463" s="2"/>
      <c r="R463" s="2"/>
    </row>
    <row r="464">
      <c r="A464" s="2"/>
      <c r="B464" s="2"/>
      <c r="C464" s="2"/>
      <c r="D464" s="2"/>
      <c r="E464" s="2"/>
      <c r="F464" s="2"/>
      <c r="G464" s="2"/>
      <c r="H464" s="2"/>
      <c r="I464" s="2"/>
      <c r="J464" s="2"/>
      <c r="K464" s="2"/>
      <c r="L464" s="2"/>
      <c r="M464" s="2"/>
      <c r="N464" s="2"/>
      <c r="O464" s="2"/>
      <c r="P464" s="2"/>
      <c r="Q464" s="2"/>
      <c r="R464" s="2"/>
    </row>
    <row r="465">
      <c r="A465" s="2"/>
      <c r="B465" s="2"/>
      <c r="C465" s="2"/>
      <c r="D465" s="2"/>
      <c r="E465" s="2"/>
      <c r="F465" s="2"/>
      <c r="G465" s="2"/>
      <c r="H465" s="2"/>
      <c r="I465" s="2"/>
      <c r="J465" s="2"/>
      <c r="K465" s="2"/>
      <c r="L465" s="2"/>
      <c r="M465" s="2"/>
      <c r="N465" s="2"/>
      <c r="O465" s="2"/>
      <c r="P465" s="2"/>
      <c r="Q465" s="2"/>
      <c r="R465" s="2"/>
    </row>
    <row r="466">
      <c r="A466" s="2"/>
      <c r="B466" s="2"/>
      <c r="C466" s="2"/>
      <c r="D466" s="2"/>
      <c r="E466" s="2"/>
      <c r="F466" s="2"/>
      <c r="G466" s="2"/>
      <c r="H466" s="2"/>
      <c r="I466" s="2"/>
      <c r="J466" s="2"/>
      <c r="K466" s="2"/>
      <c r="L466" s="2"/>
      <c r="M466" s="2"/>
      <c r="N466" s="2"/>
      <c r="O466" s="2"/>
      <c r="P466" s="2"/>
      <c r="Q466" s="2"/>
      <c r="R466" s="2"/>
    </row>
    <row r="467">
      <c r="A467" s="2"/>
      <c r="B467" s="2"/>
      <c r="C467" s="2"/>
      <c r="D467" s="2"/>
      <c r="E467" s="2"/>
      <c r="F467" s="2"/>
      <c r="G467" s="2"/>
      <c r="H467" s="2"/>
      <c r="I467" s="2"/>
      <c r="J467" s="2"/>
      <c r="K467" s="2"/>
      <c r="L467" s="2"/>
      <c r="M467" s="2"/>
      <c r="N467" s="2"/>
      <c r="O467" s="2"/>
      <c r="P467" s="2"/>
      <c r="Q467" s="2"/>
      <c r="R467" s="2"/>
    </row>
    <row r="468">
      <c r="A468" s="2"/>
      <c r="B468" s="2"/>
      <c r="C468" s="2"/>
      <c r="D468" s="2"/>
      <c r="E468" s="2"/>
      <c r="F468" s="2"/>
      <c r="G468" s="2"/>
      <c r="H468" s="2"/>
      <c r="I468" s="2"/>
      <c r="J468" s="2"/>
      <c r="K468" s="2"/>
      <c r="L468" s="2"/>
      <c r="M468" s="2"/>
      <c r="N468" s="2"/>
      <c r="O468" s="2"/>
      <c r="P468" s="2"/>
      <c r="Q468" s="2"/>
      <c r="R468" s="2"/>
    </row>
    <row r="469">
      <c r="A469" s="2"/>
      <c r="B469" s="2"/>
      <c r="C469" s="2"/>
      <c r="D469" s="2"/>
      <c r="E469" s="2"/>
      <c r="F469" s="2"/>
      <c r="G469" s="2"/>
      <c r="H469" s="2"/>
      <c r="I469" s="2"/>
      <c r="J469" s="2"/>
      <c r="K469" s="2"/>
      <c r="L469" s="2"/>
      <c r="M469" s="2"/>
      <c r="N469" s="2"/>
      <c r="O469" s="2"/>
      <c r="P469" s="2"/>
      <c r="Q469" s="2"/>
      <c r="R469" s="2"/>
    </row>
    <row r="470">
      <c r="A470" s="2"/>
      <c r="B470" s="2"/>
      <c r="C470" s="2"/>
      <c r="D470" s="2"/>
      <c r="E470" s="2"/>
      <c r="F470" s="2"/>
      <c r="G470" s="2"/>
      <c r="H470" s="2"/>
      <c r="I470" s="2"/>
      <c r="J470" s="2"/>
      <c r="K470" s="2"/>
      <c r="L470" s="2"/>
      <c r="M470" s="2"/>
      <c r="N470" s="2"/>
      <c r="O470" s="2"/>
      <c r="P470" s="2"/>
      <c r="Q470" s="2"/>
      <c r="R470" s="2"/>
    </row>
    <row r="471">
      <c r="A471" s="2"/>
      <c r="B471" s="2"/>
      <c r="C471" s="2"/>
      <c r="D471" s="2"/>
      <c r="E471" s="2"/>
      <c r="F471" s="2"/>
      <c r="G471" s="2"/>
      <c r="H471" s="2"/>
      <c r="I471" s="2"/>
      <c r="J471" s="2"/>
      <c r="K471" s="2"/>
      <c r="L471" s="2"/>
      <c r="M471" s="2"/>
      <c r="N471" s="2"/>
      <c r="O471" s="2"/>
      <c r="P471" s="2"/>
      <c r="Q471" s="2"/>
      <c r="R471" s="2"/>
    </row>
    <row r="472">
      <c r="A472" s="2"/>
      <c r="B472" s="2"/>
      <c r="C472" s="2"/>
      <c r="D472" s="2"/>
      <c r="E472" s="2"/>
      <c r="F472" s="2"/>
      <c r="G472" s="2"/>
      <c r="H472" s="2"/>
      <c r="I472" s="2"/>
      <c r="J472" s="2"/>
      <c r="K472" s="2"/>
      <c r="L472" s="2"/>
      <c r="M472" s="2"/>
      <c r="N472" s="2"/>
      <c r="O472" s="2"/>
      <c r="P472" s="2"/>
      <c r="Q472" s="2"/>
      <c r="R472" s="2"/>
    </row>
    <row r="473">
      <c r="A473" s="2"/>
      <c r="B473" s="2"/>
      <c r="C473" s="2"/>
      <c r="D473" s="2"/>
      <c r="E473" s="2"/>
      <c r="F473" s="2"/>
      <c r="G473" s="2"/>
      <c r="H473" s="2"/>
      <c r="I473" s="2"/>
      <c r="J473" s="2"/>
      <c r="K473" s="2"/>
      <c r="L473" s="2"/>
      <c r="M473" s="2"/>
      <c r="N473" s="2"/>
      <c r="O473" s="2"/>
      <c r="P473" s="2"/>
      <c r="Q473" s="2"/>
      <c r="R473" s="2"/>
    </row>
    <row r="474">
      <c r="A474" s="2"/>
      <c r="B474" s="2"/>
      <c r="C474" s="2"/>
      <c r="D474" s="2"/>
      <c r="E474" s="2"/>
      <c r="F474" s="2"/>
      <c r="G474" s="2"/>
      <c r="H474" s="2"/>
      <c r="I474" s="2"/>
      <c r="J474" s="2"/>
      <c r="K474" s="2"/>
      <c r="L474" s="2"/>
      <c r="M474" s="2"/>
      <c r="N474" s="2"/>
      <c r="O474" s="2"/>
      <c r="P474" s="2"/>
      <c r="Q474" s="2"/>
      <c r="R474" s="2"/>
    </row>
    <row r="475">
      <c r="A475" s="2"/>
      <c r="B475" s="2"/>
      <c r="C475" s="2"/>
      <c r="D475" s="2"/>
      <c r="E475" s="2"/>
      <c r="F475" s="2"/>
      <c r="G475" s="2"/>
      <c r="H475" s="2"/>
      <c r="I475" s="2"/>
      <c r="J475" s="2"/>
      <c r="K475" s="2"/>
      <c r="L475" s="2"/>
      <c r="M475" s="2"/>
      <c r="N475" s="2"/>
      <c r="O475" s="2"/>
      <c r="P475" s="2"/>
      <c r="Q475" s="2"/>
      <c r="R475" s="2"/>
    </row>
    <row r="476">
      <c r="A476" s="2"/>
      <c r="B476" s="2"/>
      <c r="C476" s="2"/>
      <c r="D476" s="2"/>
      <c r="E476" s="2"/>
      <c r="F476" s="2"/>
      <c r="G476" s="2"/>
      <c r="H476" s="2"/>
      <c r="I476" s="2"/>
      <c r="J476" s="2"/>
      <c r="K476" s="2"/>
      <c r="L476" s="2"/>
      <c r="M476" s="2"/>
      <c r="N476" s="2"/>
      <c r="O476" s="2"/>
      <c r="P476" s="2"/>
      <c r="Q476" s="2"/>
      <c r="R476" s="2"/>
    </row>
    <row r="477">
      <c r="A477" s="2"/>
      <c r="B477" s="2"/>
      <c r="C477" s="2"/>
      <c r="D477" s="2"/>
      <c r="E477" s="2"/>
      <c r="F477" s="2"/>
      <c r="G477" s="2"/>
      <c r="H477" s="2"/>
      <c r="I477" s="2"/>
      <c r="J477" s="2"/>
      <c r="K477" s="2"/>
      <c r="L477" s="2"/>
      <c r="M477" s="2"/>
      <c r="N477" s="2"/>
      <c r="O477" s="2"/>
      <c r="P477" s="2"/>
      <c r="Q477" s="2"/>
      <c r="R477" s="2"/>
    </row>
    <row r="478">
      <c r="A478" s="2"/>
      <c r="B478" s="2"/>
      <c r="C478" s="2"/>
      <c r="D478" s="2"/>
      <c r="E478" s="2"/>
      <c r="F478" s="2"/>
      <c r="G478" s="2"/>
      <c r="H478" s="2"/>
      <c r="I478" s="2"/>
      <c r="J478" s="2"/>
      <c r="K478" s="2"/>
      <c r="L478" s="2"/>
      <c r="M478" s="2"/>
      <c r="N478" s="2"/>
      <c r="O478" s="2"/>
      <c r="P478" s="2"/>
      <c r="Q478" s="2"/>
      <c r="R478" s="2"/>
    </row>
    <row r="479">
      <c r="A479" s="2"/>
      <c r="B479" s="2"/>
      <c r="C479" s="2"/>
      <c r="D479" s="2"/>
      <c r="E479" s="2"/>
      <c r="F479" s="2"/>
      <c r="G479" s="2"/>
      <c r="H479" s="2"/>
      <c r="I479" s="2"/>
      <c r="J479" s="2"/>
      <c r="K479" s="2"/>
      <c r="L479" s="2"/>
      <c r="M479" s="2"/>
      <c r="N479" s="2"/>
      <c r="O479" s="2"/>
      <c r="P479" s="2"/>
      <c r="Q479" s="2"/>
      <c r="R479" s="2"/>
    </row>
    <row r="480">
      <c r="A480" s="2"/>
      <c r="B480" s="2"/>
      <c r="C480" s="2"/>
      <c r="D480" s="2"/>
      <c r="E480" s="2"/>
      <c r="F480" s="2"/>
      <c r="G480" s="2"/>
      <c r="H480" s="2"/>
      <c r="I480" s="2"/>
      <c r="J480" s="2"/>
      <c r="K480" s="2"/>
      <c r="L480" s="2"/>
      <c r="M480" s="2"/>
      <c r="N480" s="2"/>
      <c r="O480" s="2"/>
      <c r="P480" s="2"/>
      <c r="Q480" s="2"/>
      <c r="R480" s="2"/>
    </row>
    <row r="481">
      <c r="A481" s="2"/>
      <c r="B481" s="2"/>
      <c r="C481" s="2"/>
      <c r="D481" s="2"/>
      <c r="E481" s="2"/>
      <c r="F481" s="2"/>
      <c r="G481" s="2"/>
      <c r="H481" s="2"/>
      <c r="I481" s="2"/>
      <c r="J481" s="2"/>
      <c r="K481" s="2"/>
      <c r="L481" s="2"/>
      <c r="M481" s="2"/>
      <c r="N481" s="2"/>
      <c r="O481" s="2"/>
      <c r="P481" s="2"/>
      <c r="Q481" s="2"/>
      <c r="R481" s="2"/>
    </row>
    <row r="482">
      <c r="A482" s="2"/>
      <c r="B482" s="2"/>
      <c r="C482" s="2"/>
      <c r="D482" s="2"/>
      <c r="E482" s="2"/>
      <c r="F482" s="2"/>
      <c r="G482" s="2"/>
      <c r="H482" s="2"/>
      <c r="I482" s="2"/>
      <c r="J482" s="2"/>
      <c r="K482" s="2"/>
      <c r="L482" s="2"/>
      <c r="M482" s="2"/>
      <c r="N482" s="2"/>
      <c r="O482" s="2"/>
      <c r="P482" s="2"/>
      <c r="Q482" s="2"/>
      <c r="R482" s="2"/>
    </row>
    <row r="483">
      <c r="A483" s="2"/>
      <c r="B483" s="2"/>
      <c r="C483" s="2"/>
      <c r="D483" s="2"/>
      <c r="E483" s="2"/>
      <c r="F483" s="2"/>
      <c r="G483" s="2"/>
      <c r="H483" s="2"/>
      <c r="I483" s="2"/>
      <c r="J483" s="2"/>
      <c r="K483" s="2"/>
      <c r="L483" s="2"/>
      <c r="M483" s="2"/>
      <c r="N483" s="2"/>
      <c r="O483" s="2"/>
      <c r="P483" s="2"/>
      <c r="Q483" s="2"/>
      <c r="R483" s="2"/>
    </row>
    <row r="484">
      <c r="A484" s="2"/>
      <c r="B484" s="2"/>
      <c r="C484" s="2"/>
      <c r="D484" s="2"/>
      <c r="E484" s="2"/>
      <c r="F484" s="2"/>
      <c r="G484" s="2"/>
      <c r="H484" s="2"/>
      <c r="I484" s="2"/>
      <c r="J484" s="2"/>
      <c r="K484" s="2"/>
      <c r="L484" s="2"/>
      <c r="M484" s="2"/>
      <c r="N484" s="2"/>
      <c r="O484" s="2"/>
      <c r="P484" s="2"/>
      <c r="Q484" s="2"/>
      <c r="R484" s="2"/>
    </row>
    <row r="485">
      <c r="A485" s="2"/>
      <c r="B485" s="2"/>
      <c r="C485" s="2"/>
      <c r="D485" s="2"/>
      <c r="E485" s="2"/>
      <c r="F485" s="2"/>
      <c r="G485" s="2"/>
      <c r="H485" s="2"/>
      <c r="I485" s="2"/>
      <c r="J485" s="2"/>
      <c r="K485" s="2"/>
      <c r="L485" s="2"/>
      <c r="M485" s="2"/>
      <c r="N485" s="2"/>
      <c r="O485" s="2"/>
      <c r="P485" s="2"/>
      <c r="Q485" s="2"/>
      <c r="R485" s="2"/>
    </row>
    <row r="486">
      <c r="A486" s="2"/>
      <c r="B486" s="2"/>
      <c r="C486" s="2"/>
      <c r="D486" s="2"/>
      <c r="E486" s="2"/>
      <c r="F486" s="2"/>
      <c r="G486" s="2"/>
      <c r="H486" s="2"/>
      <c r="I486" s="2"/>
      <c r="J486" s="2"/>
      <c r="K486" s="2"/>
      <c r="L486" s="2"/>
      <c r="M486" s="2"/>
      <c r="N486" s="2"/>
      <c r="O486" s="2"/>
      <c r="P486" s="2"/>
      <c r="Q486" s="2"/>
      <c r="R486" s="2"/>
    </row>
    <row r="487">
      <c r="A487" s="2"/>
      <c r="B487" s="2"/>
      <c r="C487" s="2"/>
      <c r="D487" s="2"/>
      <c r="E487" s="2"/>
      <c r="F487" s="2"/>
      <c r="G487" s="2"/>
      <c r="H487" s="2"/>
      <c r="I487" s="2"/>
      <c r="J487" s="2"/>
      <c r="K487" s="2"/>
      <c r="L487" s="2"/>
      <c r="M487" s="2"/>
      <c r="N487" s="2"/>
      <c r="O487" s="2"/>
      <c r="P487" s="2"/>
      <c r="Q487" s="2"/>
      <c r="R487" s="2"/>
    </row>
    <row r="488">
      <c r="A488" s="2"/>
      <c r="B488" s="2"/>
      <c r="C488" s="2"/>
      <c r="D488" s="2"/>
      <c r="E488" s="2"/>
      <c r="F488" s="2"/>
      <c r="G488" s="2"/>
      <c r="H488" s="2"/>
      <c r="I488" s="2"/>
      <c r="J488" s="2"/>
      <c r="K488" s="2"/>
      <c r="L488" s="2"/>
      <c r="M488" s="2"/>
      <c r="N488" s="2"/>
      <c r="O488" s="2"/>
      <c r="P488" s="2"/>
      <c r="Q488" s="2"/>
      <c r="R488" s="2"/>
    </row>
    <row r="489">
      <c r="A489" s="2"/>
      <c r="B489" s="2"/>
      <c r="C489" s="2"/>
      <c r="D489" s="2"/>
      <c r="E489" s="2"/>
      <c r="F489" s="2"/>
      <c r="G489" s="2"/>
      <c r="H489" s="2"/>
      <c r="I489" s="2"/>
      <c r="J489" s="2"/>
      <c r="K489" s="2"/>
      <c r="L489" s="2"/>
      <c r="M489" s="2"/>
      <c r="N489" s="2"/>
      <c r="O489" s="2"/>
      <c r="P489" s="2"/>
      <c r="Q489" s="2"/>
      <c r="R489" s="2"/>
    </row>
    <row r="490">
      <c r="A490" s="2"/>
      <c r="B490" s="2"/>
      <c r="C490" s="2"/>
      <c r="D490" s="2"/>
      <c r="E490" s="2"/>
      <c r="F490" s="2"/>
      <c r="G490" s="2"/>
      <c r="H490" s="2"/>
      <c r="I490" s="2"/>
      <c r="J490" s="2"/>
      <c r="K490" s="2"/>
      <c r="L490" s="2"/>
      <c r="M490" s="2"/>
      <c r="N490" s="2"/>
      <c r="O490" s="2"/>
      <c r="P490" s="2"/>
      <c r="Q490" s="2"/>
      <c r="R490" s="2"/>
    </row>
    <row r="491">
      <c r="A491" s="2"/>
      <c r="B491" s="2"/>
      <c r="C491" s="2"/>
      <c r="D491" s="2"/>
      <c r="E491" s="2"/>
      <c r="F491" s="2"/>
      <c r="G491" s="2"/>
      <c r="H491" s="2"/>
      <c r="I491" s="2"/>
      <c r="J491" s="2"/>
      <c r="K491" s="2"/>
      <c r="L491" s="2"/>
      <c r="M491" s="2"/>
      <c r="N491" s="2"/>
      <c r="O491" s="2"/>
      <c r="P491" s="2"/>
      <c r="Q491" s="2"/>
      <c r="R491" s="2"/>
    </row>
    <row r="492">
      <c r="A492" s="2"/>
      <c r="B492" s="2"/>
      <c r="C492" s="2"/>
      <c r="D492" s="2"/>
      <c r="E492" s="2"/>
      <c r="F492" s="2"/>
      <c r="G492" s="2"/>
      <c r="H492" s="2"/>
      <c r="I492" s="2"/>
      <c r="J492" s="2"/>
      <c r="K492" s="2"/>
      <c r="L492" s="2"/>
      <c r="M492" s="2"/>
      <c r="N492" s="2"/>
      <c r="O492" s="2"/>
      <c r="P492" s="2"/>
      <c r="Q492" s="2"/>
      <c r="R492" s="2"/>
    </row>
    <row r="493">
      <c r="A493" s="2"/>
      <c r="B493" s="2"/>
      <c r="C493" s="2"/>
      <c r="D493" s="2"/>
      <c r="E493" s="2"/>
      <c r="F493" s="2"/>
      <c r="G493" s="2"/>
      <c r="H493" s="2"/>
      <c r="I493" s="2"/>
      <c r="J493" s="2"/>
      <c r="K493" s="2"/>
      <c r="L493" s="2"/>
      <c r="M493" s="2"/>
      <c r="N493" s="2"/>
      <c r="O493" s="2"/>
      <c r="P493" s="2"/>
      <c r="Q493" s="2"/>
      <c r="R493" s="2"/>
    </row>
    <row r="494">
      <c r="A494" s="2"/>
      <c r="B494" s="2"/>
      <c r="C494" s="2"/>
      <c r="D494" s="2"/>
      <c r="E494" s="2"/>
      <c r="F494" s="2"/>
      <c r="G494" s="2"/>
      <c r="H494" s="2"/>
      <c r="I494" s="2"/>
      <c r="J494" s="2"/>
      <c r="K494" s="2"/>
      <c r="L494" s="2"/>
      <c r="M494" s="2"/>
      <c r="N494" s="2"/>
      <c r="O494" s="2"/>
      <c r="P494" s="2"/>
      <c r="Q494" s="2"/>
      <c r="R494" s="2"/>
    </row>
    <row r="495">
      <c r="A495" s="2"/>
      <c r="B495" s="2"/>
      <c r="C495" s="2"/>
      <c r="D495" s="2"/>
      <c r="E495" s="2"/>
      <c r="F495" s="2"/>
      <c r="G495" s="2"/>
      <c r="H495" s="2"/>
      <c r="I495" s="2"/>
      <c r="J495" s="2"/>
      <c r="K495" s="2"/>
      <c r="L495" s="2"/>
      <c r="M495" s="2"/>
      <c r="N495" s="2"/>
      <c r="O495" s="2"/>
      <c r="P495" s="2"/>
      <c r="Q495" s="2"/>
      <c r="R495" s="2"/>
    </row>
    <row r="496">
      <c r="A496" s="2"/>
      <c r="B496" s="2"/>
      <c r="C496" s="2"/>
      <c r="D496" s="2"/>
      <c r="E496" s="2"/>
      <c r="F496" s="2"/>
      <c r="G496" s="2"/>
      <c r="H496" s="2"/>
      <c r="I496" s="2"/>
      <c r="J496" s="2"/>
      <c r="K496" s="2"/>
      <c r="L496" s="2"/>
      <c r="M496" s="2"/>
      <c r="N496" s="2"/>
      <c r="O496" s="2"/>
      <c r="P496" s="2"/>
      <c r="Q496" s="2"/>
      <c r="R496" s="2"/>
    </row>
    <row r="497">
      <c r="A497" s="2"/>
      <c r="B497" s="2"/>
      <c r="C497" s="2"/>
      <c r="D497" s="2"/>
      <c r="E497" s="2"/>
      <c r="F497" s="2"/>
      <c r="G497" s="2"/>
      <c r="H497" s="2"/>
      <c r="I497" s="2"/>
      <c r="J497" s="2"/>
      <c r="K497" s="2"/>
      <c r="L497" s="2"/>
      <c r="M497" s="2"/>
      <c r="N497" s="2"/>
      <c r="O497" s="2"/>
      <c r="P497" s="2"/>
      <c r="Q497" s="2"/>
      <c r="R497" s="2"/>
    </row>
    <row r="498">
      <c r="A498" s="2"/>
      <c r="B498" s="2"/>
      <c r="C498" s="2"/>
      <c r="D498" s="2"/>
      <c r="E498" s="2"/>
      <c r="F498" s="2"/>
      <c r="G498" s="2"/>
      <c r="H498" s="2"/>
      <c r="I498" s="2"/>
      <c r="J498" s="2"/>
      <c r="K498" s="2"/>
      <c r="L498" s="2"/>
      <c r="M498" s="2"/>
      <c r="N498" s="2"/>
      <c r="O498" s="2"/>
      <c r="P498" s="2"/>
      <c r="Q498" s="2"/>
      <c r="R498" s="2"/>
    </row>
    <row r="499">
      <c r="A499" s="2"/>
      <c r="B499" s="2"/>
      <c r="C499" s="2"/>
      <c r="D499" s="2"/>
      <c r="E499" s="2"/>
      <c r="F499" s="2"/>
      <c r="G499" s="2"/>
      <c r="H499" s="2"/>
      <c r="I499" s="2"/>
      <c r="J499" s="2"/>
      <c r="K499" s="2"/>
      <c r="L499" s="2"/>
      <c r="M499" s="2"/>
      <c r="N499" s="2"/>
      <c r="O499" s="2"/>
      <c r="P499" s="2"/>
      <c r="Q499" s="2"/>
      <c r="R499" s="2"/>
    </row>
    <row r="500">
      <c r="A500" s="2"/>
      <c r="B500" s="2"/>
      <c r="C500" s="2"/>
      <c r="D500" s="2"/>
      <c r="E500" s="2"/>
      <c r="F500" s="2"/>
      <c r="G500" s="2"/>
      <c r="H500" s="2"/>
      <c r="I500" s="2"/>
      <c r="J500" s="2"/>
      <c r="K500" s="2"/>
      <c r="L500" s="2"/>
      <c r="M500" s="2"/>
      <c r="N500" s="2"/>
      <c r="O500" s="2"/>
      <c r="P500" s="2"/>
      <c r="Q500" s="2"/>
      <c r="R500" s="2"/>
    </row>
    <row r="501">
      <c r="A501" s="2"/>
      <c r="B501" s="2"/>
      <c r="C501" s="2"/>
      <c r="D501" s="2"/>
      <c r="E501" s="2"/>
      <c r="F501" s="2"/>
      <c r="G501" s="2"/>
      <c r="H501" s="2"/>
      <c r="I501" s="2"/>
      <c r="J501" s="2"/>
      <c r="K501" s="2"/>
      <c r="L501" s="2"/>
      <c r="M501" s="2"/>
      <c r="N501" s="2"/>
      <c r="O501" s="2"/>
      <c r="P501" s="2"/>
      <c r="Q501" s="2"/>
      <c r="R501" s="2"/>
    </row>
    <row r="502">
      <c r="A502" s="2"/>
      <c r="B502" s="2"/>
      <c r="C502" s="2"/>
      <c r="D502" s="2"/>
      <c r="E502" s="2"/>
      <c r="F502" s="2"/>
      <c r="G502" s="2"/>
      <c r="H502" s="2"/>
      <c r="I502" s="2"/>
      <c r="J502" s="2"/>
      <c r="K502" s="2"/>
      <c r="L502" s="2"/>
      <c r="M502" s="2"/>
      <c r="N502" s="2"/>
      <c r="O502" s="2"/>
      <c r="P502" s="2"/>
      <c r="Q502" s="2"/>
      <c r="R502" s="2"/>
    </row>
    <row r="503">
      <c r="A503" s="2"/>
      <c r="B503" s="2"/>
      <c r="C503" s="2"/>
      <c r="D503" s="2"/>
      <c r="E503" s="2"/>
      <c r="F503" s="2"/>
      <c r="G503" s="2"/>
      <c r="H503" s="2"/>
      <c r="I503" s="2"/>
      <c r="J503" s="2"/>
      <c r="K503" s="2"/>
      <c r="L503" s="2"/>
      <c r="M503" s="2"/>
      <c r="N503" s="2"/>
      <c r="O503" s="2"/>
      <c r="P503" s="2"/>
      <c r="Q503" s="2"/>
      <c r="R503" s="2"/>
    </row>
    <row r="504">
      <c r="A504" s="2"/>
      <c r="B504" s="2"/>
      <c r="C504" s="2"/>
      <c r="D504" s="2"/>
      <c r="E504" s="2"/>
      <c r="F504" s="2"/>
      <c r="G504" s="2"/>
      <c r="H504" s="2"/>
      <c r="I504" s="2"/>
      <c r="J504" s="2"/>
      <c r="K504" s="2"/>
      <c r="L504" s="2"/>
      <c r="M504" s="2"/>
      <c r="N504" s="2"/>
      <c r="O504" s="2"/>
      <c r="P504" s="2"/>
      <c r="Q504" s="2"/>
      <c r="R504" s="2"/>
    </row>
    <row r="505">
      <c r="A505" s="2"/>
      <c r="B505" s="2"/>
      <c r="C505" s="2"/>
      <c r="D505" s="2"/>
      <c r="E505" s="2"/>
      <c r="F505" s="2"/>
      <c r="G505" s="2"/>
      <c r="H505" s="2"/>
      <c r="I505" s="2"/>
      <c r="J505" s="2"/>
      <c r="K505" s="2"/>
      <c r="L505" s="2"/>
      <c r="M505" s="2"/>
      <c r="N505" s="2"/>
      <c r="O505" s="2"/>
      <c r="P505" s="2"/>
      <c r="Q505" s="2"/>
      <c r="R505" s="2"/>
    </row>
    <row r="506">
      <c r="A506" s="2"/>
      <c r="B506" s="2"/>
      <c r="C506" s="2"/>
      <c r="D506" s="2"/>
      <c r="E506" s="2"/>
      <c r="F506" s="2"/>
      <c r="G506" s="2"/>
      <c r="H506" s="2"/>
      <c r="I506" s="2"/>
      <c r="J506" s="2"/>
      <c r="K506" s="2"/>
      <c r="L506" s="2"/>
      <c r="M506" s="2"/>
      <c r="N506" s="2"/>
      <c r="O506" s="2"/>
      <c r="P506" s="2"/>
      <c r="Q506" s="2"/>
      <c r="R506" s="2"/>
    </row>
    <row r="507">
      <c r="A507" s="2"/>
      <c r="B507" s="2"/>
      <c r="C507" s="2"/>
      <c r="D507" s="2"/>
      <c r="E507" s="2"/>
      <c r="F507" s="2"/>
      <c r="G507" s="2"/>
      <c r="H507" s="2"/>
      <c r="I507" s="2"/>
      <c r="J507" s="2"/>
      <c r="K507" s="2"/>
      <c r="L507" s="2"/>
      <c r="M507" s="2"/>
      <c r="N507" s="2"/>
      <c r="O507" s="2"/>
      <c r="P507" s="2"/>
      <c r="Q507" s="2"/>
      <c r="R507" s="2"/>
    </row>
    <row r="508">
      <c r="A508" s="2"/>
      <c r="B508" s="2"/>
      <c r="C508" s="2"/>
      <c r="D508" s="2"/>
      <c r="E508" s="2"/>
      <c r="F508" s="2"/>
      <c r="G508" s="2"/>
      <c r="H508" s="2"/>
      <c r="I508" s="2"/>
      <c r="J508" s="2"/>
      <c r="K508" s="2"/>
      <c r="L508" s="2"/>
      <c r="M508" s="2"/>
      <c r="N508" s="2"/>
      <c r="O508" s="2"/>
      <c r="P508" s="2"/>
      <c r="Q508" s="2"/>
      <c r="R508" s="2"/>
    </row>
    <row r="509">
      <c r="A509" s="2"/>
      <c r="B509" s="2"/>
      <c r="C509" s="2"/>
      <c r="D509" s="2"/>
      <c r="E509" s="2"/>
      <c r="F509" s="2"/>
      <c r="G509" s="2"/>
      <c r="H509" s="2"/>
      <c r="I509" s="2"/>
      <c r="J509" s="2"/>
      <c r="K509" s="2"/>
      <c r="L509" s="2"/>
      <c r="M509" s="2"/>
      <c r="N509" s="2"/>
      <c r="O509" s="2"/>
      <c r="P509" s="2"/>
      <c r="Q509" s="2"/>
      <c r="R509" s="2"/>
    </row>
    <row r="510">
      <c r="A510" s="2"/>
      <c r="B510" s="2"/>
      <c r="C510" s="2"/>
      <c r="D510" s="2"/>
      <c r="E510" s="2"/>
      <c r="F510" s="2"/>
      <c r="G510" s="2"/>
      <c r="H510" s="2"/>
      <c r="I510" s="2"/>
      <c r="J510" s="2"/>
      <c r="K510" s="2"/>
      <c r="L510" s="2"/>
      <c r="M510" s="2"/>
      <c r="N510" s="2"/>
      <c r="O510" s="2"/>
      <c r="P510" s="2"/>
      <c r="Q510" s="2"/>
      <c r="R510" s="2"/>
    </row>
    <row r="511">
      <c r="A511" s="2"/>
      <c r="B511" s="2"/>
      <c r="C511" s="2"/>
      <c r="D511" s="2"/>
      <c r="E511" s="2"/>
      <c r="F511" s="2"/>
      <c r="G511" s="2"/>
      <c r="H511" s="2"/>
      <c r="I511" s="2"/>
      <c r="J511" s="2"/>
      <c r="K511" s="2"/>
      <c r="L511" s="2"/>
      <c r="M511" s="2"/>
      <c r="N511" s="2"/>
      <c r="O511" s="2"/>
      <c r="P511" s="2"/>
      <c r="Q511" s="2"/>
      <c r="R511" s="2"/>
    </row>
    <row r="512">
      <c r="A512" s="2"/>
      <c r="B512" s="2"/>
      <c r="C512" s="2"/>
      <c r="D512" s="2"/>
      <c r="E512" s="2"/>
      <c r="F512" s="2"/>
      <c r="G512" s="2"/>
      <c r="H512" s="2"/>
      <c r="I512" s="2"/>
      <c r="J512" s="2"/>
      <c r="K512" s="2"/>
      <c r="L512" s="2"/>
      <c r="M512" s="2"/>
      <c r="N512" s="2"/>
      <c r="O512" s="2"/>
      <c r="P512" s="2"/>
      <c r="Q512" s="2"/>
      <c r="R512" s="2"/>
    </row>
    <row r="513">
      <c r="A513" s="2"/>
      <c r="B513" s="2"/>
      <c r="C513" s="2"/>
      <c r="D513" s="2"/>
      <c r="E513" s="2"/>
      <c r="F513" s="2"/>
      <c r="G513" s="2"/>
      <c r="H513" s="2"/>
      <c r="I513" s="2"/>
      <c r="J513" s="2"/>
      <c r="K513" s="2"/>
      <c r="L513" s="2"/>
      <c r="M513" s="2"/>
      <c r="N513" s="2"/>
      <c r="O513" s="2"/>
      <c r="P513" s="2"/>
      <c r="Q513" s="2"/>
      <c r="R513" s="2"/>
    </row>
    <row r="514">
      <c r="A514" s="2"/>
      <c r="B514" s="2"/>
      <c r="C514" s="2"/>
      <c r="D514" s="2"/>
      <c r="E514" s="2"/>
      <c r="F514" s="2"/>
      <c r="G514" s="2"/>
      <c r="H514" s="2"/>
      <c r="I514" s="2"/>
      <c r="J514" s="2"/>
      <c r="K514" s="2"/>
      <c r="L514" s="2"/>
      <c r="M514" s="2"/>
      <c r="N514" s="2"/>
      <c r="O514" s="2"/>
      <c r="P514" s="2"/>
      <c r="Q514" s="2"/>
      <c r="R514" s="2"/>
    </row>
    <row r="515">
      <c r="A515" s="2"/>
      <c r="B515" s="2"/>
      <c r="C515" s="2"/>
      <c r="D515" s="2"/>
      <c r="E515" s="2"/>
      <c r="F515" s="2"/>
      <c r="G515" s="2"/>
      <c r="H515" s="2"/>
      <c r="I515" s="2"/>
      <c r="J515" s="2"/>
      <c r="K515" s="2"/>
      <c r="L515" s="2"/>
      <c r="M515" s="2"/>
      <c r="N515" s="2"/>
      <c r="O515" s="2"/>
      <c r="P515" s="2"/>
      <c r="Q515" s="2"/>
      <c r="R515" s="2"/>
    </row>
    <row r="516">
      <c r="A516" s="2"/>
      <c r="B516" s="2"/>
      <c r="C516" s="2"/>
      <c r="D516" s="2"/>
      <c r="E516" s="2"/>
      <c r="F516" s="2"/>
      <c r="G516" s="2"/>
      <c r="H516" s="2"/>
      <c r="I516" s="2"/>
      <c r="J516" s="2"/>
      <c r="K516" s="2"/>
      <c r="L516" s="2"/>
      <c r="M516" s="2"/>
      <c r="N516" s="2"/>
      <c r="O516" s="2"/>
      <c r="P516" s="2"/>
      <c r="Q516" s="2"/>
      <c r="R516" s="2"/>
    </row>
    <row r="517">
      <c r="A517" s="2"/>
      <c r="B517" s="2"/>
      <c r="C517" s="2"/>
      <c r="D517" s="2"/>
      <c r="E517" s="2"/>
      <c r="F517" s="2"/>
      <c r="G517" s="2"/>
      <c r="H517" s="2"/>
      <c r="I517" s="2"/>
      <c r="J517" s="2"/>
      <c r="K517" s="2"/>
      <c r="L517" s="2"/>
      <c r="M517" s="2"/>
      <c r="N517" s="2"/>
      <c r="O517" s="2"/>
      <c r="P517" s="2"/>
      <c r="Q517" s="2"/>
      <c r="R517" s="2"/>
    </row>
    <row r="518">
      <c r="A518" s="2"/>
      <c r="B518" s="2"/>
      <c r="C518" s="2"/>
      <c r="D518" s="2"/>
      <c r="E518" s="2"/>
      <c r="F518" s="2"/>
      <c r="G518" s="2"/>
      <c r="H518" s="2"/>
      <c r="I518" s="2"/>
      <c r="J518" s="2"/>
      <c r="K518" s="2"/>
      <c r="L518" s="2"/>
      <c r="M518" s="2"/>
      <c r="N518" s="2"/>
      <c r="O518" s="2"/>
      <c r="P518" s="2"/>
      <c r="Q518" s="2"/>
      <c r="R518" s="2"/>
    </row>
    <row r="519">
      <c r="A519" s="2"/>
      <c r="B519" s="2"/>
      <c r="C519" s="2"/>
      <c r="D519" s="2"/>
      <c r="E519" s="2"/>
      <c r="F519" s="2"/>
      <c r="G519" s="2"/>
      <c r="H519" s="2"/>
      <c r="I519" s="2"/>
      <c r="J519" s="2"/>
      <c r="K519" s="2"/>
      <c r="L519" s="2"/>
      <c r="M519" s="2"/>
      <c r="N519" s="2"/>
      <c r="O519" s="2"/>
      <c r="P519" s="2"/>
      <c r="Q519" s="2"/>
      <c r="R519" s="2"/>
    </row>
    <row r="520">
      <c r="A520" s="2"/>
      <c r="B520" s="2"/>
      <c r="C520" s="2"/>
      <c r="D520" s="2"/>
      <c r="E520" s="2"/>
      <c r="F520" s="2"/>
      <c r="G520" s="2"/>
      <c r="H520" s="2"/>
      <c r="I520" s="2"/>
      <c r="J520" s="2"/>
      <c r="K520" s="2"/>
      <c r="L520" s="2"/>
      <c r="M520" s="2"/>
      <c r="N520" s="2"/>
      <c r="O520" s="2"/>
      <c r="P520" s="2"/>
      <c r="Q520" s="2"/>
      <c r="R520" s="2"/>
    </row>
    <row r="521">
      <c r="A521" s="2"/>
      <c r="B521" s="2"/>
      <c r="C521" s="2"/>
      <c r="D521" s="2"/>
      <c r="E521" s="2"/>
      <c r="F521" s="2"/>
      <c r="G521" s="2"/>
      <c r="H521" s="2"/>
      <c r="I521" s="2"/>
      <c r="J521" s="2"/>
      <c r="K521" s="2"/>
      <c r="L521" s="2"/>
      <c r="M521" s="2"/>
      <c r="N521" s="2"/>
      <c r="O521" s="2"/>
      <c r="P521" s="2"/>
      <c r="Q521" s="2"/>
      <c r="R521" s="2"/>
    </row>
    <row r="522">
      <c r="A522" s="2"/>
      <c r="B522" s="2"/>
      <c r="C522" s="2"/>
      <c r="D522" s="2"/>
      <c r="E522" s="2"/>
      <c r="F522" s="2"/>
      <c r="G522" s="2"/>
      <c r="H522" s="2"/>
      <c r="I522" s="2"/>
      <c r="J522" s="2"/>
      <c r="K522" s="2"/>
      <c r="L522" s="2"/>
      <c r="M522" s="2"/>
      <c r="N522" s="2"/>
      <c r="O522" s="2"/>
      <c r="P522" s="2"/>
      <c r="Q522" s="2"/>
      <c r="R522" s="2"/>
    </row>
    <row r="523">
      <c r="A523" s="2"/>
      <c r="B523" s="2"/>
      <c r="C523" s="2"/>
      <c r="D523" s="2"/>
      <c r="E523" s="2"/>
      <c r="F523" s="2"/>
      <c r="G523" s="2"/>
      <c r="H523" s="2"/>
      <c r="I523" s="2"/>
      <c r="J523" s="2"/>
      <c r="K523" s="2"/>
      <c r="L523" s="2"/>
      <c r="M523" s="2"/>
      <c r="N523" s="2"/>
      <c r="O523" s="2"/>
      <c r="P523" s="2"/>
      <c r="Q523" s="2"/>
      <c r="R523" s="2"/>
    </row>
    <row r="524">
      <c r="A524" s="2"/>
      <c r="B524" s="2"/>
      <c r="C524" s="2"/>
      <c r="D524" s="2"/>
      <c r="E524" s="2"/>
      <c r="F524" s="2"/>
      <c r="G524" s="2"/>
      <c r="H524" s="2"/>
      <c r="I524" s="2"/>
      <c r="J524" s="2"/>
      <c r="K524" s="2"/>
      <c r="L524" s="2"/>
      <c r="M524" s="2"/>
      <c r="N524" s="2"/>
      <c r="O524" s="2"/>
      <c r="P524" s="2"/>
      <c r="Q524" s="2"/>
      <c r="R524" s="2"/>
    </row>
    <row r="525">
      <c r="A525" s="2"/>
      <c r="B525" s="2"/>
      <c r="C525" s="2"/>
      <c r="D525" s="2"/>
      <c r="E525" s="2"/>
      <c r="F525" s="2"/>
      <c r="G525" s="2"/>
      <c r="H525" s="2"/>
      <c r="I525" s="2"/>
      <c r="J525" s="2"/>
      <c r="K525" s="2"/>
      <c r="L525" s="2"/>
      <c r="M525" s="2"/>
      <c r="N525" s="2"/>
      <c r="O525" s="2"/>
      <c r="P525" s="2"/>
      <c r="Q525" s="2"/>
      <c r="R525" s="2"/>
    </row>
    <row r="526">
      <c r="A526" s="2"/>
      <c r="B526" s="2"/>
      <c r="C526" s="2"/>
      <c r="D526" s="2"/>
      <c r="E526" s="2"/>
      <c r="F526" s="2"/>
      <c r="G526" s="2"/>
      <c r="H526" s="2"/>
      <c r="I526" s="2"/>
      <c r="J526" s="2"/>
      <c r="K526" s="2"/>
      <c r="L526" s="2"/>
      <c r="M526" s="2"/>
      <c r="N526" s="2"/>
      <c r="O526" s="2"/>
      <c r="P526" s="2"/>
      <c r="Q526" s="2"/>
      <c r="R526" s="2"/>
    </row>
    <row r="527">
      <c r="A527" s="2"/>
      <c r="B527" s="2"/>
      <c r="C527" s="2"/>
      <c r="D527" s="2"/>
      <c r="E527" s="2"/>
      <c r="F527" s="2"/>
      <c r="G527" s="2"/>
      <c r="H527" s="2"/>
      <c r="I527" s="2"/>
      <c r="J527" s="2"/>
      <c r="K527" s="2"/>
      <c r="L527" s="2"/>
      <c r="M527" s="2"/>
      <c r="N527" s="2"/>
      <c r="O527" s="2"/>
      <c r="P527" s="2"/>
      <c r="Q527" s="2"/>
      <c r="R527" s="2"/>
    </row>
    <row r="528">
      <c r="A528" s="2"/>
      <c r="B528" s="2"/>
      <c r="C528" s="2"/>
      <c r="D528" s="2"/>
      <c r="E528" s="2"/>
      <c r="F528" s="2"/>
      <c r="G528" s="2"/>
      <c r="H528" s="2"/>
      <c r="I528" s="2"/>
      <c r="J528" s="2"/>
      <c r="K528" s="2"/>
      <c r="L528" s="2"/>
      <c r="M528" s="2"/>
      <c r="N528" s="2"/>
      <c r="O528" s="2"/>
      <c r="P528" s="2"/>
      <c r="Q528" s="2"/>
      <c r="R528" s="2"/>
    </row>
    <row r="529">
      <c r="A529" s="2"/>
      <c r="B529" s="2"/>
      <c r="C529" s="2"/>
      <c r="D529" s="2"/>
      <c r="E529" s="2"/>
      <c r="F529" s="2"/>
      <c r="G529" s="2"/>
      <c r="H529" s="2"/>
      <c r="I529" s="2"/>
      <c r="J529" s="2"/>
      <c r="K529" s="2"/>
      <c r="L529" s="2"/>
      <c r="M529" s="2"/>
      <c r="N529" s="2"/>
      <c r="O529" s="2"/>
      <c r="P529" s="2"/>
      <c r="Q529" s="2"/>
      <c r="R529" s="2"/>
    </row>
    <row r="530">
      <c r="A530" s="2"/>
      <c r="B530" s="2"/>
      <c r="C530" s="2"/>
      <c r="D530" s="2"/>
      <c r="E530" s="2"/>
      <c r="F530" s="2"/>
      <c r="G530" s="2"/>
      <c r="H530" s="2"/>
      <c r="I530" s="2"/>
      <c r="J530" s="2"/>
      <c r="K530" s="2"/>
      <c r="L530" s="2"/>
      <c r="M530" s="2"/>
      <c r="N530" s="2"/>
      <c r="O530" s="2"/>
      <c r="P530" s="2"/>
      <c r="Q530" s="2"/>
      <c r="R530" s="2"/>
    </row>
    <row r="531">
      <c r="A531" s="2"/>
      <c r="B531" s="2"/>
      <c r="C531" s="2"/>
      <c r="D531" s="2"/>
      <c r="E531" s="2"/>
      <c r="F531" s="2"/>
      <c r="G531" s="2"/>
      <c r="H531" s="2"/>
      <c r="I531" s="2"/>
      <c r="J531" s="2"/>
      <c r="K531" s="2"/>
      <c r="L531" s="2"/>
      <c r="M531" s="2"/>
      <c r="N531" s="2"/>
      <c r="O531" s="2"/>
      <c r="P531" s="2"/>
      <c r="Q531" s="2"/>
      <c r="R531" s="2"/>
    </row>
    <row r="532">
      <c r="A532" s="2"/>
      <c r="B532" s="2"/>
      <c r="C532" s="2"/>
      <c r="D532" s="2"/>
      <c r="E532" s="2"/>
      <c r="F532" s="2"/>
      <c r="G532" s="2"/>
      <c r="H532" s="2"/>
      <c r="I532" s="2"/>
      <c r="J532" s="2"/>
      <c r="K532" s="2"/>
      <c r="L532" s="2"/>
      <c r="M532" s="2"/>
      <c r="N532" s="2"/>
      <c r="O532" s="2"/>
      <c r="P532" s="2"/>
      <c r="Q532" s="2"/>
      <c r="R532" s="2"/>
    </row>
    <row r="533">
      <c r="A533" s="2"/>
      <c r="B533" s="2"/>
      <c r="C533" s="2"/>
      <c r="D533" s="2"/>
      <c r="E533" s="2"/>
      <c r="F533" s="2"/>
      <c r="G533" s="2"/>
      <c r="H533" s="2"/>
      <c r="I533" s="2"/>
      <c r="J533" s="2"/>
      <c r="K533" s="2"/>
      <c r="L533" s="2"/>
      <c r="M533" s="2"/>
      <c r="N533" s="2"/>
      <c r="O533" s="2"/>
      <c r="P533" s="2"/>
      <c r="Q533" s="2"/>
      <c r="R533" s="2"/>
    </row>
    <row r="534">
      <c r="A534" s="2"/>
      <c r="B534" s="2"/>
      <c r="C534" s="2"/>
      <c r="D534" s="2"/>
      <c r="E534" s="2"/>
      <c r="F534" s="2"/>
      <c r="G534" s="2"/>
      <c r="H534" s="2"/>
      <c r="I534" s="2"/>
      <c r="J534" s="2"/>
      <c r="K534" s="2"/>
      <c r="L534" s="2"/>
      <c r="M534" s="2"/>
      <c r="N534" s="2"/>
      <c r="O534" s="2"/>
      <c r="P534" s="2"/>
      <c r="Q534" s="2"/>
      <c r="R534" s="2"/>
    </row>
    <row r="535">
      <c r="A535" s="2"/>
      <c r="B535" s="2"/>
      <c r="C535" s="2"/>
      <c r="D535" s="2"/>
      <c r="E535" s="2"/>
      <c r="F535" s="2"/>
      <c r="G535" s="2"/>
      <c r="H535" s="2"/>
      <c r="I535" s="2"/>
      <c r="J535" s="2"/>
      <c r="K535" s="2"/>
      <c r="L535" s="2"/>
      <c r="M535" s="2"/>
      <c r="N535" s="2"/>
      <c r="O535" s="2"/>
      <c r="P535" s="2"/>
      <c r="Q535" s="2"/>
      <c r="R535" s="2"/>
    </row>
    <row r="536">
      <c r="A536" s="2"/>
      <c r="B536" s="2"/>
      <c r="C536" s="2"/>
      <c r="D536" s="2"/>
      <c r="E536" s="2"/>
      <c r="F536" s="2"/>
      <c r="G536" s="2"/>
      <c r="H536" s="2"/>
      <c r="I536" s="2"/>
      <c r="J536" s="2"/>
      <c r="K536" s="2"/>
      <c r="L536" s="2"/>
      <c r="M536" s="2"/>
      <c r="N536" s="2"/>
      <c r="O536" s="2"/>
      <c r="P536" s="2"/>
      <c r="Q536" s="2"/>
      <c r="R536" s="2"/>
    </row>
    <row r="537">
      <c r="A537" s="2"/>
      <c r="B537" s="2"/>
      <c r="C537" s="2"/>
      <c r="D537" s="2"/>
      <c r="E537" s="2"/>
      <c r="F537" s="2"/>
      <c r="G537" s="2"/>
      <c r="H537" s="2"/>
      <c r="I537" s="2"/>
      <c r="J537" s="2"/>
      <c r="K537" s="2"/>
      <c r="L537" s="2"/>
      <c r="M537" s="2"/>
      <c r="N537" s="2"/>
      <c r="O537" s="2"/>
      <c r="P537" s="2"/>
      <c r="Q537" s="2"/>
      <c r="R537" s="2"/>
    </row>
    <row r="538">
      <c r="A538" s="2"/>
      <c r="B538" s="2"/>
      <c r="C538" s="2"/>
      <c r="D538" s="2"/>
      <c r="E538" s="2"/>
      <c r="F538" s="2"/>
      <c r="G538" s="2"/>
      <c r="H538" s="2"/>
      <c r="I538" s="2"/>
      <c r="J538" s="2"/>
      <c r="K538" s="2"/>
      <c r="L538" s="2"/>
      <c r="M538" s="2"/>
      <c r="N538" s="2"/>
      <c r="O538" s="2"/>
      <c r="P538" s="2"/>
      <c r="Q538" s="2"/>
      <c r="R538" s="2"/>
    </row>
    <row r="539">
      <c r="A539" s="2"/>
      <c r="B539" s="2"/>
      <c r="C539" s="2"/>
      <c r="D539" s="2"/>
      <c r="E539" s="2"/>
      <c r="F539" s="2"/>
      <c r="G539" s="2"/>
      <c r="H539" s="2"/>
      <c r="I539" s="2"/>
      <c r="J539" s="2"/>
      <c r="K539" s="2"/>
      <c r="L539" s="2"/>
      <c r="M539" s="2"/>
      <c r="N539" s="2"/>
      <c r="O539" s="2"/>
      <c r="P539" s="2"/>
      <c r="Q539" s="2"/>
      <c r="R539" s="2"/>
    </row>
    <row r="540">
      <c r="A540" s="2"/>
      <c r="B540" s="2"/>
      <c r="C540" s="2"/>
      <c r="D540" s="2"/>
      <c r="E540" s="2"/>
      <c r="F540" s="2"/>
      <c r="G540" s="2"/>
      <c r="H540" s="2"/>
      <c r="I540" s="2"/>
      <c r="J540" s="2"/>
      <c r="K540" s="2"/>
      <c r="L540" s="2"/>
      <c r="M540" s="2"/>
      <c r="N540" s="2"/>
      <c r="O540" s="2"/>
      <c r="P540" s="2"/>
      <c r="Q540" s="2"/>
      <c r="R540" s="2"/>
    </row>
    <row r="541">
      <c r="A541" s="2"/>
      <c r="B541" s="2"/>
      <c r="C541" s="2"/>
      <c r="D541" s="2"/>
      <c r="E541" s="2"/>
      <c r="F541" s="2"/>
      <c r="G541" s="2"/>
      <c r="H541" s="2"/>
      <c r="I541" s="2"/>
      <c r="J541" s="2"/>
      <c r="K541" s="2"/>
      <c r="L541" s="2"/>
      <c r="M541" s="2"/>
      <c r="N541" s="2"/>
      <c r="O541" s="2"/>
      <c r="P541" s="2"/>
      <c r="Q541" s="2"/>
      <c r="R541" s="2"/>
    </row>
    <row r="542">
      <c r="A542" s="2"/>
      <c r="B542" s="2"/>
      <c r="C542" s="2"/>
      <c r="D542" s="2"/>
      <c r="E542" s="2"/>
      <c r="F542" s="2"/>
      <c r="G542" s="2"/>
      <c r="H542" s="2"/>
      <c r="I542" s="2"/>
      <c r="J542" s="2"/>
      <c r="K542" s="2"/>
      <c r="L542" s="2"/>
      <c r="M542" s="2"/>
      <c r="N542" s="2"/>
      <c r="O542" s="2"/>
      <c r="P542" s="2"/>
      <c r="Q542" s="2"/>
      <c r="R542" s="2"/>
    </row>
    <row r="543">
      <c r="A543" s="2"/>
      <c r="B543" s="2"/>
      <c r="C543" s="2"/>
      <c r="D543" s="2"/>
      <c r="E543" s="2"/>
      <c r="F543" s="2"/>
      <c r="G543" s="2"/>
      <c r="H543" s="2"/>
      <c r="I543" s="2"/>
      <c r="J543" s="2"/>
      <c r="K543" s="2"/>
      <c r="L543" s="2"/>
      <c r="M543" s="2"/>
      <c r="N543" s="2"/>
      <c r="O543" s="2"/>
      <c r="P543" s="2"/>
      <c r="Q543" s="2"/>
      <c r="R543" s="2"/>
    </row>
    <row r="544">
      <c r="A544" s="2"/>
      <c r="B544" s="2"/>
      <c r="C544" s="2"/>
      <c r="D544" s="2"/>
      <c r="E544" s="2"/>
      <c r="F544" s="2"/>
      <c r="G544" s="2"/>
      <c r="H544" s="2"/>
      <c r="I544" s="2"/>
      <c r="J544" s="2"/>
      <c r="K544" s="2"/>
      <c r="L544" s="2"/>
      <c r="M544" s="2"/>
      <c r="N544" s="2"/>
      <c r="O544" s="2"/>
      <c r="P544" s="2"/>
      <c r="Q544" s="2"/>
      <c r="R544" s="2"/>
    </row>
    <row r="545">
      <c r="A545" s="2"/>
      <c r="B545" s="2"/>
      <c r="C545" s="2"/>
      <c r="D545" s="2"/>
      <c r="E545" s="2"/>
      <c r="F545" s="2"/>
      <c r="G545" s="2"/>
      <c r="H545" s="2"/>
      <c r="I545" s="2"/>
      <c r="J545" s="2"/>
      <c r="K545" s="2"/>
      <c r="L545" s="2"/>
      <c r="M545" s="2"/>
      <c r="N545" s="2"/>
      <c r="O545" s="2"/>
      <c r="P545" s="2"/>
      <c r="Q545" s="2"/>
      <c r="R545" s="2"/>
    </row>
    <row r="546">
      <c r="A546" s="2"/>
      <c r="B546" s="2"/>
      <c r="C546" s="2"/>
      <c r="D546" s="2"/>
      <c r="E546" s="2"/>
      <c r="F546" s="2"/>
      <c r="G546" s="2"/>
      <c r="H546" s="2"/>
      <c r="I546" s="2"/>
      <c r="J546" s="2"/>
      <c r="K546" s="2"/>
      <c r="L546" s="2"/>
      <c r="M546" s="2"/>
      <c r="N546" s="2"/>
      <c r="O546" s="2"/>
      <c r="P546" s="2"/>
      <c r="Q546" s="2"/>
      <c r="R546" s="2"/>
    </row>
    <row r="547">
      <c r="A547" s="2"/>
      <c r="B547" s="2"/>
      <c r="C547" s="2"/>
      <c r="D547" s="2"/>
      <c r="E547" s="2"/>
      <c r="F547" s="2"/>
      <c r="G547" s="2"/>
      <c r="H547" s="2"/>
      <c r="I547" s="2"/>
      <c r="J547" s="2"/>
      <c r="K547" s="2"/>
      <c r="L547" s="2"/>
      <c r="M547" s="2"/>
      <c r="N547" s="2"/>
      <c r="O547" s="2"/>
      <c r="P547" s="2"/>
      <c r="Q547" s="2"/>
      <c r="R547" s="2"/>
    </row>
    <row r="548">
      <c r="A548" s="2"/>
      <c r="B548" s="2"/>
      <c r="C548" s="2"/>
      <c r="D548" s="2"/>
      <c r="E548" s="2"/>
      <c r="F548" s="2"/>
      <c r="G548" s="2"/>
      <c r="H548" s="2"/>
      <c r="I548" s="2"/>
      <c r="J548" s="2"/>
      <c r="K548" s="2"/>
      <c r="L548" s="2"/>
      <c r="M548" s="2"/>
      <c r="N548" s="2"/>
      <c r="O548" s="2"/>
      <c r="P548" s="2"/>
      <c r="Q548" s="2"/>
      <c r="R548" s="2"/>
    </row>
    <row r="549">
      <c r="A549" s="2"/>
      <c r="B549" s="2"/>
      <c r="C549" s="2"/>
      <c r="D549" s="2"/>
      <c r="E549" s="2"/>
      <c r="F549" s="2"/>
      <c r="G549" s="2"/>
      <c r="H549" s="2"/>
      <c r="I549" s="2"/>
      <c r="J549" s="2"/>
      <c r="K549" s="2"/>
      <c r="L549" s="2"/>
      <c r="M549" s="2"/>
      <c r="N549" s="2"/>
      <c r="O549" s="2"/>
      <c r="P549" s="2"/>
      <c r="Q549" s="2"/>
      <c r="R549" s="2"/>
    </row>
    <row r="550">
      <c r="A550" s="2"/>
      <c r="B550" s="2"/>
      <c r="C550" s="2"/>
      <c r="D550" s="2"/>
      <c r="E550" s="2"/>
      <c r="F550" s="2"/>
      <c r="G550" s="2"/>
      <c r="H550" s="2"/>
      <c r="I550" s="2"/>
      <c r="J550" s="2"/>
      <c r="K550" s="2"/>
      <c r="L550" s="2"/>
      <c r="M550" s="2"/>
      <c r="N550" s="2"/>
      <c r="O550" s="2"/>
      <c r="P550" s="2"/>
      <c r="Q550" s="2"/>
      <c r="R550" s="2"/>
    </row>
    <row r="551">
      <c r="A551" s="2"/>
      <c r="B551" s="2"/>
      <c r="C551" s="2"/>
      <c r="D551" s="2"/>
      <c r="E551" s="2"/>
      <c r="F551" s="2"/>
      <c r="G551" s="2"/>
      <c r="H551" s="2"/>
      <c r="I551" s="2"/>
      <c r="J551" s="2"/>
      <c r="K551" s="2"/>
      <c r="L551" s="2"/>
      <c r="M551" s="2"/>
      <c r="N551" s="2"/>
      <c r="O551" s="2"/>
      <c r="P551" s="2"/>
      <c r="Q551" s="2"/>
      <c r="R551" s="2"/>
    </row>
    <row r="552">
      <c r="A552" s="2"/>
      <c r="B552" s="2"/>
      <c r="C552" s="2"/>
      <c r="D552" s="2"/>
      <c r="E552" s="2"/>
      <c r="F552" s="2"/>
      <c r="G552" s="2"/>
      <c r="H552" s="2"/>
      <c r="I552" s="2"/>
      <c r="J552" s="2"/>
      <c r="K552" s="2"/>
      <c r="L552" s="2"/>
      <c r="M552" s="2"/>
      <c r="N552" s="2"/>
      <c r="O552" s="2"/>
      <c r="P552" s="2"/>
      <c r="Q552" s="2"/>
      <c r="R552" s="2"/>
    </row>
    <row r="553">
      <c r="A553" s="2"/>
      <c r="B553" s="2"/>
      <c r="C553" s="2"/>
      <c r="D553" s="2"/>
      <c r="E553" s="2"/>
      <c r="F553" s="2"/>
      <c r="G553" s="2"/>
      <c r="H553" s="2"/>
      <c r="I553" s="2"/>
      <c r="J553" s="2"/>
      <c r="K553" s="2"/>
      <c r="L553" s="2"/>
      <c r="M553" s="2"/>
      <c r="N553" s="2"/>
      <c r="O553" s="2"/>
      <c r="P553" s="2"/>
      <c r="Q553" s="2"/>
      <c r="R553" s="2"/>
    </row>
    <row r="554">
      <c r="A554" s="2"/>
      <c r="B554" s="2"/>
      <c r="C554" s="2"/>
      <c r="D554" s="2"/>
      <c r="E554" s="2"/>
      <c r="F554" s="2"/>
      <c r="G554" s="2"/>
      <c r="H554" s="2"/>
      <c r="I554" s="2"/>
      <c r="J554" s="2"/>
      <c r="K554" s="2"/>
      <c r="L554" s="2"/>
      <c r="M554" s="2"/>
      <c r="N554" s="2"/>
      <c r="O554" s="2"/>
      <c r="P554" s="2"/>
      <c r="Q554" s="2"/>
      <c r="R554" s="2"/>
    </row>
    <row r="555">
      <c r="A555" s="2"/>
      <c r="B555" s="2"/>
      <c r="C555" s="2"/>
      <c r="D555" s="2"/>
      <c r="E555" s="2"/>
      <c r="F555" s="2"/>
      <c r="G555" s="2"/>
      <c r="H555" s="2"/>
      <c r="I555" s="2"/>
      <c r="J555" s="2"/>
      <c r="K555" s="2"/>
      <c r="L555" s="2"/>
      <c r="M555" s="2"/>
      <c r="N555" s="2"/>
      <c r="O555" s="2"/>
      <c r="P555" s="2"/>
      <c r="Q555" s="2"/>
      <c r="R555" s="2"/>
    </row>
    <row r="556">
      <c r="A556" s="2"/>
      <c r="B556" s="2"/>
      <c r="C556" s="2"/>
      <c r="D556" s="2"/>
      <c r="E556" s="2"/>
      <c r="F556" s="2"/>
      <c r="G556" s="2"/>
      <c r="H556" s="2"/>
      <c r="I556" s="2"/>
      <c r="J556" s="2"/>
      <c r="K556" s="2"/>
      <c r="L556" s="2"/>
      <c r="M556" s="2"/>
      <c r="N556" s="2"/>
      <c r="O556" s="2"/>
      <c r="P556" s="2"/>
      <c r="Q556" s="2"/>
      <c r="R556" s="2"/>
    </row>
    <row r="557">
      <c r="A557" s="2"/>
      <c r="B557" s="2"/>
      <c r="C557" s="2"/>
      <c r="D557" s="2"/>
      <c r="E557" s="2"/>
      <c r="F557" s="2"/>
      <c r="G557" s="2"/>
      <c r="H557" s="2"/>
      <c r="I557" s="2"/>
      <c r="J557" s="2"/>
      <c r="K557" s="2"/>
      <c r="L557" s="2"/>
      <c r="M557" s="2"/>
      <c r="N557" s="2"/>
      <c r="O557" s="2"/>
      <c r="P557" s="2"/>
      <c r="Q557" s="2"/>
      <c r="R557" s="2"/>
    </row>
    <row r="558">
      <c r="A558" s="2"/>
      <c r="B558" s="2"/>
      <c r="C558" s="2"/>
      <c r="D558" s="2"/>
      <c r="E558" s="2"/>
      <c r="F558" s="2"/>
      <c r="G558" s="2"/>
      <c r="H558" s="2"/>
      <c r="I558" s="2"/>
      <c r="J558" s="2"/>
      <c r="K558" s="2"/>
      <c r="L558" s="2"/>
      <c r="M558" s="2"/>
      <c r="N558" s="2"/>
      <c r="O558" s="2"/>
      <c r="P558" s="2"/>
      <c r="Q558" s="2"/>
      <c r="R558" s="2"/>
    </row>
    <row r="559">
      <c r="A559" s="2"/>
      <c r="B559" s="2"/>
      <c r="C559" s="2"/>
      <c r="D559" s="2"/>
      <c r="E559" s="2"/>
      <c r="F559" s="2"/>
      <c r="G559" s="2"/>
      <c r="H559" s="2"/>
      <c r="I559" s="2"/>
      <c r="J559" s="2"/>
      <c r="K559" s="2"/>
      <c r="L559" s="2"/>
      <c r="M559" s="2"/>
      <c r="N559" s="2"/>
      <c r="O559" s="2"/>
      <c r="P559" s="2"/>
      <c r="Q559" s="2"/>
      <c r="R559" s="2"/>
    </row>
    <row r="560">
      <c r="A560" s="2"/>
      <c r="B560" s="2"/>
      <c r="C560" s="2"/>
      <c r="D560" s="2"/>
      <c r="E560" s="2"/>
      <c r="F560" s="2"/>
      <c r="G560" s="2"/>
      <c r="H560" s="2"/>
      <c r="I560" s="2"/>
      <c r="J560" s="2"/>
      <c r="K560" s="2"/>
      <c r="L560" s="2"/>
      <c r="M560" s="2"/>
      <c r="N560" s="2"/>
      <c r="O560" s="2"/>
      <c r="P560" s="2"/>
      <c r="Q560" s="2"/>
      <c r="R560" s="2"/>
    </row>
    <row r="561">
      <c r="A561" s="2"/>
      <c r="B561" s="2"/>
      <c r="C561" s="2"/>
      <c r="D561" s="2"/>
      <c r="E561" s="2"/>
      <c r="F561" s="2"/>
      <c r="G561" s="2"/>
      <c r="H561" s="2"/>
      <c r="I561" s="2"/>
      <c r="J561" s="2"/>
      <c r="K561" s="2"/>
      <c r="L561" s="2"/>
      <c r="M561" s="2"/>
      <c r="N561" s="2"/>
      <c r="O561" s="2"/>
      <c r="P561" s="2"/>
      <c r="Q561" s="2"/>
      <c r="R561" s="2"/>
    </row>
    <row r="562">
      <c r="A562" s="2"/>
      <c r="B562" s="2"/>
      <c r="C562" s="2"/>
      <c r="D562" s="2"/>
      <c r="E562" s="2"/>
      <c r="F562" s="2"/>
      <c r="G562" s="2"/>
      <c r="H562" s="2"/>
      <c r="I562" s="2"/>
      <c r="J562" s="2"/>
      <c r="K562" s="2"/>
      <c r="L562" s="2"/>
      <c r="M562" s="2"/>
      <c r="N562" s="2"/>
      <c r="O562" s="2"/>
      <c r="P562" s="2"/>
      <c r="Q562" s="2"/>
      <c r="R562" s="2"/>
    </row>
    <row r="563">
      <c r="A563" s="2"/>
      <c r="B563" s="2"/>
      <c r="C563" s="2"/>
      <c r="D563" s="2"/>
      <c r="E563" s="2"/>
      <c r="F563" s="2"/>
      <c r="G563" s="2"/>
      <c r="H563" s="2"/>
      <c r="I563" s="2"/>
      <c r="J563" s="2"/>
      <c r="K563" s="2"/>
      <c r="L563" s="2"/>
      <c r="M563" s="2"/>
      <c r="N563" s="2"/>
      <c r="O563" s="2"/>
      <c r="P563" s="2"/>
      <c r="Q563" s="2"/>
      <c r="R563" s="2"/>
    </row>
    <row r="564">
      <c r="A564" s="2"/>
      <c r="B564" s="2"/>
      <c r="C564" s="2"/>
      <c r="D564" s="2"/>
      <c r="E564" s="2"/>
      <c r="F564" s="2"/>
      <c r="G564" s="2"/>
      <c r="H564" s="2"/>
      <c r="I564" s="2"/>
      <c r="J564" s="2"/>
      <c r="K564" s="2"/>
      <c r="L564" s="2"/>
      <c r="M564" s="2"/>
      <c r="N564" s="2"/>
      <c r="O564" s="2"/>
      <c r="P564" s="2"/>
      <c r="Q564" s="2"/>
      <c r="R564" s="2"/>
    </row>
    <row r="565">
      <c r="A565" s="2"/>
      <c r="B565" s="2"/>
      <c r="C565" s="2"/>
      <c r="D565" s="2"/>
      <c r="E565" s="2"/>
      <c r="F565" s="2"/>
      <c r="G565" s="2"/>
      <c r="H565" s="2"/>
      <c r="I565" s="2"/>
      <c r="J565" s="2"/>
      <c r="K565" s="2"/>
      <c r="L565" s="2"/>
      <c r="M565" s="2"/>
      <c r="N565" s="2"/>
      <c r="O565" s="2"/>
      <c r="P565" s="2"/>
      <c r="Q565" s="2"/>
      <c r="R565" s="2"/>
    </row>
    <row r="566">
      <c r="A566" s="2"/>
      <c r="B566" s="2"/>
      <c r="C566" s="2"/>
      <c r="D566" s="2"/>
      <c r="E566" s="2"/>
      <c r="F566" s="2"/>
      <c r="G566" s="2"/>
      <c r="H566" s="2"/>
      <c r="I566" s="2"/>
      <c r="J566" s="2"/>
      <c r="K566" s="2"/>
      <c r="L566" s="2"/>
      <c r="M566" s="2"/>
      <c r="N566" s="2"/>
      <c r="O566" s="2"/>
      <c r="P566" s="2"/>
      <c r="Q566" s="2"/>
      <c r="R566" s="2"/>
    </row>
    <row r="567">
      <c r="A567" s="2"/>
      <c r="B567" s="2"/>
      <c r="C567" s="2"/>
      <c r="D567" s="2"/>
      <c r="E567" s="2"/>
      <c r="F567" s="2"/>
      <c r="G567" s="2"/>
      <c r="H567" s="2"/>
      <c r="I567" s="2"/>
      <c r="J567" s="2"/>
      <c r="K567" s="2"/>
      <c r="L567" s="2"/>
      <c r="M567" s="2"/>
      <c r="N567" s="2"/>
      <c r="O567" s="2"/>
      <c r="P567" s="2"/>
      <c r="Q567" s="2"/>
      <c r="R567" s="2"/>
    </row>
    <row r="568">
      <c r="A568" s="2"/>
      <c r="B568" s="2"/>
      <c r="C568" s="2"/>
      <c r="D568" s="2"/>
      <c r="E568" s="2"/>
      <c r="F568" s="2"/>
      <c r="G568" s="2"/>
      <c r="H568" s="2"/>
      <c r="I568" s="2"/>
      <c r="J568" s="2"/>
      <c r="K568" s="2"/>
      <c r="L568" s="2"/>
      <c r="M568" s="2"/>
      <c r="N568" s="2"/>
      <c r="O568" s="2"/>
      <c r="P568" s="2"/>
      <c r="Q568" s="2"/>
      <c r="R568" s="2"/>
    </row>
    <row r="569">
      <c r="A569" s="2"/>
      <c r="B569" s="2"/>
      <c r="C569" s="2"/>
      <c r="D569" s="2"/>
      <c r="E569" s="2"/>
      <c r="F569" s="2"/>
      <c r="G569" s="2"/>
      <c r="H569" s="2"/>
      <c r="I569" s="2"/>
      <c r="J569" s="2"/>
      <c r="K569" s="2"/>
      <c r="L569" s="2"/>
      <c r="M569" s="2"/>
      <c r="N569" s="2"/>
      <c r="O569" s="2"/>
      <c r="P569" s="2"/>
      <c r="Q569" s="2"/>
      <c r="R569" s="2"/>
    </row>
    <row r="570">
      <c r="A570" s="2"/>
      <c r="B570" s="2"/>
      <c r="C570" s="2"/>
      <c r="D570" s="2"/>
      <c r="E570" s="2"/>
      <c r="F570" s="2"/>
      <c r="G570" s="2"/>
      <c r="H570" s="2"/>
      <c r="I570" s="2"/>
      <c r="J570" s="2"/>
      <c r="K570" s="2"/>
      <c r="L570" s="2"/>
      <c r="M570" s="2"/>
      <c r="N570" s="2"/>
      <c r="O570" s="2"/>
      <c r="P570" s="2"/>
      <c r="Q570" s="2"/>
      <c r="R570" s="2"/>
    </row>
    <row r="571">
      <c r="A571" s="2"/>
      <c r="B571" s="2"/>
      <c r="C571" s="2"/>
      <c r="D571" s="2"/>
      <c r="E571" s="2"/>
      <c r="F571" s="2"/>
      <c r="G571" s="2"/>
      <c r="H571" s="2"/>
      <c r="I571" s="2"/>
      <c r="J571" s="2"/>
      <c r="K571" s="2"/>
      <c r="L571" s="2"/>
      <c r="M571" s="2"/>
      <c r="N571" s="2"/>
      <c r="O571" s="2"/>
      <c r="P571" s="2"/>
      <c r="Q571" s="2"/>
      <c r="R571" s="2"/>
    </row>
    <row r="572">
      <c r="A572" s="2"/>
      <c r="B572" s="2"/>
      <c r="C572" s="2"/>
      <c r="D572" s="2"/>
      <c r="E572" s="2"/>
      <c r="F572" s="2"/>
      <c r="G572" s="2"/>
      <c r="H572" s="2"/>
      <c r="I572" s="2"/>
      <c r="J572" s="2"/>
      <c r="K572" s="2"/>
      <c r="L572" s="2"/>
      <c r="M572" s="2"/>
      <c r="N572" s="2"/>
      <c r="O572" s="2"/>
      <c r="P572" s="2"/>
      <c r="Q572" s="2"/>
      <c r="R572" s="2"/>
    </row>
    <row r="573">
      <c r="A573" s="2"/>
      <c r="B573" s="2"/>
      <c r="C573" s="2"/>
      <c r="D573" s="2"/>
      <c r="E573" s="2"/>
      <c r="F573" s="2"/>
      <c r="G573" s="2"/>
      <c r="H573" s="2"/>
      <c r="I573" s="2"/>
      <c r="J573" s="2"/>
      <c r="K573" s="2"/>
      <c r="L573" s="2"/>
      <c r="M573" s="2"/>
      <c r="N573" s="2"/>
      <c r="O573" s="2"/>
      <c r="P573" s="2"/>
      <c r="Q573" s="2"/>
      <c r="R573" s="2"/>
    </row>
    <row r="574">
      <c r="A574" s="2"/>
      <c r="B574" s="2"/>
      <c r="C574" s="2"/>
      <c r="D574" s="2"/>
      <c r="E574" s="2"/>
      <c r="F574" s="2"/>
      <c r="G574" s="2"/>
      <c r="H574" s="2"/>
      <c r="I574" s="2"/>
      <c r="J574" s="2"/>
      <c r="K574" s="2"/>
      <c r="L574" s="2"/>
      <c r="M574" s="2"/>
      <c r="N574" s="2"/>
      <c r="O574" s="2"/>
      <c r="P574" s="2"/>
      <c r="Q574" s="2"/>
      <c r="R574" s="2"/>
    </row>
    <row r="575">
      <c r="A575" s="2"/>
      <c r="B575" s="2"/>
      <c r="C575" s="2"/>
      <c r="D575" s="2"/>
      <c r="E575" s="2"/>
      <c r="F575" s="2"/>
      <c r="G575" s="2"/>
      <c r="H575" s="2"/>
      <c r="I575" s="2"/>
      <c r="J575" s="2"/>
      <c r="K575" s="2"/>
      <c r="L575" s="2"/>
      <c r="M575" s="2"/>
      <c r="N575" s="2"/>
      <c r="O575" s="2"/>
      <c r="P575" s="2"/>
      <c r="Q575" s="2"/>
      <c r="R575" s="2"/>
    </row>
    <row r="576">
      <c r="A576" s="2"/>
      <c r="B576" s="2"/>
      <c r="C576" s="2"/>
      <c r="D576" s="2"/>
      <c r="E576" s="2"/>
      <c r="F576" s="2"/>
      <c r="G576" s="2"/>
      <c r="H576" s="2"/>
      <c r="I576" s="2"/>
      <c r="J576" s="2"/>
      <c r="K576" s="2"/>
      <c r="L576" s="2"/>
      <c r="M576" s="2"/>
      <c r="N576" s="2"/>
      <c r="O576" s="2"/>
      <c r="P576" s="2"/>
      <c r="Q576" s="2"/>
      <c r="R576" s="2"/>
    </row>
    <row r="577">
      <c r="A577" s="2"/>
      <c r="B577" s="2"/>
      <c r="C577" s="2"/>
      <c r="D577" s="2"/>
      <c r="E577" s="2"/>
      <c r="F577" s="2"/>
      <c r="G577" s="2"/>
      <c r="H577" s="2"/>
      <c r="I577" s="2"/>
      <c r="J577" s="2"/>
      <c r="K577" s="2"/>
      <c r="L577" s="2"/>
      <c r="M577" s="2"/>
      <c r="N577" s="2"/>
      <c r="O577" s="2"/>
      <c r="P577" s="2"/>
      <c r="Q577" s="2"/>
      <c r="R577" s="2"/>
    </row>
    <row r="578">
      <c r="A578" s="2"/>
      <c r="B578" s="2"/>
      <c r="C578" s="2"/>
      <c r="D578" s="2"/>
      <c r="E578" s="2"/>
      <c r="F578" s="2"/>
      <c r="G578" s="2"/>
      <c r="H578" s="2"/>
      <c r="I578" s="2"/>
      <c r="J578" s="2"/>
      <c r="K578" s="2"/>
      <c r="L578" s="2"/>
      <c r="M578" s="2"/>
      <c r="N578" s="2"/>
      <c r="O578" s="2"/>
      <c r="P578" s="2"/>
      <c r="Q578" s="2"/>
      <c r="R578" s="2"/>
    </row>
    <row r="579">
      <c r="A579" s="2"/>
      <c r="B579" s="2"/>
      <c r="C579" s="2"/>
      <c r="D579" s="2"/>
      <c r="E579" s="2"/>
      <c r="F579" s="2"/>
      <c r="G579" s="2"/>
      <c r="H579" s="2"/>
      <c r="I579" s="2"/>
      <c r="J579" s="2"/>
      <c r="K579" s="2"/>
      <c r="L579" s="2"/>
      <c r="M579" s="2"/>
      <c r="N579" s="2"/>
      <c r="O579" s="2"/>
      <c r="P579" s="2"/>
      <c r="Q579" s="2"/>
      <c r="R579" s="2"/>
    </row>
    <row r="580">
      <c r="A580" s="2"/>
      <c r="B580" s="2"/>
      <c r="C580" s="2"/>
      <c r="D580" s="2"/>
      <c r="E580" s="2"/>
      <c r="F580" s="2"/>
      <c r="G580" s="2"/>
      <c r="H580" s="2"/>
      <c r="I580" s="2"/>
      <c r="J580" s="2"/>
      <c r="K580" s="2"/>
      <c r="L580" s="2"/>
      <c r="M580" s="2"/>
      <c r="N580" s="2"/>
      <c r="O580" s="2"/>
      <c r="P580" s="2"/>
      <c r="Q580" s="2"/>
      <c r="R580" s="2"/>
    </row>
    <row r="581">
      <c r="A581" s="2"/>
      <c r="B581" s="2"/>
      <c r="C581" s="2"/>
      <c r="D581" s="2"/>
      <c r="E581" s="2"/>
      <c r="F581" s="2"/>
      <c r="G581" s="2"/>
      <c r="H581" s="2"/>
      <c r="I581" s="2"/>
      <c r="J581" s="2"/>
      <c r="K581" s="2"/>
      <c r="L581" s="2"/>
      <c r="M581" s="2"/>
      <c r="N581" s="2"/>
      <c r="O581" s="2"/>
      <c r="P581" s="2"/>
      <c r="Q581" s="2"/>
      <c r="R581" s="2"/>
    </row>
    <row r="582">
      <c r="A582" s="2"/>
      <c r="B582" s="2"/>
      <c r="C582" s="2"/>
      <c r="D582" s="2"/>
      <c r="E582" s="2"/>
      <c r="F582" s="2"/>
      <c r="G582" s="2"/>
      <c r="H582" s="2"/>
      <c r="I582" s="2"/>
      <c r="J582" s="2"/>
      <c r="K582" s="2"/>
      <c r="L582" s="2"/>
      <c r="M582" s="2"/>
      <c r="N582" s="2"/>
      <c r="O582" s="2"/>
      <c r="P582" s="2"/>
      <c r="Q582" s="2"/>
      <c r="R582" s="2"/>
    </row>
    <row r="583">
      <c r="A583" s="2"/>
      <c r="B583" s="2"/>
      <c r="C583" s="2"/>
      <c r="D583" s="2"/>
      <c r="E583" s="2"/>
      <c r="F583" s="2"/>
      <c r="G583" s="2"/>
      <c r="H583" s="2"/>
      <c r="I583" s="2"/>
      <c r="J583" s="2"/>
      <c r="K583" s="2"/>
      <c r="L583" s="2"/>
      <c r="M583" s="2"/>
      <c r="N583" s="2"/>
      <c r="O583" s="2"/>
      <c r="P583" s="2"/>
      <c r="Q583" s="2"/>
      <c r="R583" s="2"/>
    </row>
    <row r="584">
      <c r="A584" s="2"/>
      <c r="B584" s="2"/>
      <c r="C584" s="2"/>
      <c r="D584" s="2"/>
      <c r="E584" s="2"/>
      <c r="F584" s="2"/>
      <c r="G584" s="2"/>
      <c r="H584" s="2"/>
      <c r="I584" s="2"/>
      <c r="J584" s="2"/>
      <c r="K584" s="2"/>
      <c r="L584" s="2"/>
      <c r="M584" s="2"/>
      <c r="N584" s="2"/>
      <c r="O584" s="2"/>
      <c r="P584" s="2"/>
      <c r="Q584" s="2"/>
      <c r="R584" s="2"/>
    </row>
    <row r="585">
      <c r="A585" s="2"/>
      <c r="B585" s="2"/>
      <c r="C585" s="2"/>
      <c r="D585" s="2"/>
      <c r="E585" s="2"/>
      <c r="F585" s="2"/>
      <c r="G585" s="2"/>
      <c r="H585" s="2"/>
      <c r="I585" s="2"/>
      <c r="J585" s="2"/>
      <c r="K585" s="2"/>
      <c r="L585" s="2"/>
      <c r="M585" s="2"/>
      <c r="N585" s="2"/>
      <c r="O585" s="2"/>
      <c r="P585" s="2"/>
      <c r="Q585" s="2"/>
      <c r="R585" s="2"/>
    </row>
    <row r="586">
      <c r="A586" s="2"/>
      <c r="B586" s="2"/>
      <c r="C586" s="2"/>
      <c r="D586" s="2"/>
      <c r="E586" s="2"/>
      <c r="F586" s="2"/>
      <c r="G586" s="2"/>
      <c r="H586" s="2"/>
      <c r="I586" s="2"/>
      <c r="J586" s="2"/>
      <c r="K586" s="2"/>
      <c r="L586" s="2"/>
      <c r="M586" s="2"/>
      <c r="N586" s="2"/>
      <c r="O586" s="2"/>
      <c r="P586" s="2"/>
      <c r="Q586" s="2"/>
      <c r="R586" s="2"/>
    </row>
    <row r="587">
      <c r="A587" s="2"/>
      <c r="B587" s="2"/>
      <c r="C587" s="2"/>
      <c r="D587" s="2"/>
      <c r="E587" s="2"/>
      <c r="F587" s="2"/>
      <c r="G587" s="2"/>
      <c r="H587" s="2"/>
      <c r="I587" s="2"/>
      <c r="J587" s="2"/>
      <c r="K587" s="2"/>
      <c r="L587" s="2"/>
      <c r="M587" s="2"/>
      <c r="N587" s="2"/>
      <c r="O587" s="2"/>
      <c r="P587" s="2"/>
      <c r="Q587" s="2"/>
      <c r="R587" s="2"/>
    </row>
    <row r="588">
      <c r="A588" s="2"/>
      <c r="B588" s="2"/>
      <c r="C588" s="2"/>
      <c r="D588" s="2"/>
      <c r="E588" s="2"/>
      <c r="F588" s="2"/>
      <c r="G588" s="2"/>
      <c r="H588" s="2"/>
      <c r="I588" s="2"/>
      <c r="J588" s="2"/>
      <c r="K588" s="2"/>
      <c r="L588" s="2"/>
      <c r="M588" s="2"/>
      <c r="N588" s="2"/>
      <c r="O588" s="2"/>
      <c r="P588" s="2"/>
      <c r="Q588" s="2"/>
      <c r="R588" s="2"/>
    </row>
    <row r="589">
      <c r="A589" s="2"/>
      <c r="B589" s="2"/>
      <c r="C589" s="2"/>
      <c r="D589" s="2"/>
      <c r="E589" s="2"/>
      <c r="F589" s="2"/>
      <c r="G589" s="2"/>
      <c r="H589" s="2"/>
      <c r="I589" s="2"/>
      <c r="J589" s="2"/>
      <c r="K589" s="2"/>
      <c r="L589" s="2"/>
      <c r="M589" s="2"/>
      <c r="N589" s="2"/>
      <c r="O589" s="2"/>
      <c r="P589" s="2"/>
      <c r="Q589" s="2"/>
      <c r="R589" s="2"/>
    </row>
    <row r="590">
      <c r="A590" s="2"/>
      <c r="B590" s="2"/>
      <c r="C590" s="2"/>
      <c r="D590" s="2"/>
      <c r="E590" s="2"/>
      <c r="F590" s="2"/>
      <c r="G590" s="2"/>
      <c r="H590" s="2"/>
      <c r="I590" s="2"/>
      <c r="J590" s="2"/>
      <c r="K590" s="2"/>
      <c r="L590" s="2"/>
      <c r="M590" s="2"/>
      <c r="N590" s="2"/>
      <c r="O590" s="2"/>
      <c r="P590" s="2"/>
      <c r="Q590" s="2"/>
      <c r="R590" s="2"/>
    </row>
    <row r="591">
      <c r="A591" s="2"/>
      <c r="B591" s="2"/>
      <c r="C591" s="2"/>
      <c r="D591" s="2"/>
      <c r="E591" s="2"/>
      <c r="F591" s="2"/>
      <c r="G591" s="2"/>
      <c r="H591" s="2"/>
      <c r="I591" s="2"/>
      <c r="J591" s="2"/>
      <c r="K591" s="2"/>
      <c r="L591" s="2"/>
      <c r="M591" s="2"/>
      <c r="N591" s="2"/>
      <c r="O591" s="2"/>
      <c r="P591" s="2"/>
      <c r="Q591" s="2"/>
      <c r="R591" s="2"/>
    </row>
    <row r="592">
      <c r="A592" s="2"/>
      <c r="B592" s="2"/>
      <c r="C592" s="2"/>
      <c r="D592" s="2"/>
      <c r="E592" s="2"/>
      <c r="F592" s="2"/>
      <c r="G592" s="2"/>
      <c r="H592" s="2"/>
      <c r="I592" s="2"/>
      <c r="J592" s="2"/>
      <c r="K592" s="2"/>
      <c r="L592" s="2"/>
      <c r="M592" s="2"/>
      <c r="N592" s="2"/>
      <c r="O592" s="2"/>
      <c r="P592" s="2"/>
      <c r="Q592" s="2"/>
      <c r="R592" s="2"/>
    </row>
    <row r="593">
      <c r="A593" s="2"/>
      <c r="B593" s="2"/>
      <c r="C593" s="2"/>
      <c r="D593" s="2"/>
      <c r="E593" s="2"/>
      <c r="F593" s="2"/>
      <c r="G593" s="2"/>
      <c r="H593" s="2"/>
      <c r="I593" s="2"/>
      <c r="J593" s="2"/>
      <c r="K593" s="2"/>
      <c r="L593" s="2"/>
      <c r="M593" s="2"/>
      <c r="N593" s="2"/>
      <c r="O593" s="2"/>
      <c r="P593" s="2"/>
      <c r="Q593" s="2"/>
      <c r="R593" s="2"/>
    </row>
    <row r="594">
      <c r="A594" s="2"/>
      <c r="B594" s="2"/>
      <c r="C594" s="2"/>
      <c r="D594" s="2"/>
      <c r="E594" s="2"/>
      <c r="F594" s="2"/>
      <c r="G594" s="2"/>
      <c r="H594" s="2"/>
      <c r="I594" s="2"/>
      <c r="J594" s="2"/>
      <c r="K594" s="2"/>
      <c r="L594" s="2"/>
      <c r="M594" s="2"/>
      <c r="N594" s="2"/>
      <c r="O594" s="2"/>
      <c r="P594" s="2"/>
      <c r="Q594" s="2"/>
      <c r="R594" s="2"/>
    </row>
    <row r="595">
      <c r="A595" s="2"/>
      <c r="B595" s="2"/>
      <c r="C595" s="2"/>
      <c r="D595" s="2"/>
      <c r="E595" s="2"/>
      <c r="F595" s="2"/>
      <c r="G595" s="2"/>
      <c r="H595" s="2"/>
      <c r="I595" s="2"/>
      <c r="J595" s="2"/>
      <c r="K595" s="2"/>
      <c r="L595" s="2"/>
      <c r="M595" s="2"/>
      <c r="N595" s="2"/>
      <c r="O595" s="2"/>
      <c r="P595" s="2"/>
      <c r="Q595" s="2"/>
      <c r="R595" s="2"/>
    </row>
    <row r="596">
      <c r="A596" s="2"/>
      <c r="B596" s="2"/>
      <c r="C596" s="2"/>
      <c r="D596" s="2"/>
      <c r="E596" s="2"/>
      <c r="F596" s="2"/>
      <c r="G596" s="2"/>
      <c r="H596" s="2"/>
      <c r="I596" s="2"/>
      <c r="J596" s="2"/>
      <c r="K596" s="2"/>
      <c r="L596" s="2"/>
      <c r="M596" s="2"/>
      <c r="N596" s="2"/>
      <c r="O596" s="2"/>
      <c r="P596" s="2"/>
      <c r="Q596" s="2"/>
      <c r="R596" s="2"/>
    </row>
    <row r="597">
      <c r="A597" s="2"/>
      <c r="B597" s="2"/>
      <c r="C597" s="2"/>
      <c r="D597" s="2"/>
      <c r="E597" s="2"/>
      <c r="F597" s="2"/>
      <c r="G597" s="2"/>
      <c r="H597" s="2"/>
      <c r="I597" s="2"/>
      <c r="J597" s="2"/>
      <c r="K597" s="2"/>
      <c r="L597" s="2"/>
      <c r="M597" s="2"/>
      <c r="N597" s="2"/>
      <c r="O597" s="2"/>
      <c r="P597" s="2"/>
      <c r="Q597" s="2"/>
      <c r="R597" s="2"/>
    </row>
    <row r="598">
      <c r="A598" s="2"/>
      <c r="B598" s="2"/>
      <c r="C598" s="2"/>
      <c r="D598" s="2"/>
      <c r="E598" s="2"/>
      <c r="F598" s="2"/>
      <c r="G598" s="2"/>
      <c r="H598" s="2"/>
      <c r="I598" s="2"/>
      <c r="J598" s="2"/>
      <c r="K598" s="2"/>
      <c r="L598" s="2"/>
      <c r="M598" s="2"/>
      <c r="N598" s="2"/>
      <c r="O598" s="2"/>
      <c r="P598" s="2"/>
      <c r="Q598" s="2"/>
      <c r="R598" s="2"/>
    </row>
    <row r="599">
      <c r="A599" s="2"/>
      <c r="B599" s="2"/>
      <c r="C599" s="2"/>
      <c r="D599" s="2"/>
      <c r="E599" s="2"/>
      <c r="F599" s="2"/>
      <c r="G599" s="2"/>
      <c r="H599" s="2"/>
      <c r="I599" s="2"/>
      <c r="J599" s="2"/>
      <c r="K599" s="2"/>
      <c r="L599" s="2"/>
      <c r="M599" s="2"/>
      <c r="N599" s="2"/>
      <c r="O599" s="2"/>
      <c r="P599" s="2"/>
      <c r="Q599" s="2"/>
      <c r="R599" s="2"/>
    </row>
    <row r="600">
      <c r="A600" s="2"/>
      <c r="B600" s="2"/>
      <c r="C600" s="2"/>
      <c r="D600" s="2"/>
      <c r="E600" s="2"/>
      <c r="F600" s="2"/>
      <c r="G600" s="2"/>
      <c r="H600" s="2"/>
      <c r="I600" s="2"/>
      <c r="J600" s="2"/>
      <c r="K600" s="2"/>
      <c r="L600" s="2"/>
      <c r="M600" s="2"/>
      <c r="N600" s="2"/>
      <c r="O600" s="2"/>
      <c r="P600" s="2"/>
      <c r="Q600" s="2"/>
      <c r="R600" s="2"/>
    </row>
    <row r="601">
      <c r="A601" s="2"/>
      <c r="B601" s="2"/>
      <c r="C601" s="2"/>
      <c r="D601" s="2"/>
      <c r="E601" s="2"/>
      <c r="F601" s="2"/>
      <c r="G601" s="2"/>
      <c r="H601" s="2"/>
      <c r="I601" s="2"/>
      <c r="J601" s="2"/>
      <c r="K601" s="2"/>
      <c r="L601" s="2"/>
      <c r="M601" s="2"/>
      <c r="N601" s="2"/>
      <c r="O601" s="2"/>
      <c r="P601" s="2"/>
      <c r="Q601" s="2"/>
      <c r="R601" s="2"/>
    </row>
    <row r="602">
      <c r="A602" s="2"/>
      <c r="B602" s="2"/>
      <c r="C602" s="2"/>
      <c r="D602" s="2"/>
      <c r="E602" s="2"/>
      <c r="F602" s="2"/>
      <c r="G602" s="2"/>
      <c r="H602" s="2"/>
      <c r="I602" s="2"/>
      <c r="J602" s="2"/>
      <c r="K602" s="2"/>
      <c r="L602" s="2"/>
      <c r="M602" s="2"/>
      <c r="N602" s="2"/>
      <c r="O602" s="2"/>
      <c r="P602" s="2"/>
      <c r="Q602" s="2"/>
      <c r="R602" s="2"/>
    </row>
    <row r="603">
      <c r="A603" s="2"/>
      <c r="B603" s="2"/>
      <c r="C603" s="2"/>
      <c r="D603" s="2"/>
      <c r="E603" s="2"/>
      <c r="F603" s="2"/>
      <c r="G603" s="2"/>
      <c r="H603" s="2"/>
      <c r="I603" s="2"/>
      <c r="J603" s="2"/>
      <c r="K603" s="2"/>
      <c r="L603" s="2"/>
      <c r="M603" s="2"/>
      <c r="N603" s="2"/>
      <c r="O603" s="2"/>
      <c r="P603" s="2"/>
      <c r="Q603" s="2"/>
      <c r="R603" s="2"/>
    </row>
    <row r="604">
      <c r="A604" s="2"/>
      <c r="B604" s="2"/>
      <c r="C604" s="2"/>
      <c r="D604" s="2"/>
      <c r="E604" s="2"/>
      <c r="F604" s="2"/>
      <c r="G604" s="2"/>
      <c r="H604" s="2"/>
      <c r="I604" s="2"/>
      <c r="J604" s="2"/>
      <c r="K604" s="2"/>
      <c r="L604" s="2"/>
      <c r="M604" s="2"/>
      <c r="N604" s="2"/>
      <c r="O604" s="2"/>
      <c r="P604" s="2"/>
      <c r="Q604" s="2"/>
      <c r="R604" s="2"/>
    </row>
    <row r="605">
      <c r="A605" s="2"/>
      <c r="B605" s="2"/>
      <c r="C605" s="2"/>
      <c r="D605" s="2"/>
      <c r="E605" s="2"/>
      <c r="F605" s="2"/>
      <c r="G605" s="2"/>
      <c r="H605" s="2"/>
      <c r="I605" s="2"/>
      <c r="J605" s="2"/>
      <c r="K605" s="2"/>
      <c r="L605" s="2"/>
      <c r="M605" s="2"/>
      <c r="N605" s="2"/>
      <c r="O605" s="2"/>
      <c r="P605" s="2"/>
      <c r="Q605" s="2"/>
      <c r="R605" s="2"/>
    </row>
    <row r="606">
      <c r="A606" s="2"/>
      <c r="B606" s="2"/>
      <c r="C606" s="2"/>
      <c r="D606" s="2"/>
      <c r="E606" s="2"/>
      <c r="F606" s="2"/>
      <c r="G606" s="2"/>
      <c r="H606" s="2"/>
      <c r="I606" s="2"/>
      <c r="J606" s="2"/>
      <c r="K606" s="2"/>
      <c r="L606" s="2"/>
      <c r="M606" s="2"/>
      <c r="N606" s="2"/>
      <c r="O606" s="2"/>
      <c r="P606" s="2"/>
      <c r="Q606" s="2"/>
      <c r="R606" s="2"/>
    </row>
    <row r="607">
      <c r="A607" s="2"/>
      <c r="B607" s="2"/>
      <c r="C607" s="2"/>
      <c r="D607" s="2"/>
      <c r="E607" s="2"/>
      <c r="F607" s="2"/>
      <c r="G607" s="2"/>
      <c r="H607" s="2"/>
      <c r="I607" s="2"/>
      <c r="J607" s="2"/>
      <c r="K607" s="2"/>
      <c r="L607" s="2"/>
      <c r="M607" s="2"/>
      <c r="N607" s="2"/>
      <c r="O607" s="2"/>
      <c r="P607" s="2"/>
      <c r="Q607" s="2"/>
      <c r="R607" s="2"/>
    </row>
    <row r="608">
      <c r="A608" s="2"/>
      <c r="B608" s="2"/>
      <c r="C608" s="2"/>
      <c r="D608" s="2"/>
      <c r="E608" s="2"/>
      <c r="F608" s="2"/>
      <c r="G608" s="2"/>
      <c r="H608" s="2"/>
      <c r="I608" s="2"/>
      <c r="J608" s="2"/>
      <c r="K608" s="2"/>
      <c r="L608" s="2"/>
      <c r="M608" s="2"/>
      <c r="N608" s="2"/>
      <c r="O608" s="2"/>
      <c r="P608" s="2"/>
      <c r="Q608" s="2"/>
      <c r="R608" s="2"/>
    </row>
    <row r="609">
      <c r="A609" s="2"/>
      <c r="B609" s="2"/>
      <c r="C609" s="2"/>
      <c r="D609" s="2"/>
      <c r="E609" s="2"/>
      <c r="F609" s="2"/>
      <c r="G609" s="2"/>
      <c r="H609" s="2"/>
      <c r="I609" s="2"/>
      <c r="J609" s="2"/>
      <c r="K609" s="2"/>
      <c r="L609" s="2"/>
      <c r="M609" s="2"/>
      <c r="N609" s="2"/>
      <c r="O609" s="2"/>
      <c r="P609" s="2"/>
      <c r="Q609" s="2"/>
      <c r="R609" s="2"/>
    </row>
    <row r="610">
      <c r="A610" s="2"/>
      <c r="B610" s="2"/>
      <c r="C610" s="2"/>
      <c r="D610" s="2"/>
      <c r="E610" s="2"/>
      <c r="F610" s="2"/>
      <c r="G610" s="2"/>
      <c r="H610" s="2"/>
      <c r="I610" s="2"/>
      <c r="J610" s="2"/>
      <c r="K610" s="2"/>
      <c r="L610" s="2"/>
      <c r="M610" s="2"/>
      <c r="N610" s="2"/>
      <c r="O610" s="2"/>
      <c r="P610" s="2"/>
      <c r="Q610" s="2"/>
      <c r="R610" s="2"/>
    </row>
    <row r="611">
      <c r="A611" s="2"/>
      <c r="B611" s="2"/>
      <c r="C611" s="2"/>
      <c r="D611" s="2"/>
      <c r="E611" s="2"/>
      <c r="F611" s="2"/>
      <c r="G611" s="2"/>
      <c r="H611" s="2"/>
      <c r="I611" s="2"/>
      <c r="J611" s="2"/>
      <c r="K611" s="2"/>
      <c r="L611" s="2"/>
      <c r="M611" s="2"/>
      <c r="N611" s="2"/>
      <c r="O611" s="2"/>
      <c r="P611" s="2"/>
      <c r="Q611" s="2"/>
      <c r="R611" s="2"/>
    </row>
    <row r="612">
      <c r="A612" s="2"/>
      <c r="B612" s="2"/>
      <c r="C612" s="2"/>
      <c r="D612" s="2"/>
      <c r="E612" s="2"/>
      <c r="F612" s="2"/>
      <c r="G612" s="2"/>
      <c r="H612" s="2"/>
      <c r="I612" s="2"/>
      <c r="J612" s="2"/>
      <c r="K612" s="2"/>
      <c r="L612" s="2"/>
      <c r="M612" s="2"/>
      <c r="N612" s="2"/>
      <c r="O612" s="2"/>
      <c r="P612" s="2"/>
      <c r="Q612" s="2"/>
      <c r="R612" s="2"/>
    </row>
    <row r="613">
      <c r="A613" s="2"/>
      <c r="B613" s="2"/>
      <c r="C613" s="2"/>
      <c r="D613" s="2"/>
      <c r="E613" s="2"/>
      <c r="F613" s="2"/>
      <c r="G613" s="2"/>
      <c r="H613" s="2"/>
      <c r="I613" s="2"/>
      <c r="J613" s="2"/>
      <c r="K613" s="2"/>
      <c r="L613" s="2"/>
      <c r="M613" s="2"/>
      <c r="N613" s="2"/>
      <c r="O613" s="2"/>
      <c r="P613" s="2"/>
      <c r="Q613" s="2"/>
      <c r="R613" s="2"/>
    </row>
    <row r="614">
      <c r="A614" s="2"/>
      <c r="B614" s="2"/>
      <c r="C614" s="2"/>
      <c r="D614" s="2"/>
      <c r="E614" s="2"/>
      <c r="F614" s="2"/>
      <c r="G614" s="2"/>
      <c r="H614" s="2"/>
      <c r="I614" s="2"/>
      <c r="J614" s="2"/>
      <c r="K614" s="2"/>
      <c r="L614" s="2"/>
      <c r="M614" s="2"/>
      <c r="N614" s="2"/>
      <c r="O614" s="2"/>
      <c r="P614" s="2"/>
      <c r="Q614" s="2"/>
      <c r="R614" s="2"/>
    </row>
    <row r="615">
      <c r="A615" s="2"/>
      <c r="B615" s="2"/>
      <c r="C615" s="2"/>
      <c r="D615" s="2"/>
      <c r="E615" s="2"/>
      <c r="F615" s="2"/>
      <c r="G615" s="2"/>
      <c r="H615" s="2"/>
      <c r="I615" s="2"/>
      <c r="J615" s="2"/>
      <c r="K615" s="2"/>
      <c r="L615" s="2"/>
      <c r="M615" s="2"/>
      <c r="N615" s="2"/>
      <c r="O615" s="2"/>
      <c r="P615" s="2"/>
      <c r="Q615" s="2"/>
      <c r="R615" s="2"/>
    </row>
    <row r="616">
      <c r="A616" s="2"/>
      <c r="B616" s="2"/>
      <c r="C616" s="2"/>
      <c r="D616" s="2"/>
      <c r="E616" s="2"/>
      <c r="F616" s="2"/>
      <c r="G616" s="2"/>
      <c r="H616" s="2"/>
      <c r="I616" s="2"/>
      <c r="J616" s="2"/>
      <c r="K616" s="2"/>
      <c r="L616" s="2"/>
      <c r="M616" s="2"/>
      <c r="N616" s="2"/>
      <c r="O616" s="2"/>
      <c r="P616" s="2"/>
      <c r="Q616" s="2"/>
      <c r="R616" s="2"/>
    </row>
    <row r="617">
      <c r="A617" s="2"/>
      <c r="B617" s="2"/>
      <c r="C617" s="2"/>
      <c r="D617" s="2"/>
      <c r="E617" s="2"/>
      <c r="F617" s="2"/>
      <c r="G617" s="2"/>
      <c r="H617" s="2"/>
      <c r="I617" s="2"/>
      <c r="J617" s="2"/>
      <c r="K617" s="2"/>
      <c r="L617" s="2"/>
      <c r="M617" s="2"/>
      <c r="N617" s="2"/>
      <c r="O617" s="2"/>
      <c r="P617" s="2"/>
      <c r="Q617" s="2"/>
      <c r="R617" s="2"/>
    </row>
    <row r="618">
      <c r="A618" s="2"/>
      <c r="B618" s="2"/>
      <c r="C618" s="2"/>
      <c r="D618" s="2"/>
      <c r="E618" s="2"/>
      <c r="F618" s="2"/>
      <c r="G618" s="2"/>
      <c r="H618" s="2"/>
      <c r="I618" s="2"/>
      <c r="J618" s="2"/>
      <c r="K618" s="2"/>
      <c r="L618" s="2"/>
      <c r="M618" s="2"/>
      <c r="N618" s="2"/>
      <c r="O618" s="2"/>
      <c r="P618" s="2"/>
      <c r="Q618" s="2"/>
      <c r="R618" s="2"/>
    </row>
    <row r="619">
      <c r="A619" s="2"/>
      <c r="B619" s="2"/>
      <c r="C619" s="2"/>
      <c r="D619" s="2"/>
      <c r="E619" s="2"/>
      <c r="F619" s="2"/>
      <c r="G619" s="2"/>
      <c r="H619" s="2"/>
      <c r="I619" s="2"/>
      <c r="J619" s="2"/>
      <c r="K619" s="2"/>
      <c r="L619" s="2"/>
      <c r="M619" s="2"/>
      <c r="N619" s="2"/>
      <c r="O619" s="2"/>
      <c r="P619" s="2"/>
      <c r="Q619" s="2"/>
      <c r="R619" s="2"/>
    </row>
    <row r="620">
      <c r="A620" s="2"/>
      <c r="B620" s="2"/>
      <c r="C620" s="2"/>
      <c r="D620" s="2"/>
      <c r="E620" s="2"/>
      <c r="F620" s="2"/>
      <c r="G620" s="2"/>
      <c r="H620" s="2"/>
      <c r="I620" s="2"/>
      <c r="J620" s="2"/>
      <c r="K620" s="2"/>
      <c r="L620" s="2"/>
      <c r="M620" s="2"/>
      <c r="N620" s="2"/>
      <c r="O620" s="2"/>
      <c r="P620" s="2"/>
      <c r="Q620" s="2"/>
      <c r="R620" s="2"/>
    </row>
    <row r="621">
      <c r="A621" s="2"/>
      <c r="B621" s="2"/>
      <c r="C621" s="2"/>
      <c r="D621" s="2"/>
      <c r="E621" s="2"/>
      <c r="F621" s="2"/>
      <c r="G621" s="2"/>
      <c r="H621" s="2"/>
      <c r="I621" s="2"/>
      <c r="J621" s="2"/>
      <c r="K621" s="2"/>
      <c r="L621" s="2"/>
      <c r="M621" s="2"/>
      <c r="N621" s="2"/>
      <c r="O621" s="2"/>
      <c r="P621" s="2"/>
      <c r="Q621" s="2"/>
      <c r="R621" s="2"/>
    </row>
    <row r="622">
      <c r="A622" s="2"/>
      <c r="B622" s="2"/>
      <c r="C622" s="2"/>
      <c r="D622" s="2"/>
      <c r="E622" s="2"/>
      <c r="F622" s="2"/>
      <c r="G622" s="2"/>
      <c r="H622" s="2"/>
      <c r="I622" s="2"/>
      <c r="J622" s="2"/>
      <c r="K622" s="2"/>
      <c r="L622" s="2"/>
      <c r="M622" s="2"/>
      <c r="N622" s="2"/>
      <c r="O622" s="2"/>
      <c r="P622" s="2"/>
      <c r="Q622" s="2"/>
      <c r="R622" s="2"/>
    </row>
    <row r="623">
      <c r="A623" s="2"/>
      <c r="B623" s="2"/>
      <c r="C623" s="2"/>
      <c r="D623" s="2"/>
      <c r="E623" s="2"/>
      <c r="F623" s="2"/>
      <c r="G623" s="2"/>
      <c r="H623" s="2"/>
      <c r="I623" s="2"/>
      <c r="J623" s="2"/>
      <c r="K623" s="2"/>
      <c r="L623" s="2"/>
      <c r="M623" s="2"/>
      <c r="N623" s="2"/>
      <c r="O623" s="2"/>
      <c r="P623" s="2"/>
      <c r="Q623" s="2"/>
      <c r="R623" s="2"/>
    </row>
    <row r="624">
      <c r="A624" s="2"/>
      <c r="B624" s="2"/>
      <c r="C624" s="2"/>
      <c r="D624" s="2"/>
      <c r="E624" s="2"/>
      <c r="F624" s="2"/>
      <c r="G624" s="2"/>
      <c r="H624" s="2"/>
      <c r="I624" s="2"/>
      <c r="J624" s="2"/>
      <c r="K624" s="2"/>
      <c r="L624" s="2"/>
      <c r="M624" s="2"/>
      <c r="N624" s="2"/>
      <c r="O624" s="2"/>
      <c r="P624" s="2"/>
      <c r="Q624" s="2"/>
      <c r="R624" s="2"/>
    </row>
    <row r="625">
      <c r="A625" s="2"/>
      <c r="B625" s="2"/>
      <c r="C625" s="2"/>
      <c r="D625" s="2"/>
      <c r="E625" s="2"/>
      <c r="F625" s="2"/>
      <c r="G625" s="2"/>
      <c r="H625" s="2"/>
      <c r="I625" s="2"/>
      <c r="J625" s="2"/>
      <c r="K625" s="2"/>
      <c r="L625" s="2"/>
      <c r="M625" s="2"/>
      <c r="N625" s="2"/>
      <c r="O625" s="2"/>
      <c r="P625" s="2"/>
      <c r="Q625" s="2"/>
      <c r="R625" s="2"/>
    </row>
    <row r="626">
      <c r="A626" s="2"/>
      <c r="B626" s="2"/>
      <c r="C626" s="2"/>
      <c r="D626" s="2"/>
      <c r="E626" s="2"/>
      <c r="F626" s="2"/>
      <c r="G626" s="2"/>
      <c r="H626" s="2"/>
      <c r="I626" s="2"/>
      <c r="J626" s="2"/>
      <c r="K626" s="2"/>
      <c r="L626" s="2"/>
      <c r="M626" s="2"/>
      <c r="N626" s="2"/>
      <c r="O626" s="2"/>
      <c r="P626" s="2"/>
      <c r="Q626" s="2"/>
      <c r="R626" s="2"/>
    </row>
    <row r="627">
      <c r="A627" s="2"/>
      <c r="B627" s="2"/>
      <c r="C627" s="2"/>
      <c r="D627" s="2"/>
      <c r="E627" s="2"/>
      <c r="F627" s="2"/>
      <c r="G627" s="2"/>
      <c r="H627" s="2"/>
      <c r="I627" s="2"/>
      <c r="J627" s="2"/>
      <c r="K627" s="2"/>
      <c r="L627" s="2"/>
      <c r="M627" s="2"/>
      <c r="N627" s="2"/>
      <c r="O627" s="2"/>
      <c r="P627" s="2"/>
      <c r="Q627" s="2"/>
      <c r="R627" s="2"/>
    </row>
    <row r="628">
      <c r="A628" s="2"/>
      <c r="B628" s="2"/>
      <c r="C628" s="2"/>
      <c r="D628" s="2"/>
      <c r="E628" s="2"/>
      <c r="F628" s="2"/>
      <c r="G628" s="2"/>
      <c r="H628" s="2"/>
      <c r="I628" s="2"/>
      <c r="J628" s="2"/>
      <c r="K628" s="2"/>
      <c r="L628" s="2"/>
      <c r="M628" s="2"/>
      <c r="N628" s="2"/>
      <c r="O628" s="2"/>
      <c r="P628" s="2"/>
      <c r="Q628" s="2"/>
      <c r="R628" s="2"/>
    </row>
    <row r="629">
      <c r="A629" s="2"/>
      <c r="B629" s="2"/>
      <c r="C629" s="2"/>
      <c r="D629" s="2"/>
      <c r="E629" s="2"/>
      <c r="F629" s="2"/>
      <c r="G629" s="2"/>
      <c r="H629" s="2"/>
      <c r="I629" s="2"/>
      <c r="J629" s="2"/>
      <c r="K629" s="2"/>
      <c r="L629" s="2"/>
      <c r="M629" s="2"/>
      <c r="N629" s="2"/>
      <c r="O629" s="2"/>
      <c r="P629" s="2"/>
      <c r="Q629" s="2"/>
      <c r="R629" s="2"/>
    </row>
    <row r="630">
      <c r="A630" s="2"/>
      <c r="B630" s="2"/>
      <c r="C630" s="2"/>
      <c r="D630" s="2"/>
      <c r="E630" s="2"/>
      <c r="F630" s="2"/>
      <c r="G630" s="2"/>
      <c r="H630" s="2"/>
      <c r="I630" s="2"/>
      <c r="J630" s="2"/>
      <c r="K630" s="2"/>
      <c r="L630" s="2"/>
      <c r="M630" s="2"/>
      <c r="N630" s="2"/>
      <c r="O630" s="2"/>
      <c r="P630" s="2"/>
      <c r="Q630" s="2"/>
      <c r="R630" s="2"/>
    </row>
    <row r="631">
      <c r="A631" s="2"/>
      <c r="B631" s="2"/>
      <c r="C631" s="2"/>
      <c r="D631" s="2"/>
      <c r="E631" s="2"/>
      <c r="F631" s="2"/>
      <c r="G631" s="2"/>
      <c r="H631" s="2"/>
      <c r="I631" s="2"/>
      <c r="J631" s="2"/>
      <c r="K631" s="2"/>
      <c r="L631" s="2"/>
      <c r="M631" s="2"/>
      <c r="N631" s="2"/>
      <c r="O631" s="2"/>
      <c r="P631" s="2"/>
      <c r="Q631" s="2"/>
      <c r="R631" s="2"/>
    </row>
    <row r="632">
      <c r="A632" s="2"/>
      <c r="B632" s="2"/>
      <c r="C632" s="2"/>
      <c r="D632" s="2"/>
      <c r="E632" s="2"/>
      <c r="F632" s="2"/>
      <c r="G632" s="2"/>
      <c r="H632" s="2"/>
      <c r="I632" s="2"/>
      <c r="J632" s="2"/>
      <c r="K632" s="2"/>
      <c r="L632" s="2"/>
      <c r="M632" s="2"/>
      <c r="N632" s="2"/>
      <c r="O632" s="2"/>
      <c r="P632" s="2"/>
      <c r="Q632" s="2"/>
      <c r="R632" s="2"/>
    </row>
    <row r="633">
      <c r="A633" s="2"/>
      <c r="B633" s="2"/>
      <c r="C633" s="2"/>
      <c r="D633" s="2"/>
      <c r="E633" s="2"/>
      <c r="F633" s="2"/>
      <c r="G633" s="2"/>
      <c r="H633" s="2"/>
      <c r="I633" s="2"/>
      <c r="J633" s="2"/>
      <c r="K633" s="2"/>
      <c r="L633" s="2"/>
      <c r="M633" s="2"/>
      <c r="N633" s="2"/>
      <c r="O633" s="2"/>
      <c r="P633" s="2"/>
      <c r="Q633" s="2"/>
      <c r="R633" s="2"/>
    </row>
    <row r="634">
      <c r="A634" s="2"/>
      <c r="B634" s="2"/>
      <c r="C634" s="2"/>
      <c r="D634" s="2"/>
      <c r="E634" s="2"/>
      <c r="F634" s="2"/>
      <c r="G634" s="2"/>
      <c r="H634" s="2"/>
      <c r="I634" s="2"/>
      <c r="J634" s="2"/>
      <c r="K634" s="2"/>
      <c r="L634" s="2"/>
      <c r="M634" s="2"/>
      <c r="N634" s="2"/>
      <c r="O634" s="2"/>
      <c r="P634" s="2"/>
      <c r="Q634" s="2"/>
      <c r="R634" s="2"/>
    </row>
    <row r="635">
      <c r="A635" s="2"/>
      <c r="B635" s="2"/>
      <c r="C635" s="2"/>
      <c r="D635" s="2"/>
      <c r="E635" s="2"/>
      <c r="F635" s="2"/>
      <c r="G635" s="2"/>
      <c r="H635" s="2"/>
      <c r="I635" s="2"/>
      <c r="J635" s="2"/>
      <c r="K635" s="2"/>
      <c r="L635" s="2"/>
      <c r="M635" s="2"/>
      <c r="N635" s="2"/>
      <c r="O635" s="2"/>
      <c r="P635" s="2"/>
      <c r="Q635" s="2"/>
      <c r="R635" s="2"/>
    </row>
    <row r="636">
      <c r="A636" s="2"/>
      <c r="B636" s="2"/>
      <c r="C636" s="2"/>
      <c r="D636" s="2"/>
      <c r="E636" s="2"/>
      <c r="F636" s="2"/>
      <c r="G636" s="2"/>
      <c r="H636" s="2"/>
      <c r="I636" s="2"/>
      <c r="J636" s="2"/>
      <c r="K636" s="2"/>
      <c r="L636" s="2"/>
      <c r="M636" s="2"/>
      <c r="N636" s="2"/>
      <c r="O636" s="2"/>
      <c r="P636" s="2"/>
      <c r="Q636" s="2"/>
      <c r="R636" s="2"/>
    </row>
    <row r="637">
      <c r="A637" s="2"/>
      <c r="B637" s="2"/>
      <c r="C637" s="2"/>
      <c r="D637" s="2"/>
      <c r="E637" s="2"/>
      <c r="F637" s="2"/>
      <c r="G637" s="2"/>
      <c r="H637" s="2"/>
      <c r="I637" s="2"/>
      <c r="J637" s="2"/>
      <c r="K637" s="2"/>
      <c r="L637" s="2"/>
      <c r="M637" s="2"/>
      <c r="N637" s="2"/>
      <c r="O637" s="2"/>
      <c r="P637" s="2"/>
      <c r="Q637" s="2"/>
      <c r="R637" s="2"/>
    </row>
    <row r="638">
      <c r="A638" s="2"/>
      <c r="B638" s="2"/>
      <c r="C638" s="2"/>
      <c r="D638" s="2"/>
      <c r="E638" s="2"/>
      <c r="F638" s="2"/>
      <c r="G638" s="2"/>
      <c r="H638" s="2"/>
      <c r="I638" s="2"/>
      <c r="J638" s="2"/>
      <c r="K638" s="2"/>
      <c r="L638" s="2"/>
      <c r="M638" s="2"/>
      <c r="N638" s="2"/>
      <c r="O638" s="2"/>
      <c r="P638" s="2"/>
      <c r="Q638" s="2"/>
      <c r="R638" s="2"/>
    </row>
    <row r="639">
      <c r="A639" s="2"/>
      <c r="B639" s="2"/>
      <c r="C639" s="2"/>
      <c r="D639" s="2"/>
      <c r="E639" s="2"/>
      <c r="F639" s="2"/>
      <c r="G639" s="2"/>
      <c r="H639" s="2"/>
      <c r="I639" s="2"/>
      <c r="J639" s="2"/>
      <c r="K639" s="2"/>
      <c r="L639" s="2"/>
      <c r="M639" s="2"/>
      <c r="N639" s="2"/>
      <c r="O639" s="2"/>
      <c r="P639" s="2"/>
      <c r="Q639" s="2"/>
      <c r="R639" s="2"/>
    </row>
    <row r="640">
      <c r="A640" s="2"/>
      <c r="B640" s="2"/>
      <c r="C640" s="2"/>
      <c r="D640" s="2"/>
      <c r="E640" s="2"/>
      <c r="F640" s="2"/>
      <c r="G640" s="2"/>
      <c r="H640" s="2"/>
      <c r="I640" s="2"/>
      <c r="J640" s="2"/>
      <c r="K640" s="2"/>
      <c r="L640" s="2"/>
      <c r="M640" s="2"/>
      <c r="N640" s="2"/>
      <c r="O640" s="2"/>
      <c r="P640" s="2"/>
      <c r="Q640" s="2"/>
      <c r="R640" s="2"/>
    </row>
    <row r="641">
      <c r="A641" s="2"/>
      <c r="B641" s="2"/>
      <c r="C641" s="2"/>
      <c r="D641" s="2"/>
      <c r="E641" s="2"/>
      <c r="F641" s="2"/>
      <c r="G641" s="2"/>
      <c r="H641" s="2"/>
      <c r="I641" s="2"/>
      <c r="J641" s="2"/>
      <c r="K641" s="2"/>
      <c r="L641" s="2"/>
      <c r="M641" s="2"/>
      <c r="N641" s="2"/>
      <c r="O641" s="2"/>
      <c r="P641" s="2"/>
      <c r="Q641" s="2"/>
      <c r="R641" s="2"/>
    </row>
    <row r="642">
      <c r="A642" s="2"/>
      <c r="B642" s="2"/>
      <c r="C642" s="2"/>
      <c r="D642" s="2"/>
      <c r="E642" s="2"/>
      <c r="F642" s="2"/>
      <c r="G642" s="2"/>
      <c r="H642" s="2"/>
      <c r="I642" s="2"/>
      <c r="J642" s="2"/>
      <c r="K642" s="2"/>
      <c r="L642" s="2"/>
      <c r="M642" s="2"/>
      <c r="N642" s="2"/>
      <c r="O642" s="2"/>
      <c r="P642" s="2"/>
      <c r="Q642" s="2"/>
      <c r="R642" s="2"/>
    </row>
    <row r="643">
      <c r="A643" s="2"/>
      <c r="B643" s="2"/>
      <c r="C643" s="2"/>
      <c r="D643" s="2"/>
      <c r="E643" s="2"/>
      <c r="F643" s="2"/>
      <c r="G643" s="2"/>
      <c r="H643" s="2"/>
      <c r="I643" s="2"/>
      <c r="J643" s="2"/>
      <c r="K643" s="2"/>
      <c r="L643" s="2"/>
      <c r="M643" s="2"/>
      <c r="N643" s="2"/>
      <c r="O643" s="2"/>
      <c r="P643" s="2"/>
      <c r="Q643" s="2"/>
      <c r="R643" s="2"/>
    </row>
    <row r="644">
      <c r="A644" s="2"/>
      <c r="B644" s="2"/>
      <c r="C644" s="2"/>
      <c r="D644" s="2"/>
      <c r="E644" s="2"/>
      <c r="F644" s="2"/>
      <c r="G644" s="2"/>
      <c r="H644" s="2"/>
      <c r="I644" s="2"/>
      <c r="J644" s="2"/>
      <c r="K644" s="2"/>
      <c r="L644" s="2"/>
      <c r="M644" s="2"/>
      <c r="N644" s="2"/>
      <c r="O644" s="2"/>
      <c r="P644" s="2"/>
      <c r="Q644" s="2"/>
      <c r="R644" s="2"/>
    </row>
    <row r="645">
      <c r="A645" s="2"/>
      <c r="B645" s="2"/>
      <c r="C645" s="2"/>
      <c r="D645" s="2"/>
      <c r="E645" s="2"/>
      <c r="F645" s="2"/>
      <c r="G645" s="2"/>
      <c r="H645" s="2"/>
      <c r="I645" s="2"/>
      <c r="J645" s="2"/>
      <c r="K645" s="2"/>
      <c r="L645" s="2"/>
      <c r="M645" s="2"/>
      <c r="N645" s="2"/>
      <c r="O645" s="2"/>
      <c r="P645" s="2"/>
      <c r="Q645" s="2"/>
      <c r="R645" s="2"/>
    </row>
    <row r="646">
      <c r="A646" s="2"/>
      <c r="B646" s="2"/>
      <c r="C646" s="2"/>
      <c r="D646" s="2"/>
      <c r="E646" s="2"/>
      <c r="F646" s="2"/>
      <c r="G646" s="2"/>
      <c r="H646" s="2"/>
      <c r="I646" s="2"/>
      <c r="J646" s="2"/>
      <c r="K646" s="2"/>
      <c r="L646" s="2"/>
      <c r="M646" s="2"/>
      <c r="N646" s="2"/>
      <c r="O646" s="2"/>
      <c r="P646" s="2"/>
      <c r="Q646" s="2"/>
      <c r="R646" s="2"/>
    </row>
    <row r="647">
      <c r="A647" s="2"/>
      <c r="B647" s="2"/>
      <c r="C647" s="2"/>
      <c r="D647" s="2"/>
      <c r="E647" s="2"/>
      <c r="F647" s="2"/>
      <c r="G647" s="2"/>
      <c r="H647" s="2"/>
      <c r="I647" s="2"/>
      <c r="J647" s="2"/>
      <c r="K647" s="2"/>
      <c r="L647" s="2"/>
      <c r="M647" s="2"/>
      <c r="N647" s="2"/>
      <c r="O647" s="2"/>
      <c r="P647" s="2"/>
      <c r="Q647" s="2"/>
      <c r="R647" s="2"/>
    </row>
    <row r="648">
      <c r="A648" s="2"/>
      <c r="B648" s="2"/>
      <c r="C648" s="2"/>
      <c r="D648" s="2"/>
      <c r="E648" s="2"/>
      <c r="F648" s="2"/>
      <c r="G648" s="2"/>
      <c r="H648" s="2"/>
      <c r="I648" s="2"/>
      <c r="J648" s="2"/>
      <c r="K648" s="2"/>
      <c r="L648" s="2"/>
      <c r="M648" s="2"/>
      <c r="N648" s="2"/>
      <c r="O648" s="2"/>
      <c r="P648" s="2"/>
      <c r="Q648" s="2"/>
      <c r="R648" s="2"/>
    </row>
    <row r="649">
      <c r="A649" s="2"/>
      <c r="B649" s="2"/>
      <c r="C649" s="2"/>
      <c r="D649" s="2"/>
      <c r="E649" s="2"/>
      <c r="F649" s="2"/>
      <c r="G649" s="2"/>
      <c r="H649" s="2"/>
      <c r="I649" s="2"/>
      <c r="J649" s="2"/>
      <c r="K649" s="2"/>
      <c r="L649" s="2"/>
      <c r="M649" s="2"/>
      <c r="N649" s="2"/>
      <c r="O649" s="2"/>
      <c r="P649" s="2"/>
      <c r="Q649" s="2"/>
      <c r="R649" s="2"/>
    </row>
    <row r="650">
      <c r="A650" s="2"/>
      <c r="B650" s="2"/>
      <c r="C650" s="2"/>
      <c r="D650" s="2"/>
      <c r="E650" s="2"/>
      <c r="F650" s="2"/>
      <c r="G650" s="2"/>
      <c r="H650" s="2"/>
      <c r="I650" s="2"/>
      <c r="J650" s="2"/>
      <c r="K650" s="2"/>
      <c r="L650" s="2"/>
      <c r="M650" s="2"/>
      <c r="N650" s="2"/>
      <c r="O650" s="2"/>
      <c r="P650" s="2"/>
      <c r="Q650" s="2"/>
      <c r="R650" s="2"/>
    </row>
    <row r="651">
      <c r="A651" s="2"/>
      <c r="B651" s="2"/>
      <c r="C651" s="2"/>
      <c r="D651" s="2"/>
      <c r="E651" s="2"/>
      <c r="F651" s="2"/>
      <c r="G651" s="2"/>
      <c r="H651" s="2"/>
      <c r="I651" s="2"/>
      <c r="J651" s="2"/>
      <c r="K651" s="2"/>
      <c r="L651" s="2"/>
      <c r="M651" s="2"/>
      <c r="N651" s="2"/>
      <c r="O651" s="2"/>
      <c r="P651" s="2"/>
      <c r="Q651" s="2"/>
      <c r="R651" s="2"/>
    </row>
    <row r="652">
      <c r="A652" s="2"/>
      <c r="B652" s="2"/>
      <c r="C652" s="2"/>
      <c r="D652" s="2"/>
      <c r="E652" s="2"/>
      <c r="F652" s="2"/>
      <c r="G652" s="2"/>
      <c r="H652" s="2"/>
      <c r="I652" s="2"/>
      <c r="J652" s="2"/>
      <c r="K652" s="2"/>
      <c r="L652" s="2"/>
      <c r="M652" s="2"/>
      <c r="N652" s="2"/>
      <c r="O652" s="2"/>
      <c r="P652" s="2"/>
      <c r="Q652" s="2"/>
      <c r="R652" s="2"/>
    </row>
    <row r="653">
      <c r="A653" s="2"/>
      <c r="B653" s="2"/>
      <c r="C653" s="2"/>
      <c r="D653" s="2"/>
      <c r="E653" s="2"/>
      <c r="F653" s="2"/>
      <c r="G653" s="2"/>
      <c r="H653" s="2"/>
      <c r="I653" s="2"/>
      <c r="J653" s="2"/>
      <c r="K653" s="2"/>
      <c r="L653" s="2"/>
      <c r="M653" s="2"/>
      <c r="N653" s="2"/>
      <c r="O653" s="2"/>
      <c r="P653" s="2"/>
      <c r="Q653" s="2"/>
      <c r="R653" s="2"/>
    </row>
    <row r="654">
      <c r="A654" s="2"/>
      <c r="B654" s="2"/>
      <c r="C654" s="2"/>
      <c r="D654" s="2"/>
      <c r="E654" s="2"/>
      <c r="F654" s="2"/>
      <c r="G654" s="2"/>
      <c r="H654" s="2"/>
      <c r="I654" s="2"/>
      <c r="J654" s="2"/>
      <c r="K654" s="2"/>
      <c r="L654" s="2"/>
      <c r="M654" s="2"/>
      <c r="N654" s="2"/>
      <c r="O654" s="2"/>
      <c r="P654" s="2"/>
      <c r="Q654" s="2"/>
      <c r="R654" s="2"/>
    </row>
    <row r="655">
      <c r="A655" s="2"/>
      <c r="B655" s="2"/>
      <c r="C655" s="2"/>
      <c r="D655" s="2"/>
      <c r="E655" s="2"/>
      <c r="F655" s="2"/>
      <c r="G655" s="2"/>
      <c r="H655" s="2"/>
      <c r="I655" s="2"/>
      <c r="J655" s="2"/>
      <c r="K655" s="2"/>
      <c r="L655" s="2"/>
      <c r="M655" s="2"/>
      <c r="N655" s="2"/>
      <c r="O655" s="2"/>
      <c r="P655" s="2"/>
      <c r="Q655" s="2"/>
      <c r="R655" s="2"/>
    </row>
    <row r="656">
      <c r="A656" s="2"/>
      <c r="B656" s="2"/>
      <c r="C656" s="2"/>
      <c r="D656" s="2"/>
      <c r="E656" s="2"/>
      <c r="F656" s="2"/>
      <c r="G656" s="2"/>
      <c r="H656" s="2"/>
      <c r="I656" s="2"/>
      <c r="J656" s="2"/>
      <c r="K656" s="2"/>
      <c r="L656" s="2"/>
      <c r="M656" s="2"/>
      <c r="N656" s="2"/>
      <c r="O656" s="2"/>
      <c r="P656" s="2"/>
      <c r="Q656" s="2"/>
      <c r="R656" s="2"/>
    </row>
    <row r="657">
      <c r="A657" s="2"/>
      <c r="B657" s="2"/>
      <c r="C657" s="2"/>
      <c r="D657" s="2"/>
      <c r="E657" s="2"/>
      <c r="F657" s="2"/>
      <c r="G657" s="2"/>
      <c r="H657" s="2"/>
      <c r="I657" s="2"/>
      <c r="J657" s="2"/>
      <c r="K657" s="2"/>
      <c r="L657" s="2"/>
      <c r="M657" s="2"/>
      <c r="N657" s="2"/>
      <c r="O657" s="2"/>
      <c r="P657" s="2"/>
      <c r="Q657" s="2"/>
      <c r="R657" s="2"/>
    </row>
    <row r="658">
      <c r="A658" s="2"/>
      <c r="B658" s="2"/>
      <c r="C658" s="2"/>
      <c r="D658" s="2"/>
      <c r="E658" s="2"/>
      <c r="F658" s="2"/>
      <c r="G658" s="2"/>
      <c r="H658" s="2"/>
      <c r="I658" s="2"/>
      <c r="J658" s="2"/>
      <c r="K658" s="2"/>
      <c r="L658" s="2"/>
      <c r="M658" s="2"/>
      <c r="N658" s="2"/>
      <c r="O658" s="2"/>
      <c r="P658" s="2"/>
      <c r="Q658" s="2"/>
      <c r="R658" s="2"/>
    </row>
    <row r="659">
      <c r="A659" s="2"/>
      <c r="B659" s="2"/>
      <c r="C659" s="2"/>
      <c r="D659" s="2"/>
      <c r="E659" s="2"/>
      <c r="F659" s="2"/>
      <c r="G659" s="2"/>
      <c r="H659" s="2"/>
      <c r="I659" s="2"/>
      <c r="J659" s="2"/>
      <c r="K659" s="2"/>
      <c r="L659" s="2"/>
      <c r="M659" s="2"/>
      <c r="N659" s="2"/>
      <c r="O659" s="2"/>
      <c r="P659" s="2"/>
      <c r="Q659" s="2"/>
      <c r="R659" s="2"/>
    </row>
    <row r="660">
      <c r="A660" s="2"/>
      <c r="B660" s="2"/>
      <c r="C660" s="2"/>
      <c r="D660" s="2"/>
      <c r="E660" s="2"/>
      <c r="F660" s="2"/>
      <c r="G660" s="2"/>
      <c r="H660" s="2"/>
      <c r="I660" s="2"/>
      <c r="J660" s="2"/>
      <c r="K660" s="2"/>
      <c r="L660" s="2"/>
      <c r="M660" s="2"/>
      <c r="N660" s="2"/>
      <c r="O660" s="2"/>
      <c r="P660" s="2"/>
      <c r="Q660" s="2"/>
      <c r="R660" s="2"/>
    </row>
    <row r="661">
      <c r="A661" s="2"/>
      <c r="B661" s="2"/>
      <c r="C661" s="2"/>
      <c r="D661" s="2"/>
      <c r="E661" s="2"/>
      <c r="F661" s="2"/>
      <c r="G661" s="2"/>
      <c r="H661" s="2"/>
      <c r="I661" s="2"/>
      <c r="J661" s="2"/>
      <c r="K661" s="2"/>
      <c r="L661" s="2"/>
      <c r="M661" s="2"/>
      <c r="N661" s="2"/>
      <c r="O661" s="2"/>
      <c r="P661" s="2"/>
      <c r="Q661" s="2"/>
      <c r="R661" s="2"/>
    </row>
    <row r="662">
      <c r="A662" s="2"/>
      <c r="B662" s="2"/>
      <c r="C662" s="2"/>
      <c r="D662" s="2"/>
      <c r="E662" s="2"/>
      <c r="F662" s="2"/>
      <c r="G662" s="2"/>
      <c r="H662" s="2"/>
      <c r="I662" s="2"/>
      <c r="J662" s="2"/>
      <c r="K662" s="2"/>
      <c r="L662" s="2"/>
      <c r="M662" s="2"/>
      <c r="N662" s="2"/>
      <c r="O662" s="2"/>
      <c r="P662" s="2"/>
      <c r="Q662" s="2"/>
      <c r="R662" s="2"/>
    </row>
    <row r="663">
      <c r="A663" s="2"/>
      <c r="B663" s="2"/>
      <c r="C663" s="2"/>
      <c r="D663" s="2"/>
      <c r="E663" s="2"/>
      <c r="F663" s="2"/>
      <c r="G663" s="2"/>
      <c r="H663" s="2"/>
      <c r="I663" s="2"/>
      <c r="J663" s="2"/>
      <c r="K663" s="2"/>
      <c r="L663" s="2"/>
      <c r="M663" s="2"/>
      <c r="N663" s="2"/>
      <c r="O663" s="2"/>
      <c r="P663" s="2"/>
      <c r="Q663" s="2"/>
      <c r="R663" s="2"/>
    </row>
    <row r="664">
      <c r="A664" s="2"/>
      <c r="B664" s="2"/>
      <c r="C664" s="2"/>
      <c r="D664" s="2"/>
      <c r="E664" s="2"/>
      <c r="F664" s="2"/>
      <c r="G664" s="2"/>
      <c r="H664" s="2"/>
      <c r="I664" s="2"/>
      <c r="J664" s="2"/>
      <c r="K664" s="2"/>
      <c r="L664" s="2"/>
      <c r="M664" s="2"/>
      <c r="N664" s="2"/>
      <c r="O664" s="2"/>
      <c r="P664" s="2"/>
      <c r="Q664" s="2"/>
      <c r="R664" s="2"/>
    </row>
    <row r="665">
      <c r="A665" s="2"/>
      <c r="B665" s="2"/>
      <c r="C665" s="2"/>
      <c r="D665" s="2"/>
      <c r="E665" s="2"/>
      <c r="F665" s="2"/>
      <c r="G665" s="2"/>
      <c r="H665" s="2"/>
      <c r="I665" s="2"/>
      <c r="J665" s="2"/>
      <c r="K665" s="2"/>
      <c r="L665" s="2"/>
      <c r="M665" s="2"/>
      <c r="N665" s="2"/>
      <c r="O665" s="2"/>
      <c r="P665" s="2"/>
      <c r="Q665" s="2"/>
      <c r="R665" s="2"/>
    </row>
    <row r="666">
      <c r="A666" s="2"/>
      <c r="B666" s="2"/>
      <c r="C666" s="2"/>
      <c r="D666" s="2"/>
      <c r="E666" s="2"/>
      <c r="F666" s="2"/>
      <c r="G666" s="2"/>
      <c r="H666" s="2"/>
      <c r="I666" s="2"/>
      <c r="J666" s="2"/>
      <c r="K666" s="2"/>
      <c r="L666" s="2"/>
      <c r="M666" s="2"/>
      <c r="N666" s="2"/>
      <c r="O666" s="2"/>
      <c r="P666" s="2"/>
      <c r="Q666" s="2"/>
      <c r="R666" s="2"/>
    </row>
    <row r="667">
      <c r="A667" s="2"/>
      <c r="B667" s="2"/>
      <c r="C667" s="2"/>
      <c r="D667" s="2"/>
      <c r="E667" s="2"/>
      <c r="F667" s="2"/>
      <c r="G667" s="2"/>
      <c r="H667" s="2"/>
      <c r="I667" s="2"/>
      <c r="J667" s="2"/>
      <c r="K667" s="2"/>
      <c r="L667" s="2"/>
      <c r="M667" s="2"/>
      <c r="N667" s="2"/>
      <c r="O667" s="2"/>
      <c r="P667" s="2"/>
      <c r="Q667" s="2"/>
      <c r="R667" s="2"/>
    </row>
    <row r="668">
      <c r="A668" s="2"/>
      <c r="B668" s="2"/>
      <c r="C668" s="2"/>
      <c r="D668" s="2"/>
      <c r="E668" s="2"/>
      <c r="F668" s="2"/>
      <c r="G668" s="2"/>
      <c r="H668" s="2"/>
      <c r="I668" s="2"/>
      <c r="J668" s="2"/>
      <c r="K668" s="2"/>
      <c r="L668" s="2"/>
      <c r="M668" s="2"/>
      <c r="N668" s="2"/>
      <c r="O668" s="2"/>
      <c r="P668" s="2"/>
      <c r="Q668" s="2"/>
      <c r="R668" s="2"/>
    </row>
    <row r="669">
      <c r="A669" s="2"/>
      <c r="B669" s="2"/>
      <c r="C669" s="2"/>
      <c r="D669" s="2"/>
      <c r="E669" s="2"/>
      <c r="F669" s="2"/>
      <c r="G669" s="2"/>
      <c r="H669" s="2"/>
      <c r="I669" s="2"/>
      <c r="J669" s="2"/>
      <c r="K669" s="2"/>
      <c r="L669" s="2"/>
      <c r="M669" s="2"/>
      <c r="N669" s="2"/>
      <c r="O669" s="2"/>
      <c r="P669" s="2"/>
      <c r="Q669" s="2"/>
      <c r="R669" s="2"/>
    </row>
    <row r="670">
      <c r="A670" s="2"/>
      <c r="B670" s="2"/>
      <c r="C670" s="2"/>
      <c r="D670" s="2"/>
      <c r="E670" s="2"/>
      <c r="F670" s="2"/>
      <c r="G670" s="2"/>
      <c r="H670" s="2"/>
      <c r="I670" s="2"/>
      <c r="J670" s="2"/>
      <c r="K670" s="2"/>
      <c r="L670" s="2"/>
      <c r="M670" s="2"/>
      <c r="N670" s="2"/>
      <c r="O670" s="2"/>
      <c r="P670" s="2"/>
      <c r="Q670" s="2"/>
      <c r="R670" s="2"/>
    </row>
    <row r="671">
      <c r="A671" s="2"/>
      <c r="B671" s="2"/>
      <c r="C671" s="2"/>
      <c r="D671" s="2"/>
      <c r="E671" s="2"/>
      <c r="F671" s="2"/>
      <c r="G671" s="2"/>
      <c r="H671" s="2"/>
      <c r="I671" s="2"/>
      <c r="J671" s="2"/>
      <c r="K671" s="2"/>
      <c r="L671" s="2"/>
      <c r="M671" s="2"/>
      <c r="N671" s="2"/>
      <c r="O671" s="2"/>
      <c r="P671" s="2"/>
      <c r="Q671" s="2"/>
      <c r="R671" s="2"/>
    </row>
    <row r="672">
      <c r="A672" s="2"/>
      <c r="B672" s="2"/>
      <c r="C672" s="2"/>
      <c r="D672" s="2"/>
      <c r="E672" s="2"/>
      <c r="F672" s="2"/>
      <c r="G672" s="2"/>
      <c r="H672" s="2"/>
      <c r="I672" s="2"/>
      <c r="J672" s="2"/>
      <c r="K672" s="2"/>
      <c r="L672" s="2"/>
      <c r="M672" s="2"/>
      <c r="N672" s="2"/>
      <c r="O672" s="2"/>
      <c r="P672" s="2"/>
      <c r="Q672" s="2"/>
      <c r="R672" s="2"/>
    </row>
    <row r="673">
      <c r="A673" s="2"/>
      <c r="B673" s="2"/>
      <c r="C673" s="2"/>
      <c r="D673" s="2"/>
      <c r="E673" s="2"/>
      <c r="F673" s="2"/>
      <c r="G673" s="2"/>
      <c r="H673" s="2"/>
      <c r="I673" s="2"/>
      <c r="J673" s="2"/>
      <c r="K673" s="2"/>
      <c r="L673" s="2"/>
      <c r="M673" s="2"/>
      <c r="N673" s="2"/>
      <c r="O673" s="2"/>
      <c r="P673" s="2"/>
      <c r="Q673" s="2"/>
      <c r="R673" s="2"/>
    </row>
    <row r="674">
      <c r="A674" s="2"/>
      <c r="B674" s="2"/>
      <c r="C674" s="2"/>
      <c r="D674" s="2"/>
      <c r="E674" s="2"/>
      <c r="F674" s="2"/>
      <c r="G674" s="2"/>
      <c r="H674" s="2"/>
      <c r="I674" s="2"/>
      <c r="J674" s="2"/>
      <c r="K674" s="2"/>
      <c r="L674" s="2"/>
      <c r="M674" s="2"/>
      <c r="N674" s="2"/>
      <c r="O674" s="2"/>
      <c r="P674" s="2"/>
      <c r="Q674" s="2"/>
      <c r="R674" s="2"/>
    </row>
    <row r="675">
      <c r="A675" s="2"/>
      <c r="B675" s="2"/>
      <c r="C675" s="2"/>
      <c r="D675" s="2"/>
      <c r="E675" s="2"/>
      <c r="F675" s="2"/>
      <c r="G675" s="2"/>
      <c r="H675" s="2"/>
      <c r="I675" s="2"/>
      <c r="J675" s="2"/>
      <c r="K675" s="2"/>
      <c r="L675" s="2"/>
      <c r="M675" s="2"/>
      <c r="N675" s="2"/>
      <c r="O675" s="2"/>
      <c r="P675" s="2"/>
      <c r="Q675" s="2"/>
      <c r="R675" s="2"/>
    </row>
    <row r="676">
      <c r="A676" s="2"/>
      <c r="B676" s="2"/>
      <c r="C676" s="2"/>
      <c r="D676" s="2"/>
      <c r="E676" s="2"/>
      <c r="F676" s="2"/>
      <c r="G676" s="2"/>
      <c r="H676" s="2"/>
      <c r="I676" s="2"/>
      <c r="J676" s="2"/>
      <c r="K676" s="2"/>
      <c r="L676" s="2"/>
      <c r="M676" s="2"/>
      <c r="N676" s="2"/>
      <c r="O676" s="2"/>
      <c r="P676" s="2"/>
      <c r="Q676" s="2"/>
      <c r="R676" s="2"/>
    </row>
    <row r="677">
      <c r="A677" s="2"/>
      <c r="B677" s="2"/>
      <c r="C677" s="2"/>
      <c r="D677" s="2"/>
      <c r="E677" s="2"/>
      <c r="F677" s="2"/>
      <c r="G677" s="2"/>
      <c r="H677" s="2"/>
      <c r="I677" s="2"/>
      <c r="J677" s="2"/>
      <c r="K677" s="2"/>
      <c r="L677" s="2"/>
      <c r="M677" s="2"/>
      <c r="N677" s="2"/>
      <c r="O677" s="2"/>
      <c r="P677" s="2"/>
      <c r="Q677" s="2"/>
      <c r="R677" s="2"/>
    </row>
    <row r="678">
      <c r="A678" s="2"/>
      <c r="B678" s="2"/>
      <c r="C678" s="2"/>
      <c r="D678" s="2"/>
      <c r="E678" s="2"/>
      <c r="F678" s="2"/>
      <c r="G678" s="2"/>
      <c r="H678" s="2"/>
      <c r="I678" s="2"/>
      <c r="J678" s="2"/>
      <c r="K678" s="2"/>
      <c r="L678" s="2"/>
      <c r="M678" s="2"/>
      <c r="N678" s="2"/>
      <c r="O678" s="2"/>
      <c r="P678" s="2"/>
      <c r="Q678" s="2"/>
      <c r="R678" s="2"/>
    </row>
    <row r="679">
      <c r="A679" s="2"/>
      <c r="B679" s="2"/>
      <c r="C679" s="2"/>
      <c r="D679" s="2"/>
      <c r="E679" s="2"/>
      <c r="F679" s="2"/>
      <c r="G679" s="2"/>
      <c r="H679" s="2"/>
      <c r="I679" s="2"/>
      <c r="J679" s="2"/>
      <c r="K679" s="2"/>
      <c r="L679" s="2"/>
      <c r="M679" s="2"/>
      <c r="N679" s="2"/>
      <c r="O679" s="2"/>
      <c r="P679" s="2"/>
      <c r="Q679" s="2"/>
      <c r="R679" s="2"/>
    </row>
    <row r="680">
      <c r="A680" s="2"/>
      <c r="B680" s="2"/>
      <c r="C680" s="2"/>
      <c r="D680" s="2"/>
      <c r="E680" s="2"/>
      <c r="F680" s="2"/>
      <c r="G680" s="2"/>
      <c r="H680" s="2"/>
      <c r="I680" s="2"/>
      <c r="J680" s="2"/>
      <c r="K680" s="2"/>
      <c r="L680" s="2"/>
      <c r="M680" s="2"/>
      <c r="N680" s="2"/>
      <c r="O680" s="2"/>
      <c r="P680" s="2"/>
      <c r="Q680" s="2"/>
      <c r="R680" s="2"/>
    </row>
    <row r="681">
      <c r="A681" s="2"/>
      <c r="B681" s="2"/>
      <c r="C681" s="2"/>
      <c r="D681" s="2"/>
      <c r="E681" s="2"/>
      <c r="F681" s="2"/>
      <c r="G681" s="2"/>
      <c r="H681" s="2"/>
      <c r="I681" s="2"/>
      <c r="J681" s="2"/>
      <c r="K681" s="2"/>
      <c r="L681" s="2"/>
      <c r="M681" s="2"/>
      <c r="N681" s="2"/>
      <c r="O681" s="2"/>
      <c r="P681" s="2"/>
      <c r="Q681" s="2"/>
      <c r="R681" s="2"/>
    </row>
    <row r="682">
      <c r="A682" s="2"/>
      <c r="B682" s="2"/>
      <c r="C682" s="2"/>
      <c r="D682" s="2"/>
      <c r="E682" s="2"/>
      <c r="F682" s="2"/>
      <c r="G682" s="2"/>
      <c r="H682" s="2"/>
      <c r="I682" s="2"/>
      <c r="J682" s="2"/>
      <c r="K682" s="2"/>
      <c r="L682" s="2"/>
      <c r="M682" s="2"/>
      <c r="N682" s="2"/>
      <c r="O682" s="2"/>
      <c r="P682" s="2"/>
      <c r="Q682" s="2"/>
      <c r="R682" s="2"/>
    </row>
    <row r="683">
      <c r="A683" s="2"/>
      <c r="B683" s="2"/>
      <c r="C683" s="2"/>
      <c r="D683" s="2"/>
      <c r="E683" s="2"/>
      <c r="F683" s="2"/>
      <c r="G683" s="2"/>
      <c r="H683" s="2"/>
      <c r="I683" s="2"/>
      <c r="J683" s="2"/>
      <c r="K683" s="2"/>
      <c r="L683" s="2"/>
      <c r="M683" s="2"/>
      <c r="N683" s="2"/>
      <c r="O683" s="2"/>
      <c r="P683" s="2"/>
      <c r="Q683" s="2"/>
      <c r="R683" s="2"/>
    </row>
    <row r="684">
      <c r="A684" s="2"/>
      <c r="B684" s="2"/>
      <c r="C684" s="2"/>
      <c r="D684" s="2"/>
      <c r="E684" s="2"/>
      <c r="F684" s="2"/>
      <c r="G684" s="2"/>
      <c r="H684" s="2"/>
      <c r="I684" s="2"/>
      <c r="J684" s="2"/>
      <c r="K684" s="2"/>
      <c r="L684" s="2"/>
      <c r="M684" s="2"/>
      <c r="N684" s="2"/>
      <c r="O684" s="2"/>
      <c r="P684" s="2"/>
      <c r="Q684" s="2"/>
      <c r="R684" s="2"/>
    </row>
    <row r="685">
      <c r="A685" s="2"/>
      <c r="B685" s="2"/>
      <c r="C685" s="2"/>
      <c r="D685" s="2"/>
      <c r="E685" s="2"/>
      <c r="F685" s="2"/>
      <c r="G685" s="2"/>
      <c r="H685" s="2"/>
      <c r="I685" s="2"/>
      <c r="J685" s="2"/>
      <c r="K685" s="2"/>
      <c r="L685" s="2"/>
      <c r="M685" s="2"/>
      <c r="N685" s="2"/>
      <c r="O685" s="2"/>
      <c r="P685" s="2"/>
      <c r="Q685" s="2"/>
      <c r="R685" s="2"/>
    </row>
    <row r="686">
      <c r="A686" s="2"/>
      <c r="B686" s="2"/>
      <c r="C686" s="2"/>
      <c r="D686" s="2"/>
      <c r="E686" s="2"/>
      <c r="F686" s="2"/>
      <c r="G686" s="2"/>
      <c r="H686" s="2"/>
      <c r="I686" s="2"/>
      <c r="J686" s="2"/>
      <c r="K686" s="2"/>
      <c r="L686" s="2"/>
      <c r="M686" s="2"/>
      <c r="N686" s="2"/>
      <c r="O686" s="2"/>
      <c r="P686" s="2"/>
      <c r="Q686" s="2"/>
      <c r="R686" s="2"/>
    </row>
    <row r="687">
      <c r="A687" s="2"/>
      <c r="B687" s="2"/>
      <c r="C687" s="2"/>
      <c r="D687" s="2"/>
      <c r="E687" s="2"/>
      <c r="F687" s="2"/>
      <c r="G687" s="2"/>
      <c r="H687" s="2"/>
      <c r="I687" s="2"/>
      <c r="J687" s="2"/>
      <c r="K687" s="2"/>
      <c r="L687" s="2"/>
      <c r="M687" s="2"/>
      <c r="N687" s="2"/>
      <c r="O687" s="2"/>
      <c r="P687" s="2"/>
      <c r="Q687" s="2"/>
      <c r="R687" s="2"/>
    </row>
    <row r="688">
      <c r="A688" s="2"/>
      <c r="B688" s="2"/>
      <c r="C688" s="2"/>
      <c r="D688" s="2"/>
      <c r="E688" s="2"/>
      <c r="F688" s="2"/>
      <c r="G688" s="2"/>
      <c r="H688" s="2"/>
      <c r="I688" s="2"/>
      <c r="J688" s="2"/>
      <c r="K688" s="2"/>
      <c r="L688" s="2"/>
      <c r="M688" s="2"/>
      <c r="N688" s="2"/>
      <c r="O688" s="2"/>
      <c r="P688" s="2"/>
      <c r="Q688" s="2"/>
      <c r="R688" s="2"/>
    </row>
    <row r="689">
      <c r="A689" s="2"/>
      <c r="B689" s="2"/>
      <c r="C689" s="2"/>
      <c r="D689" s="2"/>
      <c r="E689" s="2"/>
      <c r="F689" s="2"/>
      <c r="G689" s="2"/>
      <c r="H689" s="2"/>
      <c r="I689" s="2"/>
      <c r="J689" s="2"/>
      <c r="K689" s="2"/>
      <c r="L689" s="2"/>
      <c r="M689" s="2"/>
      <c r="N689" s="2"/>
      <c r="O689" s="2"/>
      <c r="P689" s="2"/>
      <c r="Q689" s="2"/>
      <c r="R689" s="2"/>
    </row>
    <row r="690">
      <c r="A690" s="2"/>
      <c r="B690" s="2"/>
      <c r="C690" s="2"/>
      <c r="D690" s="2"/>
      <c r="E690" s="2"/>
      <c r="F690" s="2"/>
      <c r="G690" s="2"/>
      <c r="H690" s="2"/>
      <c r="I690" s="2"/>
      <c r="J690" s="2"/>
      <c r="K690" s="2"/>
      <c r="L690" s="2"/>
      <c r="M690" s="2"/>
      <c r="N690" s="2"/>
      <c r="O690" s="2"/>
      <c r="P690" s="2"/>
      <c r="Q690" s="2"/>
      <c r="R690" s="2"/>
    </row>
    <row r="691">
      <c r="A691" s="2"/>
      <c r="B691" s="2"/>
      <c r="C691" s="2"/>
      <c r="D691" s="2"/>
      <c r="E691" s="2"/>
      <c r="F691" s="2"/>
      <c r="G691" s="2"/>
      <c r="H691" s="2"/>
      <c r="I691" s="2"/>
      <c r="J691" s="2"/>
      <c r="K691" s="2"/>
      <c r="L691" s="2"/>
      <c r="M691" s="2"/>
      <c r="N691" s="2"/>
      <c r="O691" s="2"/>
      <c r="P691" s="2"/>
      <c r="Q691" s="2"/>
      <c r="R691" s="2"/>
    </row>
    <row r="692">
      <c r="A692" s="2"/>
      <c r="B692" s="2"/>
      <c r="C692" s="2"/>
      <c r="D692" s="2"/>
      <c r="E692" s="2"/>
      <c r="F692" s="2"/>
      <c r="G692" s="2"/>
      <c r="H692" s="2"/>
      <c r="I692" s="2"/>
      <c r="J692" s="2"/>
      <c r="K692" s="2"/>
      <c r="L692" s="2"/>
      <c r="M692" s="2"/>
      <c r="N692" s="2"/>
      <c r="O692" s="2"/>
      <c r="P692" s="2"/>
      <c r="Q692" s="2"/>
      <c r="R692" s="2"/>
    </row>
    <row r="693">
      <c r="A693" s="2"/>
      <c r="B693" s="2"/>
      <c r="C693" s="2"/>
      <c r="D693" s="2"/>
      <c r="E693" s="2"/>
      <c r="F693" s="2"/>
      <c r="G693" s="2"/>
      <c r="H693" s="2"/>
      <c r="I693" s="2"/>
      <c r="J693" s="2"/>
      <c r="K693" s="2"/>
      <c r="L693" s="2"/>
      <c r="M693" s="2"/>
      <c r="N693" s="2"/>
      <c r="O693" s="2"/>
      <c r="P693" s="2"/>
      <c r="Q693" s="2"/>
      <c r="R693" s="2"/>
    </row>
    <row r="694">
      <c r="A694" s="2"/>
      <c r="B694" s="2"/>
      <c r="C694" s="2"/>
      <c r="D694" s="2"/>
      <c r="E694" s="2"/>
      <c r="F694" s="2"/>
      <c r="G694" s="2"/>
      <c r="H694" s="2"/>
      <c r="I694" s="2"/>
      <c r="J694" s="2"/>
      <c r="K694" s="2"/>
      <c r="L694" s="2"/>
      <c r="M694" s="2"/>
      <c r="N694" s="2"/>
      <c r="O694" s="2"/>
      <c r="P694" s="2"/>
      <c r="Q694" s="2"/>
      <c r="R694" s="2"/>
    </row>
    <row r="695">
      <c r="A695" s="2"/>
      <c r="B695" s="2"/>
      <c r="C695" s="2"/>
      <c r="D695" s="2"/>
      <c r="E695" s="2"/>
      <c r="F695" s="2"/>
      <c r="G695" s="2"/>
      <c r="H695" s="2"/>
      <c r="I695" s="2"/>
      <c r="J695" s="2"/>
      <c r="K695" s="2"/>
      <c r="L695" s="2"/>
      <c r="M695" s="2"/>
      <c r="N695" s="2"/>
      <c r="O695" s="2"/>
      <c r="P695" s="2"/>
      <c r="Q695" s="2"/>
      <c r="R695" s="2"/>
    </row>
    <row r="696">
      <c r="A696" s="2"/>
      <c r="B696" s="2"/>
      <c r="C696" s="2"/>
      <c r="D696" s="2"/>
      <c r="E696" s="2"/>
      <c r="F696" s="2"/>
      <c r="G696" s="2"/>
      <c r="H696" s="2"/>
      <c r="I696" s="2"/>
      <c r="J696" s="2"/>
      <c r="K696" s="2"/>
      <c r="L696" s="2"/>
      <c r="M696" s="2"/>
      <c r="N696" s="2"/>
      <c r="O696" s="2"/>
      <c r="P696" s="2"/>
      <c r="Q696" s="2"/>
      <c r="R696" s="2"/>
    </row>
    <row r="697">
      <c r="A697" s="2"/>
      <c r="B697" s="2"/>
      <c r="C697" s="2"/>
      <c r="D697" s="2"/>
      <c r="E697" s="2"/>
      <c r="F697" s="2"/>
      <c r="G697" s="2"/>
      <c r="H697" s="2"/>
      <c r="I697" s="2"/>
      <c r="J697" s="2"/>
      <c r="K697" s="2"/>
      <c r="L697" s="2"/>
      <c r="M697" s="2"/>
      <c r="N697" s="2"/>
      <c r="O697" s="2"/>
      <c r="P697" s="2"/>
      <c r="Q697" s="2"/>
      <c r="R697" s="2"/>
    </row>
    <row r="698">
      <c r="A698" s="2"/>
      <c r="B698" s="2"/>
      <c r="C698" s="2"/>
      <c r="D698" s="2"/>
      <c r="E698" s="2"/>
      <c r="F698" s="2"/>
      <c r="G698" s="2"/>
      <c r="H698" s="2"/>
      <c r="I698" s="2"/>
      <c r="J698" s="2"/>
      <c r="K698" s="2"/>
      <c r="L698" s="2"/>
      <c r="M698" s="2"/>
      <c r="N698" s="2"/>
      <c r="O698" s="2"/>
      <c r="P698" s="2"/>
      <c r="Q698" s="2"/>
      <c r="R698" s="2"/>
    </row>
    <row r="699">
      <c r="A699" s="2"/>
      <c r="B699" s="2"/>
      <c r="C699" s="2"/>
      <c r="D699" s="2"/>
      <c r="E699" s="2"/>
      <c r="F699" s="2"/>
      <c r="G699" s="2"/>
      <c r="H699" s="2"/>
      <c r="I699" s="2"/>
      <c r="J699" s="2"/>
      <c r="K699" s="2"/>
      <c r="L699" s="2"/>
      <c r="M699" s="2"/>
      <c r="N699" s="2"/>
      <c r="O699" s="2"/>
      <c r="P699" s="2"/>
      <c r="Q699" s="2"/>
      <c r="R699" s="2"/>
    </row>
    <row r="700">
      <c r="A700" s="2"/>
      <c r="B700" s="2"/>
      <c r="C700" s="2"/>
      <c r="D700" s="2"/>
      <c r="E700" s="2"/>
      <c r="F700" s="2"/>
      <c r="G700" s="2"/>
      <c r="H700" s="2"/>
      <c r="I700" s="2"/>
      <c r="J700" s="2"/>
      <c r="K700" s="2"/>
      <c r="L700" s="2"/>
      <c r="M700" s="2"/>
      <c r="N700" s="2"/>
      <c r="O700" s="2"/>
      <c r="P700" s="2"/>
      <c r="Q700" s="2"/>
      <c r="R700" s="2"/>
    </row>
    <row r="701">
      <c r="A701" s="2"/>
      <c r="B701" s="2"/>
      <c r="C701" s="2"/>
      <c r="D701" s="2"/>
      <c r="E701" s="2"/>
      <c r="F701" s="2"/>
      <c r="G701" s="2"/>
      <c r="H701" s="2"/>
      <c r="I701" s="2"/>
      <c r="J701" s="2"/>
      <c r="K701" s="2"/>
      <c r="L701" s="2"/>
      <c r="M701" s="2"/>
      <c r="N701" s="2"/>
      <c r="O701" s="2"/>
      <c r="P701" s="2"/>
      <c r="Q701" s="2"/>
      <c r="R701" s="2"/>
    </row>
    <row r="702">
      <c r="A702" s="2"/>
      <c r="B702" s="2"/>
      <c r="C702" s="2"/>
      <c r="D702" s="2"/>
      <c r="E702" s="2"/>
      <c r="F702" s="2"/>
      <c r="G702" s="2"/>
      <c r="H702" s="2"/>
      <c r="I702" s="2"/>
      <c r="J702" s="2"/>
      <c r="K702" s="2"/>
      <c r="L702" s="2"/>
      <c r="M702" s="2"/>
      <c r="N702" s="2"/>
      <c r="O702" s="2"/>
      <c r="P702" s="2"/>
      <c r="Q702" s="2"/>
      <c r="R702" s="2"/>
    </row>
    <row r="703">
      <c r="A703" s="2"/>
      <c r="B703" s="2"/>
      <c r="C703" s="2"/>
      <c r="D703" s="2"/>
      <c r="E703" s="2"/>
      <c r="F703" s="2"/>
      <c r="G703" s="2"/>
      <c r="H703" s="2"/>
      <c r="I703" s="2"/>
      <c r="J703" s="2"/>
      <c r="K703" s="2"/>
      <c r="L703" s="2"/>
      <c r="M703" s="2"/>
      <c r="N703" s="2"/>
      <c r="O703" s="2"/>
      <c r="P703" s="2"/>
      <c r="Q703" s="2"/>
      <c r="R703" s="2"/>
    </row>
    <row r="704">
      <c r="A704" s="2"/>
      <c r="B704" s="2"/>
      <c r="C704" s="2"/>
      <c r="D704" s="2"/>
      <c r="E704" s="2"/>
      <c r="F704" s="2"/>
      <c r="G704" s="2"/>
      <c r="H704" s="2"/>
      <c r="I704" s="2"/>
      <c r="J704" s="2"/>
      <c r="K704" s="2"/>
      <c r="L704" s="2"/>
      <c r="M704" s="2"/>
      <c r="N704" s="2"/>
      <c r="O704" s="2"/>
      <c r="P704" s="2"/>
      <c r="Q704" s="2"/>
      <c r="R704" s="2"/>
    </row>
    <row r="705">
      <c r="A705" s="2"/>
      <c r="B705" s="2"/>
      <c r="C705" s="2"/>
      <c r="D705" s="2"/>
      <c r="E705" s="2"/>
      <c r="F705" s="2"/>
      <c r="G705" s="2"/>
      <c r="H705" s="2"/>
      <c r="I705" s="2"/>
      <c r="J705" s="2"/>
      <c r="K705" s="2"/>
      <c r="L705" s="2"/>
      <c r="M705" s="2"/>
      <c r="N705" s="2"/>
      <c r="O705" s="2"/>
      <c r="P705" s="2"/>
      <c r="Q705" s="2"/>
      <c r="R705" s="2"/>
    </row>
    <row r="706">
      <c r="A706" s="2"/>
      <c r="B706" s="2"/>
      <c r="C706" s="2"/>
      <c r="D706" s="2"/>
      <c r="E706" s="2"/>
      <c r="F706" s="2"/>
      <c r="G706" s="2"/>
      <c r="H706" s="2"/>
      <c r="I706" s="2"/>
      <c r="J706" s="2"/>
      <c r="K706" s="2"/>
      <c r="L706" s="2"/>
      <c r="M706" s="2"/>
      <c r="N706" s="2"/>
      <c r="O706" s="2"/>
      <c r="P706" s="2"/>
      <c r="Q706" s="2"/>
      <c r="R706" s="2"/>
    </row>
    <row r="707">
      <c r="A707" s="2"/>
      <c r="B707" s="2"/>
      <c r="C707" s="2"/>
      <c r="D707" s="2"/>
      <c r="E707" s="2"/>
      <c r="F707" s="2"/>
      <c r="G707" s="2"/>
      <c r="H707" s="2"/>
      <c r="I707" s="2"/>
      <c r="J707" s="2"/>
      <c r="K707" s="2"/>
      <c r="L707" s="2"/>
      <c r="M707" s="2"/>
      <c r="N707" s="2"/>
      <c r="O707" s="2"/>
      <c r="P707" s="2"/>
      <c r="Q707" s="2"/>
      <c r="R707" s="2"/>
    </row>
    <row r="708">
      <c r="A708" s="2"/>
      <c r="B708" s="2"/>
      <c r="C708" s="2"/>
      <c r="D708" s="2"/>
      <c r="E708" s="2"/>
      <c r="F708" s="2"/>
      <c r="G708" s="2"/>
      <c r="H708" s="2"/>
      <c r="I708" s="2"/>
      <c r="J708" s="2"/>
      <c r="K708" s="2"/>
      <c r="L708" s="2"/>
      <c r="M708" s="2"/>
      <c r="N708" s="2"/>
      <c r="O708" s="2"/>
      <c r="P708" s="2"/>
      <c r="Q708" s="2"/>
      <c r="R708" s="2"/>
    </row>
    <row r="709">
      <c r="A709" s="2"/>
      <c r="B709" s="2"/>
      <c r="C709" s="2"/>
      <c r="D709" s="2"/>
      <c r="E709" s="2"/>
      <c r="F709" s="2"/>
      <c r="G709" s="2"/>
      <c r="H709" s="2"/>
      <c r="I709" s="2"/>
      <c r="J709" s="2"/>
      <c r="K709" s="2"/>
      <c r="L709" s="2"/>
      <c r="M709" s="2"/>
      <c r="N709" s="2"/>
      <c r="O709" s="2"/>
      <c r="P709" s="2"/>
      <c r="Q709" s="2"/>
      <c r="R709" s="2"/>
    </row>
    <row r="710">
      <c r="A710" s="2"/>
      <c r="B710" s="2"/>
      <c r="C710" s="2"/>
      <c r="D710" s="2"/>
      <c r="E710" s="2"/>
      <c r="F710" s="2"/>
      <c r="G710" s="2"/>
      <c r="H710" s="2"/>
      <c r="I710" s="2"/>
      <c r="J710" s="2"/>
      <c r="K710" s="2"/>
      <c r="L710" s="2"/>
      <c r="M710" s="2"/>
      <c r="N710" s="2"/>
      <c r="O710" s="2"/>
      <c r="P710" s="2"/>
      <c r="Q710" s="2"/>
      <c r="R710" s="2"/>
    </row>
    <row r="711">
      <c r="A711" s="2"/>
      <c r="B711" s="2"/>
      <c r="C711" s="2"/>
      <c r="D711" s="2"/>
      <c r="E711" s="2"/>
      <c r="F711" s="2"/>
      <c r="G711" s="2"/>
      <c r="H711" s="2"/>
      <c r="I711" s="2"/>
      <c r="J711" s="2"/>
      <c r="K711" s="2"/>
      <c r="L711" s="2"/>
      <c r="M711" s="2"/>
      <c r="N711" s="2"/>
      <c r="O711" s="2"/>
      <c r="P711" s="2"/>
      <c r="Q711" s="2"/>
      <c r="R711" s="2"/>
    </row>
    <row r="712">
      <c r="A712" s="2"/>
      <c r="B712" s="2"/>
      <c r="C712" s="2"/>
      <c r="D712" s="2"/>
      <c r="E712" s="2"/>
      <c r="F712" s="2"/>
      <c r="G712" s="2"/>
      <c r="H712" s="2"/>
      <c r="I712" s="2"/>
      <c r="J712" s="2"/>
      <c r="K712" s="2"/>
      <c r="L712" s="2"/>
      <c r="M712" s="2"/>
      <c r="N712" s="2"/>
      <c r="O712" s="2"/>
      <c r="P712" s="2"/>
      <c r="Q712" s="2"/>
      <c r="R712" s="2"/>
    </row>
    <row r="713">
      <c r="A713" s="2"/>
      <c r="B713" s="2"/>
      <c r="C713" s="2"/>
      <c r="D713" s="2"/>
      <c r="E713" s="2"/>
      <c r="F713" s="2"/>
      <c r="G713" s="2"/>
      <c r="H713" s="2"/>
      <c r="I713" s="2"/>
      <c r="J713" s="2"/>
      <c r="K713" s="2"/>
      <c r="L713" s="2"/>
      <c r="M713" s="2"/>
      <c r="N713" s="2"/>
      <c r="O713" s="2"/>
      <c r="P713" s="2"/>
      <c r="Q713" s="2"/>
      <c r="R713" s="2"/>
    </row>
    <row r="714">
      <c r="A714" s="2"/>
      <c r="B714" s="2"/>
      <c r="C714" s="2"/>
      <c r="D714" s="2"/>
      <c r="E714" s="2"/>
      <c r="F714" s="2"/>
      <c r="G714" s="2"/>
      <c r="H714" s="2"/>
      <c r="I714" s="2"/>
      <c r="J714" s="2"/>
      <c r="K714" s="2"/>
      <c r="L714" s="2"/>
      <c r="M714" s="2"/>
      <c r="N714" s="2"/>
      <c r="O714" s="2"/>
      <c r="P714" s="2"/>
      <c r="Q714" s="2"/>
      <c r="R714" s="2"/>
    </row>
    <row r="715">
      <c r="A715" s="2"/>
      <c r="B715" s="2"/>
      <c r="C715" s="2"/>
      <c r="D715" s="2"/>
      <c r="E715" s="2"/>
      <c r="F715" s="2"/>
      <c r="G715" s="2"/>
      <c r="H715" s="2"/>
      <c r="I715" s="2"/>
      <c r="J715" s="2"/>
      <c r="K715" s="2"/>
      <c r="L715" s="2"/>
      <c r="M715" s="2"/>
      <c r="N715" s="2"/>
      <c r="O715" s="2"/>
      <c r="P715" s="2"/>
      <c r="Q715" s="2"/>
      <c r="R715" s="2"/>
    </row>
    <row r="716">
      <c r="A716" s="2"/>
      <c r="B716" s="2"/>
      <c r="C716" s="2"/>
      <c r="D716" s="2"/>
      <c r="E716" s="2"/>
      <c r="F716" s="2"/>
      <c r="G716" s="2"/>
      <c r="H716" s="2"/>
      <c r="I716" s="2"/>
      <c r="J716" s="2"/>
      <c r="K716" s="2"/>
      <c r="L716" s="2"/>
      <c r="M716" s="2"/>
      <c r="N716" s="2"/>
      <c r="O716" s="2"/>
      <c r="P716" s="2"/>
      <c r="Q716" s="2"/>
      <c r="R716" s="2"/>
    </row>
    <row r="717">
      <c r="A717" s="2"/>
      <c r="B717" s="2"/>
      <c r="C717" s="2"/>
      <c r="D717" s="2"/>
      <c r="E717" s="2"/>
      <c r="F717" s="2"/>
      <c r="G717" s="2"/>
      <c r="H717" s="2"/>
      <c r="I717" s="2"/>
      <c r="J717" s="2"/>
      <c r="K717" s="2"/>
      <c r="L717" s="2"/>
      <c r="M717" s="2"/>
      <c r="N717" s="2"/>
      <c r="O717" s="2"/>
      <c r="P717" s="2"/>
      <c r="Q717" s="2"/>
      <c r="R717" s="2"/>
    </row>
    <row r="718">
      <c r="A718" s="2"/>
      <c r="B718" s="2"/>
      <c r="C718" s="2"/>
      <c r="D718" s="2"/>
      <c r="E718" s="2"/>
      <c r="F718" s="2"/>
      <c r="G718" s="2"/>
      <c r="H718" s="2"/>
      <c r="I718" s="2"/>
      <c r="J718" s="2"/>
      <c r="K718" s="2"/>
      <c r="L718" s="2"/>
      <c r="M718" s="2"/>
      <c r="N718" s="2"/>
      <c r="O718" s="2"/>
      <c r="P718" s="2"/>
      <c r="Q718" s="2"/>
      <c r="R718" s="2"/>
    </row>
    <row r="719">
      <c r="A719" s="2"/>
      <c r="B719" s="2"/>
      <c r="C719" s="2"/>
      <c r="D719" s="2"/>
      <c r="E719" s="2"/>
      <c r="F719" s="2"/>
      <c r="G719" s="2"/>
      <c r="H719" s="2"/>
      <c r="I719" s="2"/>
      <c r="J719" s="2"/>
      <c r="K719" s="2"/>
      <c r="L719" s="2"/>
      <c r="M719" s="2"/>
      <c r="N719" s="2"/>
      <c r="O719" s="2"/>
      <c r="P719" s="2"/>
      <c r="Q719" s="2"/>
      <c r="R719" s="2"/>
    </row>
    <row r="720">
      <c r="A720" s="2"/>
      <c r="B720" s="2"/>
      <c r="C720" s="2"/>
      <c r="D720" s="2"/>
      <c r="E720" s="2"/>
      <c r="F720" s="2"/>
      <c r="G720" s="2"/>
      <c r="H720" s="2"/>
      <c r="I720" s="2"/>
      <c r="J720" s="2"/>
      <c r="K720" s="2"/>
      <c r="L720" s="2"/>
      <c r="M720" s="2"/>
      <c r="N720" s="2"/>
      <c r="O720" s="2"/>
      <c r="P720" s="2"/>
      <c r="Q720" s="2"/>
      <c r="R720" s="2"/>
    </row>
    <row r="721">
      <c r="A721" s="2"/>
      <c r="B721" s="2"/>
      <c r="C721" s="2"/>
      <c r="D721" s="2"/>
      <c r="E721" s="2"/>
      <c r="F721" s="2"/>
      <c r="G721" s="2"/>
      <c r="H721" s="2"/>
      <c r="I721" s="2"/>
      <c r="J721" s="2"/>
      <c r="K721" s="2"/>
      <c r="L721" s="2"/>
      <c r="M721" s="2"/>
      <c r="N721" s="2"/>
      <c r="O721" s="2"/>
      <c r="P721" s="2"/>
      <c r="Q721" s="2"/>
      <c r="R721" s="2"/>
    </row>
    <row r="722">
      <c r="A722" s="2"/>
      <c r="B722" s="2"/>
      <c r="C722" s="2"/>
      <c r="D722" s="2"/>
      <c r="E722" s="2"/>
      <c r="F722" s="2"/>
      <c r="G722" s="2"/>
      <c r="H722" s="2"/>
      <c r="I722" s="2"/>
      <c r="J722" s="2"/>
      <c r="K722" s="2"/>
      <c r="L722" s="2"/>
      <c r="M722" s="2"/>
      <c r="N722" s="2"/>
      <c r="O722" s="2"/>
      <c r="P722" s="2"/>
      <c r="Q722" s="2"/>
      <c r="R722" s="2"/>
    </row>
    <row r="723">
      <c r="A723" s="2"/>
      <c r="B723" s="2"/>
      <c r="C723" s="2"/>
      <c r="D723" s="2"/>
      <c r="E723" s="2"/>
      <c r="F723" s="2"/>
      <c r="G723" s="2"/>
      <c r="H723" s="2"/>
      <c r="I723" s="2"/>
      <c r="J723" s="2"/>
      <c r="K723" s="2"/>
      <c r="L723" s="2"/>
      <c r="M723" s="2"/>
      <c r="N723" s="2"/>
      <c r="O723" s="2"/>
      <c r="P723" s="2"/>
      <c r="Q723" s="2"/>
      <c r="R723" s="2"/>
    </row>
    <row r="724">
      <c r="A724" s="2"/>
      <c r="B724" s="2"/>
      <c r="C724" s="2"/>
      <c r="D724" s="2"/>
      <c r="E724" s="2"/>
      <c r="F724" s="2"/>
      <c r="G724" s="2"/>
      <c r="H724" s="2"/>
      <c r="I724" s="2"/>
      <c r="J724" s="2"/>
      <c r="K724" s="2"/>
      <c r="L724" s="2"/>
      <c r="M724" s="2"/>
      <c r="N724" s="2"/>
      <c r="O724" s="2"/>
      <c r="P724" s="2"/>
      <c r="Q724" s="2"/>
      <c r="R724" s="2"/>
    </row>
    <row r="725">
      <c r="A725" s="2"/>
      <c r="B725" s="2"/>
      <c r="C725" s="2"/>
      <c r="D725" s="2"/>
      <c r="E725" s="2"/>
      <c r="F725" s="2"/>
      <c r="G725" s="2"/>
      <c r="H725" s="2"/>
      <c r="I725" s="2"/>
      <c r="J725" s="2"/>
      <c r="K725" s="2"/>
      <c r="L725" s="2"/>
      <c r="M725" s="2"/>
      <c r="N725" s="2"/>
      <c r="O725" s="2"/>
      <c r="P725" s="2"/>
      <c r="Q725" s="2"/>
      <c r="R725" s="2"/>
    </row>
    <row r="726">
      <c r="A726" s="2"/>
      <c r="B726" s="2"/>
      <c r="C726" s="2"/>
      <c r="D726" s="2"/>
      <c r="E726" s="2"/>
      <c r="F726" s="2"/>
      <c r="G726" s="2"/>
      <c r="H726" s="2"/>
      <c r="I726" s="2"/>
      <c r="J726" s="2"/>
      <c r="K726" s="2"/>
      <c r="L726" s="2"/>
      <c r="M726" s="2"/>
      <c r="N726" s="2"/>
      <c r="O726" s="2"/>
      <c r="P726" s="2"/>
      <c r="Q726" s="2"/>
      <c r="R726" s="2"/>
    </row>
    <row r="727">
      <c r="A727" s="2"/>
      <c r="B727" s="2"/>
      <c r="C727" s="2"/>
      <c r="D727" s="2"/>
      <c r="E727" s="2"/>
      <c r="F727" s="2"/>
      <c r="G727" s="2"/>
      <c r="H727" s="2"/>
      <c r="I727" s="2"/>
      <c r="J727" s="2"/>
      <c r="K727" s="2"/>
      <c r="L727" s="2"/>
      <c r="M727" s="2"/>
      <c r="N727" s="2"/>
      <c r="O727" s="2"/>
      <c r="P727" s="2"/>
      <c r="Q727" s="2"/>
      <c r="R727" s="2"/>
    </row>
    <row r="728">
      <c r="A728" s="2"/>
      <c r="B728" s="2"/>
      <c r="C728" s="2"/>
      <c r="D728" s="2"/>
      <c r="E728" s="2"/>
      <c r="F728" s="2"/>
      <c r="G728" s="2"/>
      <c r="H728" s="2"/>
      <c r="I728" s="2"/>
      <c r="J728" s="2"/>
      <c r="K728" s="2"/>
      <c r="L728" s="2"/>
      <c r="M728" s="2"/>
      <c r="N728" s="2"/>
      <c r="O728" s="2"/>
      <c r="P728" s="2"/>
      <c r="Q728" s="2"/>
      <c r="R728" s="2"/>
    </row>
    <row r="729">
      <c r="A729" s="2"/>
      <c r="B729" s="2"/>
      <c r="C729" s="2"/>
      <c r="D729" s="2"/>
      <c r="E729" s="2"/>
      <c r="F729" s="2"/>
      <c r="G729" s="2"/>
      <c r="H729" s="2"/>
      <c r="I729" s="2"/>
      <c r="J729" s="2"/>
      <c r="K729" s="2"/>
      <c r="L729" s="2"/>
      <c r="M729" s="2"/>
      <c r="N729" s="2"/>
      <c r="O729" s="2"/>
      <c r="P729" s="2"/>
      <c r="Q729" s="2"/>
      <c r="R729" s="2"/>
    </row>
    <row r="730">
      <c r="A730" s="2"/>
      <c r="B730" s="2"/>
      <c r="C730" s="2"/>
      <c r="D730" s="2"/>
      <c r="E730" s="2"/>
      <c r="F730" s="2"/>
      <c r="G730" s="2"/>
      <c r="H730" s="2"/>
      <c r="I730" s="2"/>
      <c r="J730" s="2"/>
      <c r="K730" s="2"/>
      <c r="L730" s="2"/>
      <c r="M730" s="2"/>
      <c r="N730" s="2"/>
      <c r="O730" s="2"/>
      <c r="P730" s="2"/>
      <c r="Q730" s="2"/>
      <c r="R730" s="2"/>
    </row>
    <row r="731">
      <c r="A731" s="2"/>
      <c r="B731" s="2"/>
      <c r="C731" s="2"/>
      <c r="D731" s="2"/>
      <c r="E731" s="2"/>
      <c r="F731" s="2"/>
      <c r="G731" s="2"/>
      <c r="H731" s="2"/>
      <c r="I731" s="2"/>
      <c r="J731" s="2"/>
      <c r="K731" s="2"/>
      <c r="L731" s="2"/>
      <c r="M731" s="2"/>
      <c r="N731" s="2"/>
      <c r="O731" s="2"/>
      <c r="P731" s="2"/>
      <c r="Q731" s="2"/>
      <c r="R731" s="2"/>
    </row>
    <row r="732">
      <c r="A732" s="2"/>
      <c r="B732" s="2"/>
      <c r="C732" s="2"/>
      <c r="D732" s="2"/>
      <c r="E732" s="2"/>
      <c r="F732" s="2"/>
      <c r="G732" s="2"/>
      <c r="H732" s="2"/>
      <c r="I732" s="2"/>
      <c r="J732" s="2"/>
      <c r="K732" s="2"/>
      <c r="L732" s="2"/>
      <c r="M732" s="2"/>
      <c r="N732" s="2"/>
      <c r="O732" s="2"/>
      <c r="P732" s="2"/>
      <c r="Q732" s="2"/>
      <c r="R732" s="2"/>
    </row>
    <row r="733">
      <c r="A733" s="2"/>
      <c r="B733" s="2"/>
      <c r="C733" s="2"/>
      <c r="D733" s="2"/>
      <c r="E733" s="2"/>
      <c r="F733" s="2"/>
      <c r="G733" s="2"/>
      <c r="H733" s="2"/>
      <c r="I733" s="2"/>
      <c r="J733" s="2"/>
      <c r="K733" s="2"/>
      <c r="L733" s="2"/>
      <c r="M733" s="2"/>
      <c r="N733" s="2"/>
      <c r="O733" s="2"/>
      <c r="P733" s="2"/>
      <c r="Q733" s="2"/>
      <c r="R733" s="2"/>
    </row>
    <row r="734">
      <c r="A734" s="2"/>
      <c r="B734" s="2"/>
      <c r="C734" s="2"/>
      <c r="D734" s="2"/>
      <c r="E734" s="2"/>
      <c r="F734" s="2"/>
      <c r="G734" s="2"/>
      <c r="H734" s="2"/>
      <c r="I734" s="2"/>
      <c r="J734" s="2"/>
      <c r="K734" s="2"/>
      <c r="L734" s="2"/>
      <c r="M734" s="2"/>
      <c r="N734" s="2"/>
      <c r="O734" s="2"/>
      <c r="P734" s="2"/>
      <c r="Q734" s="2"/>
      <c r="R734" s="2"/>
    </row>
    <row r="735">
      <c r="A735" s="2"/>
      <c r="B735" s="2"/>
      <c r="C735" s="2"/>
      <c r="D735" s="2"/>
      <c r="E735" s="2"/>
      <c r="F735" s="2"/>
      <c r="G735" s="2"/>
      <c r="H735" s="2"/>
      <c r="I735" s="2"/>
      <c r="J735" s="2"/>
      <c r="K735" s="2"/>
      <c r="L735" s="2"/>
      <c r="M735" s="2"/>
      <c r="N735" s="2"/>
      <c r="O735" s="2"/>
      <c r="P735" s="2"/>
      <c r="Q735" s="2"/>
      <c r="R735" s="2"/>
    </row>
    <row r="736">
      <c r="A736" s="2"/>
      <c r="B736" s="2"/>
      <c r="C736" s="2"/>
      <c r="D736" s="2"/>
      <c r="E736" s="2"/>
      <c r="F736" s="2"/>
      <c r="G736" s="2"/>
      <c r="H736" s="2"/>
      <c r="I736" s="2"/>
      <c r="J736" s="2"/>
      <c r="K736" s="2"/>
      <c r="L736" s="2"/>
      <c r="M736" s="2"/>
      <c r="N736" s="2"/>
      <c r="O736" s="2"/>
      <c r="P736" s="2"/>
      <c r="Q736" s="2"/>
      <c r="R736" s="2"/>
    </row>
    <row r="737">
      <c r="A737" s="2"/>
      <c r="B737" s="2"/>
      <c r="C737" s="2"/>
      <c r="D737" s="2"/>
      <c r="E737" s="2"/>
      <c r="F737" s="2"/>
      <c r="G737" s="2"/>
      <c r="H737" s="2"/>
      <c r="I737" s="2"/>
      <c r="J737" s="2"/>
      <c r="K737" s="2"/>
      <c r="L737" s="2"/>
      <c r="M737" s="2"/>
      <c r="N737" s="2"/>
      <c r="O737" s="2"/>
      <c r="P737" s="2"/>
      <c r="Q737" s="2"/>
      <c r="R737" s="2"/>
    </row>
    <row r="738">
      <c r="A738" s="2"/>
      <c r="B738" s="2"/>
      <c r="C738" s="2"/>
      <c r="D738" s="2"/>
      <c r="E738" s="2"/>
      <c r="F738" s="2"/>
      <c r="G738" s="2"/>
      <c r="H738" s="2"/>
      <c r="I738" s="2"/>
      <c r="J738" s="2"/>
      <c r="K738" s="2"/>
      <c r="L738" s="2"/>
      <c r="M738" s="2"/>
      <c r="N738" s="2"/>
      <c r="O738" s="2"/>
      <c r="P738" s="2"/>
      <c r="Q738" s="2"/>
      <c r="R738" s="2"/>
    </row>
    <row r="739">
      <c r="A739" s="2"/>
      <c r="B739" s="2"/>
      <c r="C739" s="2"/>
      <c r="D739" s="2"/>
      <c r="E739" s="2"/>
      <c r="F739" s="2"/>
      <c r="G739" s="2"/>
      <c r="H739" s="2"/>
      <c r="I739" s="2"/>
      <c r="J739" s="2"/>
      <c r="K739" s="2"/>
      <c r="L739" s="2"/>
      <c r="M739" s="2"/>
      <c r="N739" s="2"/>
      <c r="O739" s="2"/>
      <c r="P739" s="2"/>
      <c r="Q739" s="2"/>
      <c r="R739" s="2"/>
    </row>
    <row r="740">
      <c r="A740" s="2"/>
      <c r="B740" s="2"/>
      <c r="C740" s="2"/>
      <c r="D740" s="2"/>
      <c r="E740" s="2"/>
      <c r="F740" s="2"/>
      <c r="G740" s="2"/>
      <c r="H740" s="2"/>
      <c r="I740" s="2"/>
      <c r="J740" s="2"/>
      <c r="K740" s="2"/>
      <c r="L740" s="2"/>
      <c r="M740" s="2"/>
      <c r="N740" s="2"/>
      <c r="O740" s="2"/>
      <c r="P740" s="2"/>
      <c r="Q740" s="2"/>
      <c r="R740" s="2"/>
    </row>
    <row r="741">
      <c r="A741" s="2"/>
      <c r="B741" s="2"/>
      <c r="C741" s="2"/>
      <c r="D741" s="2"/>
      <c r="E741" s="2"/>
      <c r="F741" s="2"/>
      <c r="G741" s="2"/>
      <c r="H741" s="2"/>
      <c r="I741" s="2"/>
      <c r="J741" s="2"/>
      <c r="K741" s="2"/>
      <c r="L741" s="2"/>
      <c r="M741" s="2"/>
      <c r="N741" s="2"/>
      <c r="O741" s="2"/>
      <c r="P741" s="2"/>
      <c r="Q741" s="2"/>
      <c r="R741" s="2"/>
    </row>
    <row r="742">
      <c r="A742" s="2"/>
      <c r="B742" s="2"/>
      <c r="C742" s="2"/>
      <c r="D742" s="2"/>
      <c r="E742" s="2"/>
      <c r="F742" s="2"/>
      <c r="G742" s="2"/>
      <c r="H742" s="2"/>
      <c r="I742" s="2"/>
      <c r="J742" s="2"/>
      <c r="K742" s="2"/>
      <c r="L742" s="2"/>
      <c r="M742" s="2"/>
      <c r="N742" s="2"/>
      <c r="O742" s="2"/>
      <c r="P742" s="2"/>
      <c r="Q742" s="2"/>
      <c r="R742" s="2"/>
    </row>
    <row r="743">
      <c r="A743" s="2"/>
      <c r="B743" s="2"/>
      <c r="C743" s="2"/>
      <c r="D743" s="2"/>
      <c r="E743" s="2"/>
      <c r="F743" s="2"/>
      <c r="G743" s="2"/>
      <c r="H743" s="2"/>
      <c r="I743" s="2"/>
      <c r="J743" s="2"/>
      <c r="K743" s="2"/>
      <c r="L743" s="2"/>
      <c r="M743" s="2"/>
      <c r="N743" s="2"/>
      <c r="O743" s="2"/>
      <c r="P743" s="2"/>
      <c r="Q743" s="2"/>
      <c r="R743" s="2"/>
    </row>
    <row r="744">
      <c r="A744" s="2"/>
      <c r="B744" s="2"/>
      <c r="C744" s="2"/>
      <c r="D744" s="2"/>
      <c r="E744" s="2"/>
      <c r="F744" s="2"/>
      <c r="G744" s="2"/>
      <c r="H744" s="2"/>
      <c r="I744" s="2"/>
      <c r="J744" s="2"/>
      <c r="K744" s="2"/>
      <c r="L744" s="2"/>
      <c r="M744" s="2"/>
      <c r="N744" s="2"/>
      <c r="O744" s="2"/>
      <c r="P744" s="2"/>
      <c r="Q744" s="2"/>
      <c r="R744" s="2"/>
    </row>
    <row r="745">
      <c r="A745" s="2"/>
      <c r="B745" s="2"/>
      <c r="C745" s="2"/>
      <c r="D745" s="2"/>
      <c r="E745" s="2"/>
      <c r="F745" s="2"/>
      <c r="G745" s="2"/>
      <c r="H745" s="2"/>
      <c r="I745" s="2"/>
      <c r="J745" s="2"/>
      <c r="K745" s="2"/>
      <c r="L745" s="2"/>
      <c r="M745" s="2"/>
      <c r="N745" s="2"/>
      <c r="O745" s="2"/>
      <c r="P745" s="2"/>
      <c r="Q745" s="2"/>
      <c r="R745" s="2"/>
    </row>
    <row r="746">
      <c r="A746" s="2"/>
      <c r="B746" s="2"/>
      <c r="C746" s="2"/>
      <c r="D746" s="2"/>
      <c r="E746" s="2"/>
      <c r="F746" s="2"/>
      <c r="G746" s="2"/>
      <c r="H746" s="2"/>
      <c r="I746" s="2"/>
      <c r="J746" s="2"/>
      <c r="K746" s="2"/>
      <c r="L746" s="2"/>
      <c r="M746" s="2"/>
      <c r="N746" s="2"/>
      <c r="O746" s="2"/>
      <c r="P746" s="2"/>
      <c r="Q746" s="2"/>
      <c r="R746" s="2"/>
    </row>
    <row r="747">
      <c r="A747" s="2"/>
      <c r="B747" s="2"/>
      <c r="C747" s="2"/>
      <c r="D747" s="2"/>
      <c r="E747" s="2"/>
      <c r="F747" s="2"/>
      <c r="G747" s="2"/>
      <c r="H747" s="2"/>
      <c r="I747" s="2"/>
      <c r="J747" s="2"/>
      <c r="K747" s="2"/>
      <c r="L747" s="2"/>
      <c r="M747" s="2"/>
      <c r="N747" s="2"/>
      <c r="O747" s="2"/>
      <c r="P747" s="2"/>
      <c r="Q747" s="2"/>
      <c r="R747" s="2"/>
    </row>
    <row r="748">
      <c r="A748" s="2"/>
      <c r="B748" s="2"/>
      <c r="C748" s="2"/>
      <c r="D748" s="2"/>
      <c r="E748" s="2"/>
      <c r="F748" s="2"/>
      <c r="G748" s="2"/>
      <c r="H748" s="2"/>
      <c r="I748" s="2"/>
      <c r="J748" s="2"/>
      <c r="K748" s="2"/>
      <c r="L748" s="2"/>
      <c r="M748" s="2"/>
      <c r="N748" s="2"/>
      <c r="O748" s="2"/>
      <c r="P748" s="2"/>
      <c r="Q748" s="2"/>
      <c r="R748" s="2"/>
    </row>
    <row r="749">
      <c r="A749" s="2"/>
      <c r="B749" s="2"/>
      <c r="C749" s="2"/>
      <c r="D749" s="2"/>
      <c r="E749" s="2"/>
      <c r="F749" s="2"/>
      <c r="G749" s="2"/>
      <c r="H749" s="2"/>
      <c r="I749" s="2"/>
      <c r="J749" s="2"/>
      <c r="K749" s="2"/>
      <c r="L749" s="2"/>
      <c r="M749" s="2"/>
      <c r="N749" s="2"/>
      <c r="O749" s="2"/>
      <c r="P749" s="2"/>
      <c r="Q749" s="2"/>
      <c r="R749" s="2"/>
    </row>
    <row r="750">
      <c r="A750" s="2"/>
      <c r="B750" s="2"/>
      <c r="C750" s="2"/>
      <c r="D750" s="2"/>
      <c r="E750" s="2"/>
      <c r="F750" s="2"/>
      <c r="G750" s="2"/>
      <c r="H750" s="2"/>
      <c r="I750" s="2"/>
      <c r="J750" s="2"/>
      <c r="K750" s="2"/>
      <c r="L750" s="2"/>
      <c r="M750" s="2"/>
      <c r="N750" s="2"/>
      <c r="O750" s="2"/>
      <c r="P750" s="2"/>
      <c r="Q750" s="2"/>
      <c r="R750" s="2"/>
    </row>
    <row r="751">
      <c r="A751" s="2"/>
      <c r="B751" s="2"/>
      <c r="C751" s="2"/>
      <c r="D751" s="2"/>
      <c r="E751" s="2"/>
      <c r="F751" s="2"/>
      <c r="G751" s="2"/>
      <c r="H751" s="2"/>
      <c r="I751" s="2"/>
      <c r="J751" s="2"/>
      <c r="K751" s="2"/>
      <c r="L751" s="2"/>
      <c r="M751" s="2"/>
      <c r="N751" s="2"/>
      <c r="O751" s="2"/>
      <c r="P751" s="2"/>
      <c r="Q751" s="2"/>
      <c r="R751" s="2"/>
    </row>
    <row r="752">
      <c r="A752" s="2"/>
      <c r="B752" s="2"/>
      <c r="C752" s="2"/>
      <c r="D752" s="2"/>
      <c r="E752" s="2"/>
      <c r="F752" s="2"/>
      <c r="G752" s="2"/>
      <c r="H752" s="2"/>
      <c r="I752" s="2"/>
      <c r="J752" s="2"/>
      <c r="K752" s="2"/>
      <c r="L752" s="2"/>
      <c r="M752" s="2"/>
      <c r="N752" s="2"/>
      <c r="O752" s="2"/>
      <c r="P752" s="2"/>
      <c r="Q752" s="2"/>
      <c r="R752" s="2"/>
    </row>
    <row r="753">
      <c r="A753" s="2"/>
      <c r="B753" s="2"/>
      <c r="C753" s="2"/>
      <c r="D753" s="2"/>
      <c r="E753" s="2"/>
      <c r="F753" s="2"/>
      <c r="G753" s="2"/>
      <c r="H753" s="2"/>
      <c r="I753" s="2"/>
      <c r="J753" s="2"/>
      <c r="K753" s="2"/>
      <c r="L753" s="2"/>
      <c r="M753" s="2"/>
      <c r="N753" s="2"/>
      <c r="O753" s="2"/>
      <c r="P753" s="2"/>
      <c r="Q753" s="2"/>
      <c r="R753" s="2"/>
    </row>
    <row r="754">
      <c r="A754" s="2"/>
      <c r="B754" s="2"/>
      <c r="C754" s="2"/>
      <c r="D754" s="2"/>
      <c r="E754" s="2"/>
      <c r="F754" s="2"/>
      <c r="G754" s="2"/>
      <c r="H754" s="2"/>
      <c r="I754" s="2"/>
      <c r="J754" s="2"/>
      <c r="K754" s="2"/>
      <c r="L754" s="2"/>
      <c r="M754" s="2"/>
      <c r="N754" s="2"/>
      <c r="O754" s="2"/>
      <c r="P754" s="2"/>
      <c r="Q754" s="2"/>
      <c r="R754" s="2"/>
    </row>
    <row r="755">
      <c r="A755" s="2"/>
      <c r="B755" s="2"/>
      <c r="C755" s="2"/>
      <c r="D755" s="2"/>
      <c r="E755" s="2"/>
      <c r="F755" s="2"/>
      <c r="G755" s="2"/>
      <c r="H755" s="2"/>
      <c r="I755" s="2"/>
      <c r="J755" s="2"/>
      <c r="K755" s="2"/>
      <c r="L755" s="2"/>
      <c r="M755" s="2"/>
      <c r="N755" s="2"/>
      <c r="O755" s="2"/>
      <c r="P755" s="2"/>
      <c r="Q755" s="2"/>
      <c r="R755" s="2"/>
    </row>
    <row r="756">
      <c r="A756" s="2"/>
      <c r="B756" s="2"/>
      <c r="C756" s="2"/>
      <c r="D756" s="2"/>
      <c r="E756" s="2"/>
      <c r="F756" s="2"/>
      <c r="G756" s="2"/>
      <c r="H756" s="2"/>
      <c r="I756" s="2"/>
      <c r="J756" s="2"/>
      <c r="K756" s="2"/>
      <c r="L756" s="2"/>
      <c r="M756" s="2"/>
      <c r="N756" s="2"/>
      <c r="O756" s="2"/>
      <c r="P756" s="2"/>
      <c r="Q756" s="2"/>
      <c r="R756" s="2"/>
    </row>
    <row r="757">
      <c r="A757" s="2"/>
      <c r="B757" s="2"/>
      <c r="C757" s="2"/>
      <c r="D757" s="2"/>
      <c r="E757" s="2"/>
      <c r="F757" s="2"/>
      <c r="G757" s="2"/>
      <c r="H757" s="2"/>
      <c r="I757" s="2"/>
      <c r="J757" s="2"/>
      <c r="K757" s="2"/>
      <c r="L757" s="2"/>
      <c r="M757" s="2"/>
      <c r="N757" s="2"/>
      <c r="O757" s="2"/>
      <c r="P757" s="2"/>
      <c r="Q757" s="2"/>
      <c r="R757" s="2"/>
    </row>
    <row r="758">
      <c r="A758" s="2"/>
      <c r="B758" s="2"/>
      <c r="C758" s="2"/>
      <c r="D758" s="2"/>
      <c r="E758" s="2"/>
      <c r="F758" s="2"/>
      <c r="G758" s="2"/>
      <c r="H758" s="2"/>
      <c r="I758" s="2"/>
      <c r="J758" s="2"/>
      <c r="K758" s="2"/>
      <c r="L758" s="2"/>
      <c r="M758" s="2"/>
      <c r="N758" s="2"/>
      <c r="O758" s="2"/>
      <c r="P758" s="2"/>
      <c r="Q758" s="2"/>
      <c r="R758" s="2"/>
    </row>
    <row r="759">
      <c r="A759" s="2"/>
      <c r="B759" s="2"/>
      <c r="C759" s="2"/>
      <c r="D759" s="2"/>
      <c r="E759" s="2"/>
      <c r="F759" s="2"/>
      <c r="G759" s="2"/>
      <c r="H759" s="2"/>
      <c r="I759" s="2"/>
      <c r="J759" s="2"/>
      <c r="K759" s="2"/>
      <c r="L759" s="2"/>
      <c r="M759" s="2"/>
      <c r="N759" s="2"/>
      <c r="O759" s="2"/>
      <c r="P759" s="2"/>
      <c r="Q759" s="2"/>
      <c r="R759" s="2"/>
    </row>
    <row r="760">
      <c r="A760" s="2"/>
      <c r="B760" s="2"/>
      <c r="C760" s="2"/>
      <c r="D760" s="2"/>
      <c r="E760" s="2"/>
      <c r="F760" s="2"/>
      <c r="G760" s="2"/>
      <c r="H760" s="2"/>
      <c r="I760" s="2"/>
      <c r="J760" s="2"/>
      <c r="K760" s="2"/>
      <c r="L760" s="2"/>
      <c r="M760" s="2"/>
      <c r="N760" s="2"/>
      <c r="O760" s="2"/>
      <c r="P760" s="2"/>
      <c r="Q760" s="2"/>
      <c r="R760" s="2"/>
    </row>
    <row r="761">
      <c r="A761" s="2"/>
      <c r="B761" s="2"/>
      <c r="C761" s="2"/>
      <c r="D761" s="2"/>
      <c r="E761" s="2"/>
      <c r="F761" s="2"/>
      <c r="G761" s="2"/>
      <c r="H761" s="2"/>
      <c r="I761" s="2"/>
      <c r="J761" s="2"/>
      <c r="K761" s="2"/>
      <c r="L761" s="2"/>
      <c r="M761" s="2"/>
      <c r="N761" s="2"/>
      <c r="O761" s="2"/>
      <c r="P761" s="2"/>
      <c r="Q761" s="2"/>
      <c r="R761" s="2"/>
    </row>
    <row r="762">
      <c r="A762" s="2"/>
      <c r="B762" s="2"/>
      <c r="C762" s="2"/>
      <c r="D762" s="2"/>
      <c r="E762" s="2"/>
      <c r="F762" s="2"/>
      <c r="G762" s="2"/>
      <c r="H762" s="2"/>
      <c r="I762" s="2"/>
      <c r="J762" s="2"/>
      <c r="K762" s="2"/>
      <c r="L762" s="2"/>
      <c r="M762" s="2"/>
      <c r="N762" s="2"/>
      <c r="O762" s="2"/>
      <c r="P762" s="2"/>
      <c r="Q762" s="2"/>
      <c r="R762" s="2"/>
    </row>
    <row r="763">
      <c r="A763" s="2"/>
      <c r="B763" s="2"/>
      <c r="C763" s="2"/>
      <c r="D763" s="2"/>
      <c r="E763" s="2"/>
      <c r="F763" s="2"/>
      <c r="G763" s="2"/>
      <c r="H763" s="2"/>
      <c r="I763" s="2"/>
      <c r="J763" s="2"/>
      <c r="K763" s="2"/>
      <c r="L763" s="2"/>
      <c r="M763" s="2"/>
      <c r="N763" s="2"/>
      <c r="O763" s="2"/>
      <c r="P763" s="2"/>
      <c r="Q763" s="2"/>
      <c r="R763" s="2"/>
    </row>
    <row r="764">
      <c r="A764" s="2"/>
      <c r="B764" s="2"/>
      <c r="C764" s="2"/>
      <c r="D764" s="2"/>
      <c r="E764" s="2"/>
      <c r="F764" s="2"/>
      <c r="G764" s="2"/>
      <c r="H764" s="2"/>
      <c r="I764" s="2"/>
      <c r="J764" s="2"/>
      <c r="K764" s="2"/>
      <c r="L764" s="2"/>
      <c r="M764" s="2"/>
      <c r="N764" s="2"/>
      <c r="O764" s="2"/>
      <c r="P764" s="2"/>
      <c r="Q764" s="2"/>
      <c r="R764" s="2"/>
    </row>
    <row r="765">
      <c r="A765" s="2"/>
      <c r="B765" s="2"/>
      <c r="C765" s="2"/>
      <c r="D765" s="2"/>
      <c r="E765" s="2"/>
      <c r="F765" s="2"/>
      <c r="G765" s="2"/>
      <c r="H765" s="2"/>
      <c r="I765" s="2"/>
      <c r="J765" s="2"/>
      <c r="K765" s="2"/>
      <c r="L765" s="2"/>
      <c r="M765" s="2"/>
      <c r="N765" s="2"/>
      <c r="O765" s="2"/>
      <c r="P765" s="2"/>
      <c r="Q765" s="2"/>
      <c r="R765" s="2"/>
    </row>
    <row r="766">
      <c r="A766" s="2"/>
      <c r="B766" s="2"/>
      <c r="C766" s="2"/>
      <c r="D766" s="2"/>
      <c r="E766" s="2"/>
      <c r="F766" s="2"/>
      <c r="G766" s="2"/>
      <c r="H766" s="2"/>
      <c r="I766" s="2"/>
      <c r="J766" s="2"/>
      <c r="K766" s="2"/>
      <c r="L766" s="2"/>
      <c r="M766" s="2"/>
      <c r="N766" s="2"/>
      <c r="O766" s="2"/>
      <c r="P766" s="2"/>
      <c r="Q766" s="2"/>
      <c r="R766" s="2"/>
    </row>
    <row r="767">
      <c r="A767" s="2"/>
      <c r="B767" s="2"/>
      <c r="C767" s="2"/>
      <c r="D767" s="2"/>
      <c r="E767" s="2"/>
      <c r="F767" s="2"/>
      <c r="G767" s="2"/>
      <c r="H767" s="2"/>
      <c r="I767" s="2"/>
      <c r="J767" s="2"/>
      <c r="K767" s="2"/>
      <c r="L767" s="2"/>
      <c r="M767" s="2"/>
      <c r="N767" s="2"/>
      <c r="O767" s="2"/>
      <c r="P767" s="2"/>
      <c r="Q767" s="2"/>
      <c r="R767" s="2"/>
    </row>
    <row r="768">
      <c r="A768" s="2"/>
      <c r="B768" s="2"/>
      <c r="C768" s="2"/>
      <c r="D768" s="2"/>
      <c r="E768" s="2"/>
      <c r="F768" s="2"/>
      <c r="G768" s="2"/>
      <c r="H768" s="2"/>
      <c r="I768" s="2"/>
      <c r="J768" s="2"/>
      <c r="K768" s="2"/>
      <c r="L768" s="2"/>
      <c r="M768" s="2"/>
      <c r="N768" s="2"/>
      <c r="O768" s="2"/>
      <c r="P768" s="2"/>
      <c r="Q768" s="2"/>
      <c r="R768" s="2"/>
    </row>
    <row r="769">
      <c r="A769" s="2"/>
      <c r="B769" s="2"/>
      <c r="C769" s="2"/>
      <c r="D769" s="2"/>
      <c r="E769" s="2"/>
      <c r="F769" s="2"/>
      <c r="G769" s="2"/>
      <c r="H769" s="2"/>
      <c r="I769" s="2"/>
      <c r="J769" s="2"/>
      <c r="K769" s="2"/>
      <c r="L769" s="2"/>
      <c r="M769" s="2"/>
      <c r="N769" s="2"/>
      <c r="O769" s="2"/>
      <c r="P769" s="2"/>
      <c r="Q769" s="2"/>
      <c r="R769" s="2"/>
    </row>
    <row r="770">
      <c r="A770" s="2"/>
      <c r="B770" s="2"/>
      <c r="C770" s="2"/>
      <c r="D770" s="2"/>
      <c r="E770" s="2"/>
      <c r="F770" s="2"/>
      <c r="G770" s="2"/>
      <c r="H770" s="2"/>
      <c r="I770" s="2"/>
      <c r="J770" s="2"/>
      <c r="K770" s="2"/>
      <c r="L770" s="2"/>
      <c r="M770" s="2"/>
      <c r="N770" s="2"/>
      <c r="O770" s="2"/>
      <c r="P770" s="2"/>
      <c r="Q770" s="2"/>
      <c r="R770" s="2"/>
    </row>
    <row r="771">
      <c r="A771" s="2"/>
      <c r="B771" s="2"/>
      <c r="C771" s="2"/>
      <c r="D771" s="2"/>
      <c r="E771" s="2"/>
      <c r="F771" s="2"/>
      <c r="G771" s="2"/>
      <c r="H771" s="2"/>
      <c r="I771" s="2"/>
      <c r="J771" s="2"/>
      <c r="K771" s="2"/>
      <c r="L771" s="2"/>
      <c r="M771" s="2"/>
      <c r="N771" s="2"/>
      <c r="O771" s="2"/>
      <c r="P771" s="2"/>
      <c r="Q771" s="2"/>
      <c r="R771" s="2"/>
    </row>
    <row r="772">
      <c r="A772" s="2"/>
      <c r="B772" s="2"/>
      <c r="C772" s="2"/>
      <c r="D772" s="2"/>
      <c r="E772" s="2"/>
      <c r="F772" s="2"/>
      <c r="G772" s="2"/>
      <c r="H772" s="2"/>
      <c r="I772" s="2"/>
      <c r="J772" s="2"/>
      <c r="K772" s="2"/>
      <c r="L772" s="2"/>
      <c r="M772" s="2"/>
      <c r="N772" s="2"/>
      <c r="O772" s="2"/>
      <c r="P772" s="2"/>
      <c r="Q772" s="2"/>
      <c r="R772" s="2"/>
    </row>
    <row r="773">
      <c r="A773" s="2"/>
      <c r="B773" s="2"/>
      <c r="C773" s="2"/>
      <c r="D773" s="2"/>
      <c r="E773" s="2"/>
      <c r="F773" s="2"/>
      <c r="G773" s="2"/>
      <c r="H773" s="2"/>
      <c r="I773" s="2"/>
      <c r="J773" s="2"/>
      <c r="K773" s="2"/>
      <c r="L773" s="2"/>
      <c r="M773" s="2"/>
      <c r="N773" s="2"/>
      <c r="O773" s="2"/>
      <c r="P773" s="2"/>
      <c r="Q773" s="2"/>
      <c r="R773" s="2"/>
    </row>
    <row r="774">
      <c r="A774" s="2"/>
      <c r="B774" s="2"/>
      <c r="C774" s="2"/>
      <c r="D774" s="2"/>
      <c r="E774" s="2"/>
      <c r="F774" s="2"/>
      <c r="G774" s="2"/>
      <c r="H774" s="2"/>
      <c r="I774" s="2"/>
      <c r="J774" s="2"/>
      <c r="K774" s="2"/>
      <c r="L774" s="2"/>
      <c r="M774" s="2"/>
      <c r="N774" s="2"/>
      <c r="O774" s="2"/>
      <c r="P774" s="2"/>
      <c r="Q774" s="2"/>
      <c r="R774" s="2"/>
    </row>
    <row r="775">
      <c r="A775" s="2"/>
      <c r="B775" s="2"/>
      <c r="C775" s="2"/>
      <c r="D775" s="2"/>
      <c r="E775" s="2"/>
      <c r="F775" s="2"/>
      <c r="G775" s="2"/>
      <c r="H775" s="2"/>
      <c r="I775" s="2"/>
      <c r="J775" s="2"/>
      <c r="K775" s="2"/>
      <c r="L775" s="2"/>
      <c r="M775" s="2"/>
      <c r="N775" s="2"/>
      <c r="O775" s="2"/>
      <c r="P775" s="2"/>
      <c r="Q775" s="2"/>
      <c r="R775" s="2"/>
    </row>
    <row r="776">
      <c r="A776" s="2"/>
      <c r="B776" s="2"/>
      <c r="C776" s="2"/>
      <c r="D776" s="2"/>
      <c r="E776" s="2"/>
      <c r="F776" s="2"/>
      <c r="G776" s="2"/>
      <c r="H776" s="2"/>
      <c r="I776" s="2"/>
      <c r="J776" s="2"/>
      <c r="K776" s="2"/>
      <c r="L776" s="2"/>
      <c r="M776" s="2"/>
      <c r="N776" s="2"/>
      <c r="O776" s="2"/>
      <c r="P776" s="2"/>
      <c r="Q776" s="2"/>
      <c r="R776" s="2"/>
    </row>
    <row r="777">
      <c r="A777" s="2"/>
      <c r="B777" s="2"/>
      <c r="C777" s="2"/>
      <c r="D777" s="2"/>
      <c r="E777" s="2"/>
      <c r="F777" s="2"/>
      <c r="G777" s="2"/>
      <c r="H777" s="2"/>
      <c r="I777" s="2"/>
      <c r="J777" s="2"/>
      <c r="K777" s="2"/>
      <c r="L777" s="2"/>
      <c r="M777" s="2"/>
      <c r="N777" s="2"/>
      <c r="O777" s="2"/>
      <c r="P777" s="2"/>
      <c r="Q777" s="2"/>
      <c r="R777" s="2"/>
    </row>
    <row r="778">
      <c r="A778" s="2"/>
      <c r="B778" s="2"/>
      <c r="C778" s="2"/>
      <c r="D778" s="2"/>
      <c r="E778" s="2"/>
      <c r="F778" s="2"/>
      <c r="G778" s="2"/>
      <c r="H778" s="2"/>
      <c r="I778" s="2"/>
      <c r="J778" s="2"/>
      <c r="K778" s="2"/>
      <c r="L778" s="2"/>
      <c r="M778" s="2"/>
      <c r="N778" s="2"/>
      <c r="O778" s="2"/>
      <c r="P778" s="2"/>
      <c r="Q778" s="2"/>
      <c r="R778" s="2"/>
    </row>
    <row r="779">
      <c r="A779" s="2"/>
      <c r="B779" s="2"/>
      <c r="C779" s="2"/>
      <c r="D779" s="2"/>
      <c r="E779" s="2"/>
      <c r="F779" s="2"/>
      <c r="G779" s="2"/>
      <c r="H779" s="2"/>
      <c r="I779" s="2"/>
      <c r="J779" s="2"/>
      <c r="K779" s="2"/>
      <c r="L779" s="2"/>
      <c r="M779" s="2"/>
      <c r="N779" s="2"/>
      <c r="O779" s="2"/>
      <c r="P779" s="2"/>
      <c r="Q779" s="2"/>
      <c r="R779" s="2"/>
    </row>
    <row r="780">
      <c r="A780" s="2"/>
      <c r="B780" s="2"/>
      <c r="C780" s="2"/>
      <c r="D780" s="2"/>
      <c r="E780" s="2"/>
      <c r="F780" s="2"/>
      <c r="G780" s="2"/>
      <c r="H780" s="2"/>
      <c r="I780" s="2"/>
      <c r="J780" s="2"/>
      <c r="K780" s="2"/>
      <c r="L780" s="2"/>
      <c r="M780" s="2"/>
      <c r="N780" s="2"/>
      <c r="O780" s="2"/>
      <c r="P780" s="2"/>
      <c r="Q780" s="2"/>
      <c r="R780" s="2"/>
    </row>
    <row r="781">
      <c r="A781" s="2"/>
      <c r="B781" s="2"/>
      <c r="C781" s="2"/>
      <c r="D781" s="2"/>
      <c r="E781" s="2"/>
      <c r="F781" s="2"/>
      <c r="G781" s="2"/>
      <c r="H781" s="2"/>
      <c r="I781" s="2"/>
      <c r="J781" s="2"/>
      <c r="K781" s="2"/>
      <c r="L781" s="2"/>
      <c r="M781" s="2"/>
      <c r="N781" s="2"/>
      <c r="O781" s="2"/>
      <c r="P781" s="2"/>
      <c r="Q781" s="2"/>
      <c r="R781" s="2"/>
    </row>
    <row r="782">
      <c r="A782" s="2"/>
      <c r="B782" s="2"/>
      <c r="C782" s="2"/>
      <c r="D782" s="2"/>
      <c r="E782" s="2"/>
      <c r="F782" s="2"/>
      <c r="G782" s="2"/>
      <c r="H782" s="2"/>
      <c r="I782" s="2"/>
      <c r="J782" s="2"/>
      <c r="K782" s="2"/>
      <c r="L782" s="2"/>
      <c r="M782" s="2"/>
      <c r="N782" s="2"/>
      <c r="O782" s="2"/>
      <c r="P782" s="2"/>
      <c r="Q782" s="2"/>
      <c r="R782" s="2"/>
    </row>
    <row r="783">
      <c r="A783" s="2"/>
      <c r="B783" s="2"/>
      <c r="C783" s="2"/>
      <c r="D783" s="2"/>
      <c r="E783" s="2"/>
      <c r="F783" s="2"/>
      <c r="G783" s="2"/>
      <c r="H783" s="2"/>
      <c r="I783" s="2"/>
      <c r="J783" s="2"/>
      <c r="K783" s="2"/>
      <c r="L783" s="2"/>
      <c r="M783" s="2"/>
      <c r="N783" s="2"/>
      <c r="O783" s="2"/>
      <c r="P783" s="2"/>
      <c r="Q783" s="2"/>
      <c r="R783" s="2"/>
    </row>
    <row r="784">
      <c r="A784" s="2"/>
      <c r="B784" s="2"/>
      <c r="C784" s="2"/>
      <c r="D784" s="2"/>
      <c r="E784" s="2"/>
      <c r="F784" s="2"/>
      <c r="G784" s="2"/>
      <c r="H784" s="2"/>
      <c r="I784" s="2"/>
      <c r="J784" s="2"/>
      <c r="K784" s="2"/>
      <c r="L784" s="2"/>
      <c r="M784" s="2"/>
      <c r="N784" s="2"/>
      <c r="O784" s="2"/>
      <c r="P784" s="2"/>
      <c r="Q784" s="2"/>
      <c r="R784" s="2"/>
    </row>
    <row r="785">
      <c r="A785" s="2"/>
      <c r="B785" s="2"/>
      <c r="C785" s="2"/>
      <c r="D785" s="2"/>
      <c r="E785" s="2"/>
      <c r="F785" s="2"/>
      <c r="G785" s="2"/>
      <c r="H785" s="2"/>
      <c r="I785" s="2"/>
      <c r="J785" s="2"/>
      <c r="K785" s="2"/>
      <c r="L785" s="2"/>
      <c r="M785" s="2"/>
      <c r="N785" s="2"/>
      <c r="O785" s="2"/>
      <c r="P785" s="2"/>
      <c r="Q785" s="2"/>
      <c r="R785" s="2"/>
    </row>
    <row r="786">
      <c r="A786" s="2"/>
      <c r="B786" s="2"/>
      <c r="C786" s="2"/>
      <c r="D786" s="2"/>
      <c r="E786" s="2"/>
      <c r="F786" s="2"/>
      <c r="G786" s="2"/>
      <c r="H786" s="2"/>
      <c r="I786" s="2"/>
      <c r="J786" s="2"/>
      <c r="K786" s="2"/>
      <c r="L786" s="2"/>
      <c r="M786" s="2"/>
      <c r="N786" s="2"/>
      <c r="O786" s="2"/>
      <c r="P786" s="2"/>
      <c r="Q786" s="2"/>
      <c r="R786" s="2"/>
    </row>
    <row r="787">
      <c r="A787" s="2"/>
      <c r="B787" s="2"/>
      <c r="C787" s="2"/>
      <c r="D787" s="2"/>
      <c r="E787" s="2"/>
      <c r="F787" s="2"/>
      <c r="G787" s="2"/>
      <c r="H787" s="2"/>
      <c r="I787" s="2"/>
      <c r="J787" s="2"/>
      <c r="K787" s="2"/>
      <c r="L787" s="2"/>
      <c r="M787" s="2"/>
      <c r="N787" s="2"/>
      <c r="O787" s="2"/>
      <c r="P787" s="2"/>
      <c r="Q787" s="2"/>
      <c r="R787" s="2"/>
    </row>
    <row r="788">
      <c r="A788" s="2"/>
      <c r="B788" s="2"/>
      <c r="C788" s="2"/>
      <c r="D788" s="2"/>
      <c r="E788" s="2"/>
      <c r="F788" s="2"/>
      <c r="G788" s="2"/>
      <c r="H788" s="2"/>
      <c r="I788" s="2"/>
      <c r="J788" s="2"/>
      <c r="K788" s="2"/>
      <c r="L788" s="2"/>
      <c r="M788" s="2"/>
      <c r="N788" s="2"/>
      <c r="O788" s="2"/>
      <c r="P788" s="2"/>
      <c r="Q788" s="2"/>
      <c r="R788" s="2"/>
    </row>
    <row r="789">
      <c r="A789" s="2"/>
      <c r="B789" s="2"/>
      <c r="C789" s="2"/>
      <c r="D789" s="2"/>
      <c r="E789" s="2"/>
      <c r="F789" s="2"/>
      <c r="G789" s="2"/>
      <c r="H789" s="2"/>
      <c r="I789" s="2"/>
      <c r="J789" s="2"/>
      <c r="K789" s="2"/>
      <c r="L789" s="2"/>
      <c r="M789" s="2"/>
      <c r="N789" s="2"/>
      <c r="O789" s="2"/>
      <c r="P789" s="2"/>
      <c r="Q789" s="2"/>
      <c r="R789" s="2"/>
    </row>
    <row r="790">
      <c r="A790" s="2"/>
      <c r="B790" s="2"/>
      <c r="C790" s="2"/>
      <c r="D790" s="2"/>
      <c r="E790" s="2"/>
      <c r="F790" s="2"/>
      <c r="G790" s="2"/>
      <c r="H790" s="2"/>
      <c r="I790" s="2"/>
      <c r="J790" s="2"/>
      <c r="K790" s="2"/>
      <c r="L790" s="2"/>
      <c r="M790" s="2"/>
      <c r="N790" s="2"/>
      <c r="O790" s="2"/>
      <c r="P790" s="2"/>
      <c r="Q790" s="2"/>
      <c r="R790" s="2"/>
    </row>
    <row r="791">
      <c r="A791" s="2"/>
      <c r="B791" s="2"/>
      <c r="C791" s="2"/>
      <c r="D791" s="2"/>
      <c r="E791" s="2"/>
      <c r="F791" s="2"/>
      <c r="G791" s="2"/>
      <c r="H791" s="2"/>
      <c r="I791" s="2"/>
      <c r="J791" s="2"/>
      <c r="K791" s="2"/>
      <c r="L791" s="2"/>
      <c r="M791" s="2"/>
      <c r="N791" s="2"/>
      <c r="O791" s="2"/>
      <c r="P791" s="2"/>
      <c r="Q791" s="2"/>
      <c r="R791" s="2"/>
    </row>
    <row r="792">
      <c r="A792" s="2"/>
      <c r="B792" s="2"/>
      <c r="C792" s="2"/>
      <c r="D792" s="2"/>
      <c r="E792" s="2"/>
      <c r="F792" s="2"/>
      <c r="G792" s="2"/>
      <c r="H792" s="2"/>
      <c r="I792" s="2"/>
      <c r="J792" s="2"/>
      <c r="K792" s="2"/>
      <c r="L792" s="2"/>
      <c r="M792" s="2"/>
      <c r="N792" s="2"/>
      <c r="O792" s="2"/>
      <c r="P792" s="2"/>
      <c r="Q792" s="2"/>
      <c r="R792" s="2"/>
    </row>
    <row r="793">
      <c r="A793" s="2"/>
      <c r="B793" s="2"/>
      <c r="C793" s="2"/>
      <c r="D793" s="2"/>
      <c r="E793" s="2"/>
      <c r="F793" s="2"/>
      <c r="G793" s="2"/>
      <c r="H793" s="2"/>
      <c r="I793" s="2"/>
      <c r="J793" s="2"/>
      <c r="K793" s="2"/>
      <c r="L793" s="2"/>
      <c r="M793" s="2"/>
      <c r="N793" s="2"/>
      <c r="O793" s="2"/>
      <c r="P793" s="2"/>
      <c r="Q793" s="2"/>
      <c r="R793" s="2"/>
    </row>
    <row r="794">
      <c r="A794" s="2"/>
      <c r="B794" s="2"/>
      <c r="C794" s="2"/>
      <c r="D794" s="2"/>
      <c r="E794" s="2"/>
      <c r="F794" s="2"/>
      <c r="G794" s="2"/>
      <c r="H794" s="2"/>
      <c r="I794" s="2"/>
      <c r="J794" s="2"/>
      <c r="K794" s="2"/>
      <c r="L794" s="2"/>
      <c r="M794" s="2"/>
      <c r="N794" s="2"/>
      <c r="O794" s="2"/>
      <c r="P794" s="2"/>
      <c r="Q794" s="2"/>
      <c r="R794" s="2"/>
    </row>
    <row r="795">
      <c r="A795" s="2"/>
      <c r="B795" s="2"/>
      <c r="C795" s="2"/>
      <c r="D795" s="2"/>
      <c r="E795" s="2"/>
      <c r="F795" s="2"/>
      <c r="G795" s="2"/>
      <c r="H795" s="2"/>
      <c r="I795" s="2"/>
      <c r="J795" s="2"/>
      <c r="K795" s="2"/>
      <c r="L795" s="2"/>
      <c r="M795" s="2"/>
      <c r="N795" s="2"/>
      <c r="O795" s="2"/>
      <c r="P795" s="2"/>
      <c r="Q795" s="2"/>
      <c r="R795" s="2"/>
    </row>
    <row r="796">
      <c r="A796" s="2"/>
      <c r="B796" s="2"/>
      <c r="C796" s="2"/>
      <c r="D796" s="2"/>
      <c r="E796" s="2"/>
      <c r="F796" s="2"/>
      <c r="G796" s="2"/>
      <c r="H796" s="2"/>
      <c r="I796" s="2"/>
      <c r="J796" s="2"/>
      <c r="K796" s="2"/>
      <c r="L796" s="2"/>
      <c r="M796" s="2"/>
      <c r="N796" s="2"/>
      <c r="O796" s="2"/>
      <c r="P796" s="2"/>
      <c r="Q796" s="2"/>
      <c r="R796" s="2"/>
    </row>
    <row r="797">
      <c r="A797" s="2"/>
      <c r="B797" s="2"/>
      <c r="C797" s="2"/>
      <c r="D797" s="2"/>
      <c r="E797" s="2"/>
      <c r="F797" s="2"/>
      <c r="G797" s="2"/>
      <c r="H797" s="2"/>
      <c r="I797" s="2"/>
      <c r="J797" s="2"/>
      <c r="K797" s="2"/>
      <c r="L797" s="2"/>
      <c r="M797" s="2"/>
      <c r="N797" s="2"/>
      <c r="O797" s="2"/>
      <c r="P797" s="2"/>
      <c r="Q797" s="2"/>
      <c r="R797" s="2"/>
    </row>
    <row r="798">
      <c r="A798" s="2"/>
      <c r="B798" s="2"/>
      <c r="C798" s="2"/>
      <c r="D798" s="2"/>
      <c r="E798" s="2"/>
      <c r="F798" s="2"/>
      <c r="G798" s="2"/>
      <c r="H798" s="2"/>
      <c r="I798" s="2"/>
      <c r="J798" s="2"/>
      <c r="K798" s="2"/>
      <c r="L798" s="2"/>
      <c r="M798" s="2"/>
      <c r="N798" s="2"/>
      <c r="O798" s="2"/>
      <c r="P798" s="2"/>
      <c r="Q798" s="2"/>
      <c r="R798" s="2"/>
    </row>
    <row r="799">
      <c r="A799" s="2"/>
      <c r="B799" s="2"/>
      <c r="C799" s="2"/>
      <c r="D799" s="2"/>
      <c r="E799" s="2"/>
      <c r="F799" s="2"/>
      <c r="G799" s="2"/>
      <c r="H799" s="2"/>
      <c r="I799" s="2"/>
      <c r="J799" s="2"/>
      <c r="K799" s="2"/>
      <c r="L799" s="2"/>
      <c r="M799" s="2"/>
      <c r="N799" s="2"/>
      <c r="O799" s="2"/>
      <c r="P799" s="2"/>
      <c r="Q799" s="2"/>
      <c r="R799" s="2"/>
    </row>
    <row r="800">
      <c r="A800" s="2"/>
      <c r="B800" s="2"/>
      <c r="C800" s="2"/>
      <c r="D800" s="2"/>
      <c r="E800" s="2"/>
      <c r="F800" s="2"/>
      <c r="G800" s="2"/>
      <c r="H800" s="2"/>
      <c r="I800" s="2"/>
      <c r="J800" s="2"/>
      <c r="K800" s="2"/>
      <c r="L800" s="2"/>
      <c r="M800" s="2"/>
      <c r="N800" s="2"/>
      <c r="O800" s="2"/>
      <c r="P800" s="2"/>
      <c r="Q800" s="2"/>
      <c r="R800" s="2"/>
    </row>
    <row r="801">
      <c r="A801" s="2"/>
      <c r="B801" s="2"/>
      <c r="C801" s="2"/>
      <c r="D801" s="2"/>
      <c r="E801" s="2"/>
      <c r="F801" s="2"/>
      <c r="G801" s="2"/>
      <c r="H801" s="2"/>
      <c r="I801" s="2"/>
      <c r="J801" s="2"/>
      <c r="K801" s="2"/>
      <c r="L801" s="2"/>
      <c r="M801" s="2"/>
      <c r="N801" s="2"/>
      <c r="O801" s="2"/>
      <c r="P801" s="2"/>
      <c r="Q801" s="2"/>
      <c r="R801" s="2"/>
    </row>
    <row r="802">
      <c r="A802" s="2"/>
      <c r="B802" s="2"/>
      <c r="C802" s="2"/>
      <c r="D802" s="2"/>
      <c r="E802" s="2"/>
      <c r="F802" s="2"/>
      <c r="G802" s="2"/>
      <c r="H802" s="2"/>
      <c r="I802" s="2"/>
      <c r="J802" s="2"/>
      <c r="K802" s="2"/>
      <c r="L802" s="2"/>
      <c r="M802" s="2"/>
      <c r="N802" s="2"/>
      <c r="O802" s="2"/>
      <c r="P802" s="2"/>
      <c r="Q802" s="2"/>
      <c r="R802" s="2"/>
    </row>
    <row r="803">
      <c r="A803" s="2"/>
      <c r="B803" s="2"/>
      <c r="C803" s="2"/>
      <c r="D803" s="2"/>
      <c r="E803" s="2"/>
      <c r="F803" s="2"/>
      <c r="G803" s="2"/>
      <c r="H803" s="2"/>
      <c r="I803" s="2"/>
      <c r="J803" s="2"/>
      <c r="K803" s="2"/>
      <c r="L803" s="2"/>
      <c r="M803" s="2"/>
      <c r="N803" s="2"/>
      <c r="O803" s="2"/>
      <c r="P803" s="2"/>
      <c r="Q803" s="2"/>
      <c r="R803" s="2"/>
    </row>
    <row r="804">
      <c r="A804" s="2"/>
      <c r="B804" s="2"/>
      <c r="C804" s="2"/>
      <c r="D804" s="2"/>
      <c r="E804" s="2"/>
      <c r="F804" s="2"/>
      <c r="G804" s="2"/>
      <c r="H804" s="2"/>
      <c r="I804" s="2"/>
      <c r="J804" s="2"/>
      <c r="K804" s="2"/>
      <c r="L804" s="2"/>
      <c r="M804" s="2"/>
      <c r="N804" s="2"/>
      <c r="O804" s="2"/>
      <c r="P804" s="2"/>
      <c r="Q804" s="2"/>
      <c r="R804" s="2"/>
    </row>
    <row r="805">
      <c r="A805" s="2"/>
      <c r="B805" s="2"/>
      <c r="C805" s="2"/>
      <c r="D805" s="2"/>
      <c r="E805" s="2"/>
      <c r="F805" s="2"/>
      <c r="G805" s="2"/>
      <c r="H805" s="2"/>
      <c r="I805" s="2"/>
      <c r="J805" s="2"/>
      <c r="K805" s="2"/>
      <c r="L805" s="2"/>
      <c r="M805" s="2"/>
      <c r="N805" s="2"/>
      <c r="O805" s="2"/>
      <c r="P805" s="2"/>
      <c r="Q805" s="2"/>
      <c r="R805" s="2"/>
    </row>
    <row r="806">
      <c r="A806" s="2"/>
      <c r="B806" s="2"/>
      <c r="C806" s="2"/>
      <c r="D806" s="2"/>
      <c r="E806" s="2"/>
      <c r="F806" s="2"/>
      <c r="G806" s="2"/>
      <c r="H806" s="2"/>
      <c r="I806" s="2"/>
      <c r="J806" s="2"/>
      <c r="K806" s="2"/>
      <c r="L806" s="2"/>
      <c r="M806" s="2"/>
      <c r="N806" s="2"/>
      <c r="O806" s="2"/>
      <c r="P806" s="2"/>
      <c r="Q806" s="2"/>
      <c r="R806" s="2"/>
    </row>
    <row r="807">
      <c r="A807" s="2"/>
      <c r="B807" s="2"/>
      <c r="C807" s="2"/>
      <c r="D807" s="2"/>
      <c r="E807" s="2"/>
      <c r="F807" s="2"/>
      <c r="G807" s="2"/>
      <c r="H807" s="2"/>
      <c r="I807" s="2"/>
      <c r="J807" s="2"/>
      <c r="K807" s="2"/>
      <c r="L807" s="2"/>
      <c r="M807" s="2"/>
      <c r="N807" s="2"/>
      <c r="O807" s="2"/>
      <c r="P807" s="2"/>
      <c r="Q807" s="2"/>
      <c r="R807" s="2"/>
    </row>
    <row r="808">
      <c r="A808" s="2"/>
      <c r="B808" s="2"/>
      <c r="C808" s="2"/>
      <c r="D808" s="2"/>
      <c r="E808" s="2"/>
      <c r="F808" s="2"/>
      <c r="G808" s="2"/>
      <c r="H808" s="2"/>
      <c r="I808" s="2"/>
      <c r="J808" s="2"/>
      <c r="K808" s="2"/>
      <c r="L808" s="2"/>
      <c r="M808" s="2"/>
      <c r="N808" s="2"/>
      <c r="O808" s="2"/>
      <c r="P808" s="2"/>
      <c r="Q808" s="2"/>
      <c r="R808" s="2"/>
    </row>
    <row r="809">
      <c r="A809" s="2"/>
      <c r="B809" s="2"/>
      <c r="C809" s="2"/>
      <c r="D809" s="2"/>
      <c r="E809" s="2"/>
      <c r="F809" s="2"/>
      <c r="G809" s="2"/>
      <c r="H809" s="2"/>
      <c r="I809" s="2"/>
      <c r="J809" s="2"/>
      <c r="K809" s="2"/>
      <c r="L809" s="2"/>
      <c r="M809" s="2"/>
      <c r="N809" s="2"/>
      <c r="O809" s="2"/>
      <c r="P809" s="2"/>
      <c r="Q809" s="2"/>
      <c r="R809" s="2"/>
    </row>
    <row r="810">
      <c r="A810" s="2"/>
      <c r="B810" s="2"/>
      <c r="C810" s="2"/>
      <c r="D810" s="2"/>
      <c r="E810" s="2"/>
      <c r="F810" s="2"/>
      <c r="G810" s="2"/>
      <c r="H810" s="2"/>
      <c r="I810" s="2"/>
      <c r="J810" s="2"/>
      <c r="K810" s="2"/>
      <c r="L810" s="2"/>
      <c r="M810" s="2"/>
      <c r="N810" s="2"/>
      <c r="O810" s="2"/>
      <c r="P810" s="2"/>
      <c r="Q810" s="2"/>
      <c r="R810" s="2"/>
    </row>
    <row r="811">
      <c r="A811" s="2"/>
      <c r="B811" s="2"/>
      <c r="C811" s="2"/>
      <c r="D811" s="2"/>
      <c r="E811" s="2"/>
      <c r="F811" s="2"/>
      <c r="G811" s="2"/>
      <c r="H811" s="2"/>
      <c r="I811" s="2"/>
      <c r="J811" s="2"/>
      <c r="K811" s="2"/>
      <c r="L811" s="2"/>
      <c r="M811" s="2"/>
      <c r="N811" s="2"/>
      <c r="O811" s="2"/>
      <c r="P811" s="2"/>
      <c r="Q811" s="2"/>
      <c r="R811" s="2"/>
    </row>
    <row r="812">
      <c r="A812" s="2"/>
      <c r="B812" s="2"/>
      <c r="C812" s="2"/>
      <c r="D812" s="2"/>
      <c r="E812" s="2"/>
      <c r="F812" s="2"/>
      <c r="G812" s="2"/>
      <c r="H812" s="2"/>
      <c r="I812" s="2"/>
      <c r="J812" s="2"/>
      <c r="K812" s="2"/>
      <c r="L812" s="2"/>
      <c r="M812" s="2"/>
      <c r="N812" s="2"/>
      <c r="O812" s="2"/>
      <c r="P812" s="2"/>
      <c r="Q812" s="2"/>
      <c r="R812" s="2"/>
    </row>
    <row r="813">
      <c r="A813" s="2"/>
      <c r="B813" s="2"/>
      <c r="C813" s="2"/>
      <c r="D813" s="2"/>
      <c r="E813" s="2"/>
      <c r="F813" s="2"/>
      <c r="G813" s="2"/>
      <c r="H813" s="2"/>
      <c r="I813" s="2"/>
      <c r="J813" s="2"/>
      <c r="K813" s="2"/>
      <c r="L813" s="2"/>
      <c r="M813" s="2"/>
      <c r="N813" s="2"/>
      <c r="O813" s="2"/>
      <c r="P813" s="2"/>
      <c r="Q813" s="2"/>
      <c r="R813" s="2"/>
    </row>
    <row r="814">
      <c r="A814" s="2"/>
      <c r="B814" s="2"/>
      <c r="C814" s="2"/>
      <c r="D814" s="2"/>
      <c r="E814" s="2"/>
      <c r="F814" s="2"/>
      <c r="G814" s="2"/>
      <c r="H814" s="2"/>
      <c r="I814" s="2"/>
      <c r="J814" s="2"/>
      <c r="K814" s="2"/>
      <c r="L814" s="2"/>
      <c r="M814" s="2"/>
      <c r="N814" s="2"/>
      <c r="O814" s="2"/>
      <c r="P814" s="2"/>
      <c r="Q814" s="2"/>
      <c r="R814" s="2"/>
    </row>
    <row r="815">
      <c r="A815" s="2"/>
      <c r="B815" s="2"/>
      <c r="C815" s="2"/>
      <c r="D815" s="2"/>
      <c r="E815" s="2"/>
      <c r="F815" s="2"/>
      <c r="G815" s="2"/>
      <c r="H815" s="2"/>
      <c r="I815" s="2"/>
      <c r="J815" s="2"/>
      <c r="K815" s="2"/>
      <c r="L815" s="2"/>
      <c r="M815" s="2"/>
      <c r="N815" s="2"/>
      <c r="O815" s="2"/>
      <c r="P815" s="2"/>
      <c r="Q815" s="2"/>
      <c r="R815" s="2"/>
    </row>
    <row r="816">
      <c r="A816" s="2"/>
      <c r="B816" s="2"/>
      <c r="C816" s="2"/>
      <c r="D816" s="2"/>
      <c r="E816" s="2"/>
      <c r="F816" s="2"/>
      <c r="G816" s="2"/>
      <c r="H816" s="2"/>
      <c r="I816" s="2"/>
      <c r="J816" s="2"/>
      <c r="K816" s="2"/>
      <c r="L816" s="2"/>
      <c r="M816" s="2"/>
      <c r="N816" s="2"/>
      <c r="O816" s="2"/>
      <c r="P816" s="2"/>
      <c r="Q816" s="2"/>
      <c r="R816" s="2"/>
    </row>
    <row r="817">
      <c r="A817" s="2"/>
      <c r="B817" s="2"/>
      <c r="C817" s="2"/>
      <c r="D817" s="2"/>
      <c r="E817" s="2"/>
      <c r="F817" s="2"/>
      <c r="G817" s="2"/>
      <c r="H817" s="2"/>
      <c r="I817" s="2"/>
      <c r="J817" s="2"/>
      <c r="K817" s="2"/>
      <c r="L817" s="2"/>
      <c r="M817" s="2"/>
      <c r="N817" s="2"/>
      <c r="O817" s="2"/>
      <c r="P817" s="2"/>
      <c r="Q817" s="2"/>
      <c r="R817" s="2"/>
    </row>
    <row r="818">
      <c r="A818" s="2"/>
      <c r="B818" s="2"/>
      <c r="C818" s="2"/>
      <c r="D818" s="2"/>
      <c r="E818" s="2"/>
      <c r="F818" s="2"/>
      <c r="G818" s="2"/>
      <c r="H818" s="2"/>
      <c r="I818" s="2"/>
      <c r="J818" s="2"/>
      <c r="K818" s="2"/>
      <c r="L818" s="2"/>
      <c r="M818" s="2"/>
      <c r="N818" s="2"/>
      <c r="O818" s="2"/>
      <c r="P818" s="2"/>
      <c r="Q818" s="2"/>
      <c r="R818" s="2"/>
    </row>
    <row r="819">
      <c r="A819" s="2"/>
      <c r="B819" s="2"/>
      <c r="C819" s="2"/>
      <c r="D819" s="2"/>
      <c r="E819" s="2"/>
      <c r="F819" s="2"/>
      <c r="G819" s="2"/>
      <c r="H819" s="2"/>
      <c r="I819" s="2"/>
      <c r="J819" s="2"/>
      <c r="K819" s="2"/>
      <c r="L819" s="2"/>
      <c r="M819" s="2"/>
      <c r="N819" s="2"/>
      <c r="O819" s="2"/>
      <c r="P819" s="2"/>
      <c r="Q819" s="2"/>
      <c r="R819" s="2"/>
    </row>
    <row r="820">
      <c r="A820" s="2"/>
      <c r="B820" s="2"/>
      <c r="C820" s="2"/>
      <c r="D820" s="2"/>
      <c r="E820" s="2"/>
      <c r="F820" s="2"/>
      <c r="G820" s="2"/>
      <c r="H820" s="2"/>
      <c r="I820" s="2"/>
      <c r="J820" s="2"/>
      <c r="K820" s="2"/>
      <c r="L820" s="2"/>
      <c r="M820" s="2"/>
      <c r="N820" s="2"/>
      <c r="O820" s="2"/>
      <c r="P820" s="2"/>
      <c r="Q820" s="2"/>
      <c r="R820" s="2"/>
    </row>
    <row r="821">
      <c r="A821" s="2"/>
      <c r="B821" s="2"/>
      <c r="C821" s="2"/>
      <c r="D821" s="2"/>
      <c r="E821" s="2"/>
      <c r="F821" s="2"/>
      <c r="G821" s="2"/>
      <c r="H821" s="2"/>
      <c r="I821" s="2"/>
      <c r="J821" s="2"/>
      <c r="K821" s="2"/>
      <c r="L821" s="2"/>
      <c r="M821" s="2"/>
      <c r="N821" s="2"/>
      <c r="O821" s="2"/>
      <c r="P821" s="2"/>
      <c r="Q821" s="2"/>
      <c r="R821" s="2"/>
    </row>
    <row r="822">
      <c r="A822" s="2"/>
      <c r="B822" s="2"/>
      <c r="C822" s="2"/>
      <c r="D822" s="2"/>
      <c r="E822" s="2"/>
      <c r="F822" s="2"/>
      <c r="G822" s="2"/>
      <c r="H822" s="2"/>
      <c r="I822" s="2"/>
      <c r="J822" s="2"/>
      <c r="K822" s="2"/>
      <c r="L822" s="2"/>
      <c r="M822" s="2"/>
      <c r="N822" s="2"/>
      <c r="O822" s="2"/>
      <c r="P822" s="2"/>
      <c r="Q822" s="2"/>
      <c r="R822" s="2"/>
    </row>
    <row r="823">
      <c r="A823" s="2"/>
      <c r="B823" s="2"/>
      <c r="C823" s="2"/>
      <c r="D823" s="2"/>
      <c r="E823" s="2"/>
      <c r="F823" s="2"/>
      <c r="G823" s="2"/>
      <c r="H823" s="2"/>
      <c r="I823" s="2"/>
      <c r="J823" s="2"/>
      <c r="K823" s="2"/>
      <c r="L823" s="2"/>
      <c r="M823" s="2"/>
      <c r="N823" s="2"/>
      <c r="O823" s="2"/>
      <c r="P823" s="2"/>
      <c r="Q823" s="2"/>
      <c r="R823" s="2"/>
    </row>
    <row r="824">
      <c r="A824" s="2"/>
      <c r="B824" s="2"/>
      <c r="C824" s="2"/>
      <c r="D824" s="2"/>
      <c r="E824" s="2"/>
      <c r="F824" s="2"/>
      <c r="G824" s="2"/>
      <c r="H824" s="2"/>
      <c r="I824" s="2"/>
      <c r="J824" s="2"/>
      <c r="K824" s="2"/>
      <c r="L824" s="2"/>
      <c r="M824" s="2"/>
      <c r="N824" s="2"/>
      <c r="O824" s="2"/>
      <c r="P824" s="2"/>
      <c r="Q824" s="2"/>
      <c r="R824" s="2"/>
    </row>
    <row r="825">
      <c r="A825" s="2"/>
      <c r="B825" s="2"/>
      <c r="C825" s="2"/>
      <c r="D825" s="2"/>
      <c r="E825" s="2"/>
      <c r="F825" s="2"/>
      <c r="G825" s="2"/>
      <c r="H825" s="2"/>
      <c r="I825" s="2"/>
      <c r="J825" s="2"/>
      <c r="K825" s="2"/>
      <c r="L825" s="2"/>
      <c r="M825" s="2"/>
      <c r="N825" s="2"/>
      <c r="O825" s="2"/>
      <c r="P825" s="2"/>
      <c r="Q825" s="2"/>
      <c r="R825" s="2"/>
    </row>
    <row r="826">
      <c r="A826" s="2"/>
      <c r="B826" s="2"/>
      <c r="C826" s="2"/>
      <c r="D826" s="2"/>
      <c r="E826" s="2"/>
      <c r="F826" s="2"/>
      <c r="G826" s="2"/>
      <c r="H826" s="2"/>
      <c r="I826" s="2"/>
      <c r="J826" s="2"/>
      <c r="K826" s="2"/>
      <c r="L826" s="2"/>
      <c r="M826" s="2"/>
      <c r="N826" s="2"/>
      <c r="O826" s="2"/>
      <c r="P826" s="2"/>
      <c r="Q826" s="2"/>
      <c r="R826" s="2"/>
    </row>
    <row r="827">
      <c r="A827" s="2"/>
      <c r="B827" s="2"/>
      <c r="C827" s="2"/>
      <c r="D827" s="2"/>
      <c r="E827" s="2"/>
      <c r="F827" s="2"/>
      <c r="G827" s="2"/>
      <c r="H827" s="2"/>
      <c r="I827" s="2"/>
      <c r="J827" s="2"/>
      <c r="K827" s="2"/>
      <c r="L827" s="2"/>
      <c r="M827" s="2"/>
      <c r="N827" s="2"/>
      <c r="O827" s="2"/>
      <c r="P827" s="2"/>
      <c r="Q827" s="2"/>
      <c r="R827" s="2"/>
    </row>
    <row r="828">
      <c r="A828" s="2"/>
      <c r="B828" s="2"/>
      <c r="C828" s="2"/>
      <c r="D828" s="2"/>
      <c r="E828" s="2"/>
      <c r="F828" s="2"/>
      <c r="G828" s="2"/>
      <c r="H828" s="2"/>
      <c r="I828" s="2"/>
      <c r="J828" s="2"/>
      <c r="K828" s="2"/>
      <c r="L828" s="2"/>
      <c r="M828" s="2"/>
      <c r="N828" s="2"/>
      <c r="O828" s="2"/>
      <c r="P828" s="2"/>
      <c r="Q828" s="2"/>
      <c r="R828" s="2"/>
    </row>
    <row r="829">
      <c r="A829" s="2"/>
      <c r="B829" s="2"/>
      <c r="C829" s="2"/>
      <c r="D829" s="2"/>
      <c r="E829" s="2"/>
      <c r="F829" s="2"/>
      <c r="G829" s="2"/>
      <c r="H829" s="2"/>
      <c r="I829" s="2"/>
      <c r="J829" s="2"/>
      <c r="K829" s="2"/>
      <c r="L829" s="2"/>
      <c r="M829" s="2"/>
      <c r="N829" s="2"/>
      <c r="O829" s="2"/>
      <c r="P829" s="2"/>
      <c r="Q829" s="2"/>
      <c r="R829" s="2"/>
    </row>
    <row r="830">
      <c r="A830" s="2"/>
      <c r="B830" s="2"/>
      <c r="C830" s="2"/>
      <c r="D830" s="2"/>
      <c r="E830" s="2"/>
      <c r="F830" s="2"/>
      <c r="G830" s="2"/>
      <c r="H830" s="2"/>
      <c r="I830" s="2"/>
      <c r="J830" s="2"/>
      <c r="K830" s="2"/>
      <c r="L830" s="2"/>
      <c r="M830" s="2"/>
      <c r="N830" s="2"/>
      <c r="O830" s="2"/>
      <c r="P830" s="2"/>
      <c r="Q830" s="2"/>
      <c r="R830" s="2"/>
    </row>
    <row r="831">
      <c r="A831" s="2"/>
      <c r="B831" s="2"/>
      <c r="C831" s="2"/>
      <c r="D831" s="2"/>
      <c r="E831" s="2"/>
      <c r="F831" s="2"/>
      <c r="G831" s="2"/>
      <c r="H831" s="2"/>
      <c r="I831" s="2"/>
      <c r="J831" s="2"/>
      <c r="K831" s="2"/>
      <c r="L831" s="2"/>
      <c r="M831" s="2"/>
      <c r="N831" s="2"/>
      <c r="O831" s="2"/>
      <c r="P831" s="2"/>
      <c r="Q831" s="2"/>
      <c r="R831" s="2"/>
    </row>
    <row r="832">
      <c r="A832" s="2"/>
      <c r="B832" s="2"/>
      <c r="C832" s="2"/>
      <c r="D832" s="2"/>
      <c r="E832" s="2"/>
      <c r="F832" s="2"/>
      <c r="G832" s="2"/>
      <c r="H832" s="2"/>
      <c r="I832" s="2"/>
      <c r="J832" s="2"/>
      <c r="K832" s="2"/>
      <c r="L832" s="2"/>
      <c r="M832" s="2"/>
      <c r="N832" s="2"/>
      <c r="O832" s="2"/>
      <c r="P832" s="2"/>
      <c r="Q832" s="2"/>
      <c r="R832" s="2"/>
    </row>
    <row r="833">
      <c r="A833" s="2"/>
      <c r="B833" s="2"/>
      <c r="C833" s="2"/>
      <c r="D833" s="2"/>
      <c r="E833" s="2"/>
      <c r="F833" s="2"/>
      <c r="G833" s="2"/>
      <c r="H833" s="2"/>
      <c r="I833" s="2"/>
      <c r="J833" s="2"/>
      <c r="K833" s="2"/>
      <c r="L833" s="2"/>
      <c r="M833" s="2"/>
      <c r="N833" s="2"/>
      <c r="O833" s="2"/>
      <c r="P833" s="2"/>
      <c r="Q833" s="2"/>
      <c r="R833" s="2"/>
    </row>
    <row r="834">
      <c r="A834" s="2"/>
      <c r="B834" s="2"/>
      <c r="C834" s="2"/>
      <c r="D834" s="2"/>
      <c r="E834" s="2"/>
      <c r="F834" s="2"/>
      <c r="G834" s="2"/>
      <c r="H834" s="2"/>
      <c r="I834" s="2"/>
      <c r="J834" s="2"/>
      <c r="K834" s="2"/>
      <c r="L834" s="2"/>
      <c r="M834" s="2"/>
      <c r="N834" s="2"/>
      <c r="O834" s="2"/>
      <c r="P834" s="2"/>
      <c r="Q834" s="2"/>
      <c r="R834" s="2"/>
    </row>
    <row r="835">
      <c r="A835" s="2"/>
      <c r="B835" s="2"/>
      <c r="C835" s="2"/>
      <c r="D835" s="2"/>
      <c r="E835" s="2"/>
      <c r="F835" s="2"/>
      <c r="G835" s="2"/>
      <c r="H835" s="2"/>
      <c r="I835" s="2"/>
      <c r="J835" s="2"/>
      <c r="K835" s="2"/>
      <c r="L835" s="2"/>
      <c r="M835" s="2"/>
      <c r="N835" s="2"/>
      <c r="O835" s="2"/>
      <c r="P835" s="2"/>
      <c r="Q835" s="2"/>
      <c r="R835" s="2"/>
    </row>
    <row r="836">
      <c r="A836" s="2"/>
      <c r="B836" s="2"/>
      <c r="C836" s="2"/>
      <c r="D836" s="2"/>
      <c r="E836" s="2"/>
      <c r="F836" s="2"/>
      <c r="G836" s="2"/>
      <c r="H836" s="2"/>
      <c r="I836" s="2"/>
      <c r="J836" s="2"/>
      <c r="K836" s="2"/>
      <c r="L836" s="2"/>
      <c r="M836" s="2"/>
      <c r="N836" s="2"/>
      <c r="O836" s="2"/>
      <c r="P836" s="2"/>
      <c r="Q836" s="2"/>
      <c r="R836" s="2"/>
    </row>
    <row r="837">
      <c r="A837" s="2"/>
      <c r="B837" s="2"/>
      <c r="C837" s="2"/>
      <c r="D837" s="2"/>
      <c r="E837" s="2"/>
      <c r="F837" s="2"/>
      <c r="G837" s="2"/>
      <c r="H837" s="2"/>
      <c r="I837" s="2"/>
      <c r="J837" s="2"/>
      <c r="K837" s="2"/>
      <c r="L837" s="2"/>
      <c r="M837" s="2"/>
      <c r="N837" s="2"/>
      <c r="O837" s="2"/>
      <c r="P837" s="2"/>
      <c r="Q837" s="2"/>
      <c r="R837" s="2"/>
    </row>
    <row r="838">
      <c r="A838" s="2"/>
      <c r="B838" s="2"/>
      <c r="C838" s="2"/>
      <c r="D838" s="2"/>
      <c r="E838" s="2"/>
      <c r="F838" s="2"/>
      <c r="G838" s="2"/>
      <c r="H838" s="2"/>
      <c r="I838" s="2"/>
      <c r="J838" s="2"/>
      <c r="K838" s="2"/>
      <c r="L838" s="2"/>
      <c r="M838" s="2"/>
      <c r="N838" s="2"/>
      <c r="O838" s="2"/>
      <c r="P838" s="2"/>
      <c r="Q838" s="2"/>
      <c r="R838" s="2"/>
    </row>
    <row r="839">
      <c r="A839" s="2"/>
      <c r="B839" s="2"/>
      <c r="C839" s="2"/>
      <c r="D839" s="2"/>
      <c r="E839" s="2"/>
      <c r="F839" s="2"/>
      <c r="G839" s="2"/>
      <c r="H839" s="2"/>
      <c r="I839" s="2"/>
      <c r="J839" s="2"/>
      <c r="K839" s="2"/>
      <c r="L839" s="2"/>
      <c r="M839" s="2"/>
      <c r="N839" s="2"/>
      <c r="O839" s="2"/>
      <c r="P839" s="2"/>
      <c r="Q839" s="2"/>
      <c r="R839" s="2"/>
    </row>
    <row r="840">
      <c r="A840" s="2"/>
      <c r="B840" s="2"/>
      <c r="C840" s="2"/>
      <c r="D840" s="2"/>
      <c r="E840" s="2"/>
      <c r="F840" s="2"/>
      <c r="G840" s="2"/>
      <c r="H840" s="2"/>
      <c r="I840" s="2"/>
      <c r="J840" s="2"/>
      <c r="K840" s="2"/>
      <c r="L840" s="2"/>
      <c r="M840" s="2"/>
      <c r="N840" s="2"/>
      <c r="O840" s="2"/>
      <c r="P840" s="2"/>
      <c r="Q840" s="2"/>
      <c r="R840" s="2"/>
    </row>
    <row r="841">
      <c r="A841" s="2"/>
      <c r="B841" s="2"/>
      <c r="C841" s="2"/>
      <c r="D841" s="2"/>
      <c r="E841" s="2"/>
      <c r="F841" s="2"/>
      <c r="G841" s="2"/>
      <c r="H841" s="2"/>
      <c r="I841" s="2"/>
      <c r="J841" s="2"/>
      <c r="K841" s="2"/>
      <c r="L841" s="2"/>
      <c r="M841" s="2"/>
      <c r="N841" s="2"/>
      <c r="O841" s="2"/>
      <c r="P841" s="2"/>
      <c r="Q841" s="2"/>
      <c r="R841" s="2"/>
    </row>
    <row r="842">
      <c r="A842" s="2"/>
      <c r="B842" s="2"/>
      <c r="C842" s="2"/>
      <c r="D842" s="2"/>
      <c r="E842" s="2"/>
      <c r="F842" s="2"/>
      <c r="G842" s="2"/>
      <c r="H842" s="2"/>
      <c r="I842" s="2"/>
      <c r="J842" s="2"/>
      <c r="K842" s="2"/>
      <c r="L842" s="2"/>
      <c r="M842" s="2"/>
      <c r="N842" s="2"/>
      <c r="O842" s="2"/>
      <c r="P842" s="2"/>
      <c r="Q842" s="2"/>
      <c r="R842" s="2"/>
    </row>
    <row r="843">
      <c r="A843" s="2"/>
      <c r="B843" s="2"/>
      <c r="C843" s="2"/>
      <c r="D843" s="2"/>
      <c r="E843" s="2"/>
      <c r="F843" s="2"/>
      <c r="G843" s="2"/>
      <c r="H843" s="2"/>
      <c r="I843" s="2"/>
      <c r="J843" s="2"/>
      <c r="K843" s="2"/>
      <c r="L843" s="2"/>
      <c r="M843" s="2"/>
      <c r="N843" s="2"/>
      <c r="O843" s="2"/>
      <c r="P843" s="2"/>
      <c r="Q843" s="2"/>
      <c r="R843" s="2"/>
    </row>
    <row r="844">
      <c r="A844" s="2"/>
      <c r="B844" s="2"/>
      <c r="C844" s="2"/>
      <c r="D844" s="2"/>
      <c r="E844" s="2"/>
      <c r="F844" s="2"/>
      <c r="G844" s="2"/>
      <c r="H844" s="2"/>
      <c r="I844" s="2"/>
      <c r="J844" s="2"/>
      <c r="K844" s="2"/>
      <c r="L844" s="2"/>
      <c r="M844" s="2"/>
      <c r="N844" s="2"/>
      <c r="O844" s="2"/>
      <c r="P844" s="2"/>
      <c r="Q844" s="2"/>
      <c r="R844" s="2"/>
    </row>
    <row r="845">
      <c r="A845" s="2"/>
      <c r="B845" s="2"/>
      <c r="C845" s="2"/>
      <c r="D845" s="2"/>
      <c r="E845" s="2"/>
      <c r="F845" s="2"/>
      <c r="G845" s="2"/>
      <c r="H845" s="2"/>
      <c r="I845" s="2"/>
      <c r="J845" s="2"/>
      <c r="K845" s="2"/>
      <c r="L845" s="2"/>
      <c r="M845" s="2"/>
      <c r="N845" s="2"/>
      <c r="O845" s="2"/>
      <c r="P845" s="2"/>
      <c r="Q845" s="2"/>
      <c r="R845" s="2"/>
    </row>
    <row r="846">
      <c r="A846" s="2"/>
      <c r="B846" s="2"/>
      <c r="C846" s="2"/>
      <c r="D846" s="2"/>
      <c r="E846" s="2"/>
      <c r="F846" s="2"/>
      <c r="G846" s="2"/>
      <c r="H846" s="2"/>
      <c r="I846" s="2"/>
      <c r="J846" s="2"/>
      <c r="K846" s="2"/>
      <c r="L846" s="2"/>
      <c r="M846" s="2"/>
      <c r="N846" s="2"/>
      <c r="O846" s="2"/>
      <c r="P846" s="2"/>
      <c r="Q846" s="2"/>
      <c r="R846" s="2"/>
    </row>
    <row r="847">
      <c r="A847" s="2"/>
      <c r="B847" s="2"/>
      <c r="C847" s="2"/>
      <c r="D847" s="2"/>
      <c r="E847" s="2"/>
      <c r="F847" s="2"/>
      <c r="G847" s="2"/>
      <c r="H847" s="2"/>
      <c r="I847" s="2"/>
      <c r="J847" s="2"/>
      <c r="K847" s="2"/>
      <c r="L847" s="2"/>
      <c r="M847" s="2"/>
      <c r="N847" s="2"/>
      <c r="O847" s="2"/>
      <c r="P847" s="2"/>
      <c r="Q847" s="2"/>
      <c r="R847" s="2"/>
    </row>
    <row r="848">
      <c r="A848" s="2"/>
      <c r="B848" s="2"/>
      <c r="C848" s="2"/>
      <c r="D848" s="2"/>
      <c r="E848" s="2"/>
      <c r="F848" s="2"/>
      <c r="G848" s="2"/>
      <c r="H848" s="2"/>
      <c r="I848" s="2"/>
      <c r="J848" s="2"/>
      <c r="K848" s="2"/>
      <c r="L848" s="2"/>
      <c r="M848" s="2"/>
      <c r="N848" s="2"/>
      <c r="O848" s="2"/>
      <c r="P848" s="2"/>
      <c r="Q848" s="2"/>
      <c r="R848" s="2"/>
    </row>
    <row r="849">
      <c r="A849" s="2"/>
      <c r="B849" s="2"/>
      <c r="C849" s="2"/>
      <c r="D849" s="2"/>
      <c r="E849" s="2"/>
      <c r="F849" s="2"/>
      <c r="G849" s="2"/>
      <c r="H849" s="2"/>
      <c r="I849" s="2"/>
      <c r="J849" s="2"/>
      <c r="K849" s="2"/>
      <c r="L849" s="2"/>
      <c r="M849" s="2"/>
      <c r="N849" s="2"/>
      <c r="O849" s="2"/>
      <c r="P849" s="2"/>
      <c r="Q849" s="2"/>
      <c r="R849" s="2"/>
    </row>
    <row r="850">
      <c r="A850" s="2"/>
      <c r="B850" s="2"/>
      <c r="C850" s="2"/>
      <c r="D850" s="2"/>
      <c r="E850" s="2"/>
      <c r="F850" s="2"/>
      <c r="G850" s="2"/>
      <c r="H850" s="2"/>
      <c r="I850" s="2"/>
      <c r="J850" s="2"/>
      <c r="K850" s="2"/>
      <c r="L850" s="2"/>
      <c r="M850" s="2"/>
      <c r="N850" s="2"/>
      <c r="O850" s="2"/>
      <c r="P850" s="2"/>
      <c r="Q850" s="2"/>
      <c r="R850" s="2"/>
    </row>
    <row r="851">
      <c r="A851" s="2"/>
      <c r="B851" s="2"/>
      <c r="C851" s="2"/>
      <c r="D851" s="2"/>
      <c r="E851" s="2"/>
      <c r="F851" s="2"/>
      <c r="G851" s="2"/>
      <c r="H851" s="2"/>
      <c r="I851" s="2"/>
      <c r="J851" s="2"/>
      <c r="K851" s="2"/>
      <c r="L851" s="2"/>
      <c r="M851" s="2"/>
      <c r="N851" s="2"/>
      <c r="O851" s="2"/>
      <c r="P851" s="2"/>
      <c r="Q851" s="2"/>
      <c r="R851" s="2"/>
    </row>
    <row r="852">
      <c r="A852" s="2"/>
      <c r="B852" s="2"/>
      <c r="C852" s="2"/>
      <c r="D852" s="2"/>
      <c r="E852" s="2"/>
      <c r="F852" s="2"/>
      <c r="G852" s="2"/>
      <c r="H852" s="2"/>
      <c r="I852" s="2"/>
      <c r="J852" s="2"/>
      <c r="K852" s="2"/>
      <c r="L852" s="2"/>
      <c r="M852" s="2"/>
      <c r="N852" s="2"/>
      <c r="O852" s="2"/>
      <c r="P852" s="2"/>
      <c r="Q852" s="2"/>
      <c r="R852" s="2"/>
    </row>
    <row r="853">
      <c r="A853" s="2"/>
      <c r="B853" s="2"/>
      <c r="C853" s="2"/>
      <c r="D853" s="2"/>
      <c r="E853" s="2"/>
      <c r="F853" s="2"/>
      <c r="G853" s="2"/>
      <c r="H853" s="2"/>
      <c r="I853" s="2"/>
      <c r="J853" s="2"/>
      <c r="K853" s="2"/>
      <c r="L853" s="2"/>
      <c r="M853" s="2"/>
      <c r="N853" s="2"/>
      <c r="O853" s="2"/>
      <c r="P853" s="2"/>
      <c r="Q853" s="2"/>
      <c r="R853" s="2"/>
    </row>
    <row r="854">
      <c r="A854" s="2"/>
      <c r="B854" s="2"/>
      <c r="C854" s="2"/>
      <c r="D854" s="2"/>
      <c r="E854" s="2"/>
      <c r="F854" s="2"/>
      <c r="G854" s="2"/>
      <c r="H854" s="2"/>
      <c r="I854" s="2"/>
      <c r="J854" s="2"/>
      <c r="K854" s="2"/>
      <c r="L854" s="2"/>
      <c r="M854" s="2"/>
      <c r="N854" s="2"/>
      <c r="O854" s="2"/>
      <c r="P854" s="2"/>
      <c r="Q854" s="2"/>
      <c r="R854" s="2"/>
    </row>
    <row r="855">
      <c r="A855" s="2"/>
      <c r="B855" s="2"/>
      <c r="C855" s="2"/>
      <c r="D855" s="2"/>
      <c r="E855" s="2"/>
      <c r="F855" s="2"/>
      <c r="G855" s="2"/>
      <c r="H855" s="2"/>
      <c r="I855" s="2"/>
      <c r="J855" s="2"/>
      <c r="K855" s="2"/>
      <c r="L855" s="2"/>
      <c r="M855" s="2"/>
      <c r="N855" s="2"/>
      <c r="O855" s="2"/>
      <c r="P855" s="2"/>
      <c r="Q855" s="2"/>
      <c r="R855" s="2"/>
    </row>
    <row r="856">
      <c r="A856" s="2"/>
      <c r="B856" s="2"/>
      <c r="C856" s="2"/>
      <c r="D856" s="2"/>
      <c r="E856" s="2"/>
      <c r="F856" s="2"/>
      <c r="G856" s="2"/>
      <c r="H856" s="2"/>
      <c r="I856" s="2"/>
      <c r="J856" s="2"/>
      <c r="K856" s="2"/>
      <c r="L856" s="2"/>
      <c r="M856" s="2"/>
      <c r="N856" s="2"/>
      <c r="O856" s="2"/>
      <c r="P856" s="2"/>
      <c r="Q856" s="2"/>
      <c r="R856" s="2"/>
    </row>
    <row r="857">
      <c r="A857" s="2"/>
      <c r="B857" s="2"/>
      <c r="C857" s="2"/>
      <c r="D857" s="2"/>
      <c r="E857" s="2"/>
      <c r="F857" s="2"/>
      <c r="G857" s="2"/>
      <c r="H857" s="2"/>
      <c r="I857" s="2"/>
      <c r="J857" s="2"/>
      <c r="K857" s="2"/>
      <c r="L857" s="2"/>
      <c r="M857" s="2"/>
      <c r="N857" s="2"/>
      <c r="O857" s="2"/>
      <c r="P857" s="2"/>
      <c r="Q857" s="2"/>
      <c r="R857" s="2"/>
    </row>
    <row r="858">
      <c r="A858" s="2"/>
      <c r="B858" s="2"/>
      <c r="C858" s="2"/>
      <c r="D858" s="2"/>
      <c r="E858" s="2"/>
      <c r="F858" s="2"/>
      <c r="G858" s="2"/>
      <c r="H858" s="2"/>
      <c r="I858" s="2"/>
      <c r="J858" s="2"/>
      <c r="K858" s="2"/>
      <c r="L858" s="2"/>
      <c r="M858" s="2"/>
      <c r="N858" s="2"/>
      <c r="O858" s="2"/>
      <c r="P858" s="2"/>
      <c r="Q858" s="2"/>
      <c r="R858" s="2"/>
    </row>
    <row r="859">
      <c r="A859" s="2"/>
      <c r="B859" s="2"/>
      <c r="C859" s="2"/>
      <c r="D859" s="2"/>
      <c r="E859" s="2"/>
      <c r="F859" s="2"/>
      <c r="G859" s="2"/>
      <c r="H859" s="2"/>
      <c r="I859" s="2"/>
      <c r="J859" s="2"/>
      <c r="K859" s="2"/>
      <c r="L859" s="2"/>
      <c r="M859" s="2"/>
      <c r="N859" s="2"/>
      <c r="O859" s="2"/>
      <c r="P859" s="2"/>
      <c r="Q859" s="2"/>
      <c r="R859" s="2"/>
    </row>
    <row r="860">
      <c r="A860" s="2"/>
      <c r="B860" s="2"/>
      <c r="C860" s="2"/>
      <c r="D860" s="2"/>
      <c r="E860" s="2"/>
      <c r="F860" s="2"/>
      <c r="G860" s="2"/>
      <c r="H860" s="2"/>
      <c r="I860" s="2"/>
      <c r="J860" s="2"/>
      <c r="K860" s="2"/>
      <c r="L860" s="2"/>
      <c r="M860" s="2"/>
      <c r="N860" s="2"/>
      <c r="O860" s="2"/>
      <c r="P860" s="2"/>
      <c r="Q860" s="2"/>
      <c r="R860" s="2"/>
    </row>
    <row r="861">
      <c r="A861" s="2"/>
      <c r="B861" s="2"/>
      <c r="C861" s="2"/>
      <c r="D861" s="2"/>
      <c r="E861" s="2"/>
      <c r="F861" s="2"/>
      <c r="G861" s="2"/>
      <c r="H861" s="2"/>
      <c r="I861" s="2"/>
      <c r="J861" s="2"/>
      <c r="K861" s="2"/>
      <c r="L861" s="2"/>
      <c r="M861" s="2"/>
      <c r="N861" s="2"/>
      <c r="O861" s="2"/>
      <c r="P861" s="2"/>
      <c r="Q861" s="2"/>
      <c r="R861" s="2"/>
    </row>
    <row r="862">
      <c r="A862" s="2"/>
      <c r="B862" s="2"/>
      <c r="C862" s="2"/>
      <c r="D862" s="2"/>
      <c r="E862" s="2"/>
      <c r="F862" s="2"/>
      <c r="G862" s="2"/>
      <c r="H862" s="2"/>
      <c r="I862" s="2"/>
      <c r="J862" s="2"/>
      <c r="K862" s="2"/>
      <c r="L862" s="2"/>
      <c r="M862" s="2"/>
      <c r="N862" s="2"/>
      <c r="O862" s="2"/>
      <c r="P862" s="2"/>
      <c r="Q862" s="2"/>
      <c r="R862" s="2"/>
    </row>
    <row r="863">
      <c r="A863" s="2"/>
      <c r="B863" s="2"/>
      <c r="C863" s="2"/>
      <c r="D863" s="2"/>
      <c r="E863" s="2"/>
      <c r="F863" s="2"/>
      <c r="G863" s="2"/>
      <c r="H863" s="2"/>
      <c r="I863" s="2"/>
      <c r="J863" s="2"/>
      <c r="K863" s="2"/>
      <c r="L863" s="2"/>
      <c r="M863" s="2"/>
      <c r="N863" s="2"/>
      <c r="O863" s="2"/>
      <c r="P863" s="2"/>
      <c r="Q863" s="2"/>
      <c r="R863" s="2"/>
    </row>
    <row r="864">
      <c r="A864" s="2"/>
      <c r="B864" s="2"/>
      <c r="C864" s="2"/>
      <c r="D864" s="2"/>
      <c r="E864" s="2"/>
      <c r="F864" s="2"/>
      <c r="G864" s="2"/>
      <c r="H864" s="2"/>
      <c r="I864" s="2"/>
      <c r="J864" s="2"/>
      <c r="K864" s="2"/>
      <c r="L864" s="2"/>
      <c r="M864" s="2"/>
      <c r="N864" s="2"/>
      <c r="O864" s="2"/>
      <c r="P864" s="2"/>
      <c r="Q864" s="2"/>
      <c r="R864" s="2"/>
    </row>
    <row r="865">
      <c r="A865" s="2"/>
      <c r="B865" s="2"/>
      <c r="C865" s="2"/>
      <c r="D865" s="2"/>
      <c r="E865" s="2"/>
      <c r="F865" s="2"/>
      <c r="G865" s="2"/>
      <c r="H865" s="2"/>
      <c r="I865" s="2"/>
      <c r="J865" s="2"/>
      <c r="K865" s="2"/>
      <c r="L865" s="2"/>
      <c r="M865" s="2"/>
      <c r="N865" s="2"/>
      <c r="O865" s="2"/>
      <c r="P865" s="2"/>
      <c r="Q865" s="2"/>
      <c r="R865" s="2"/>
    </row>
    <row r="866">
      <c r="A866" s="2"/>
      <c r="B866" s="2"/>
      <c r="C866" s="2"/>
      <c r="D866" s="2"/>
      <c r="E866" s="2"/>
      <c r="F866" s="2"/>
      <c r="G866" s="2"/>
      <c r="H866" s="2"/>
      <c r="I866" s="2"/>
      <c r="J866" s="2"/>
      <c r="K866" s="2"/>
      <c r="L866" s="2"/>
      <c r="M866" s="2"/>
      <c r="N866" s="2"/>
      <c r="O866" s="2"/>
      <c r="P866" s="2"/>
      <c r="Q866" s="2"/>
      <c r="R866" s="2"/>
    </row>
    <row r="867">
      <c r="A867" s="2"/>
      <c r="B867" s="2"/>
      <c r="C867" s="2"/>
      <c r="D867" s="2"/>
      <c r="E867" s="2"/>
      <c r="F867" s="2"/>
      <c r="G867" s="2"/>
      <c r="H867" s="2"/>
      <c r="I867" s="2"/>
      <c r="J867" s="2"/>
      <c r="K867" s="2"/>
      <c r="L867" s="2"/>
      <c r="M867" s="2"/>
      <c r="N867" s="2"/>
      <c r="O867" s="2"/>
      <c r="P867" s="2"/>
      <c r="Q867" s="2"/>
      <c r="R867" s="2"/>
    </row>
    <row r="868">
      <c r="A868" s="2"/>
      <c r="B868" s="2"/>
      <c r="C868" s="2"/>
      <c r="D868" s="2"/>
      <c r="E868" s="2"/>
      <c r="F868" s="2"/>
      <c r="G868" s="2"/>
      <c r="H868" s="2"/>
      <c r="I868" s="2"/>
      <c r="J868" s="2"/>
      <c r="K868" s="2"/>
      <c r="L868" s="2"/>
      <c r="M868" s="2"/>
      <c r="N868" s="2"/>
      <c r="O868" s="2"/>
      <c r="P868" s="2"/>
      <c r="Q868" s="2"/>
      <c r="R868" s="2"/>
    </row>
    <row r="869">
      <c r="A869" s="2"/>
      <c r="B869" s="2"/>
      <c r="C869" s="2"/>
      <c r="D869" s="2"/>
      <c r="E869" s="2"/>
      <c r="F869" s="2"/>
      <c r="G869" s="2"/>
      <c r="H869" s="2"/>
      <c r="I869" s="2"/>
      <c r="J869" s="2"/>
      <c r="K869" s="2"/>
      <c r="L869" s="2"/>
      <c r="M869" s="2"/>
      <c r="N869" s="2"/>
      <c r="O869" s="2"/>
      <c r="P869" s="2"/>
      <c r="Q869" s="2"/>
      <c r="R869" s="2"/>
    </row>
    <row r="870">
      <c r="A870" s="2"/>
      <c r="B870" s="2"/>
      <c r="C870" s="2"/>
      <c r="D870" s="2"/>
      <c r="E870" s="2"/>
      <c r="F870" s="2"/>
      <c r="G870" s="2"/>
      <c r="H870" s="2"/>
      <c r="I870" s="2"/>
      <c r="J870" s="2"/>
      <c r="K870" s="2"/>
      <c r="L870" s="2"/>
      <c r="M870" s="2"/>
      <c r="N870" s="2"/>
      <c r="O870" s="2"/>
      <c r="P870" s="2"/>
      <c r="Q870" s="2"/>
      <c r="R870" s="2"/>
    </row>
    <row r="871">
      <c r="A871" s="2"/>
      <c r="B871" s="2"/>
      <c r="C871" s="2"/>
      <c r="D871" s="2"/>
      <c r="E871" s="2"/>
      <c r="F871" s="2"/>
      <c r="G871" s="2"/>
      <c r="H871" s="2"/>
      <c r="I871" s="2"/>
      <c r="J871" s="2"/>
      <c r="K871" s="2"/>
      <c r="L871" s="2"/>
      <c r="M871" s="2"/>
      <c r="N871" s="2"/>
      <c r="O871" s="2"/>
      <c r="P871" s="2"/>
      <c r="Q871" s="2"/>
      <c r="R871" s="2"/>
    </row>
    <row r="872">
      <c r="A872" s="2"/>
      <c r="B872" s="2"/>
      <c r="C872" s="2"/>
      <c r="D872" s="2"/>
      <c r="E872" s="2"/>
      <c r="F872" s="2"/>
      <c r="G872" s="2"/>
      <c r="H872" s="2"/>
      <c r="I872" s="2"/>
      <c r="J872" s="2"/>
      <c r="K872" s="2"/>
      <c r="L872" s="2"/>
      <c r="M872" s="2"/>
      <c r="N872" s="2"/>
      <c r="O872" s="2"/>
      <c r="P872" s="2"/>
      <c r="Q872" s="2"/>
      <c r="R872" s="2"/>
    </row>
    <row r="873">
      <c r="A873" s="2"/>
      <c r="B873" s="2"/>
      <c r="C873" s="2"/>
      <c r="D873" s="2"/>
      <c r="E873" s="2"/>
      <c r="F873" s="2"/>
      <c r="G873" s="2"/>
      <c r="H873" s="2"/>
      <c r="I873" s="2"/>
      <c r="J873" s="2"/>
      <c r="K873" s="2"/>
      <c r="L873" s="2"/>
      <c r="M873" s="2"/>
      <c r="N873" s="2"/>
      <c r="O873" s="2"/>
      <c r="P873" s="2"/>
      <c r="Q873" s="2"/>
      <c r="R873" s="2"/>
    </row>
    <row r="874">
      <c r="A874" s="2"/>
      <c r="B874" s="2"/>
      <c r="C874" s="2"/>
      <c r="D874" s="2"/>
      <c r="E874" s="2"/>
      <c r="F874" s="2"/>
      <c r="G874" s="2"/>
      <c r="H874" s="2"/>
      <c r="I874" s="2"/>
      <c r="J874" s="2"/>
      <c r="K874" s="2"/>
      <c r="L874" s="2"/>
      <c r="M874" s="2"/>
      <c r="N874" s="2"/>
      <c r="O874" s="2"/>
      <c r="P874" s="2"/>
      <c r="Q874" s="2"/>
      <c r="R874" s="2"/>
    </row>
    <row r="875">
      <c r="A875" s="2"/>
      <c r="B875" s="2"/>
      <c r="C875" s="2"/>
      <c r="D875" s="2"/>
      <c r="E875" s="2"/>
      <c r="F875" s="2"/>
      <c r="G875" s="2"/>
      <c r="H875" s="2"/>
      <c r="I875" s="2"/>
      <c r="J875" s="2"/>
      <c r="K875" s="2"/>
      <c r="L875" s="2"/>
      <c r="M875" s="2"/>
      <c r="N875" s="2"/>
      <c r="O875" s="2"/>
      <c r="P875" s="2"/>
      <c r="Q875" s="2"/>
      <c r="R875" s="2"/>
    </row>
    <row r="876">
      <c r="A876" s="2"/>
      <c r="B876" s="2"/>
      <c r="C876" s="2"/>
      <c r="D876" s="2"/>
      <c r="E876" s="2"/>
      <c r="F876" s="2"/>
      <c r="G876" s="2"/>
      <c r="H876" s="2"/>
      <c r="I876" s="2"/>
      <c r="J876" s="2"/>
      <c r="K876" s="2"/>
      <c r="L876" s="2"/>
      <c r="M876" s="2"/>
      <c r="N876" s="2"/>
      <c r="O876" s="2"/>
      <c r="P876" s="2"/>
      <c r="Q876" s="2"/>
      <c r="R876" s="2"/>
    </row>
    <row r="877">
      <c r="A877" s="2"/>
      <c r="B877" s="2"/>
      <c r="C877" s="2"/>
      <c r="D877" s="2"/>
      <c r="E877" s="2"/>
      <c r="F877" s="2"/>
      <c r="G877" s="2"/>
      <c r="H877" s="2"/>
      <c r="I877" s="2"/>
      <c r="J877" s="2"/>
      <c r="K877" s="2"/>
      <c r="L877" s="2"/>
      <c r="M877" s="2"/>
      <c r="N877" s="2"/>
      <c r="O877" s="2"/>
      <c r="P877" s="2"/>
      <c r="Q877" s="2"/>
      <c r="R877" s="2"/>
    </row>
    <row r="878">
      <c r="A878" s="2"/>
      <c r="B878" s="2"/>
      <c r="C878" s="2"/>
      <c r="D878" s="2"/>
      <c r="E878" s="2"/>
      <c r="F878" s="2"/>
      <c r="G878" s="2"/>
      <c r="H878" s="2"/>
      <c r="I878" s="2"/>
      <c r="J878" s="2"/>
      <c r="K878" s="2"/>
      <c r="L878" s="2"/>
      <c r="M878" s="2"/>
      <c r="N878" s="2"/>
      <c r="O878" s="2"/>
      <c r="P878" s="2"/>
      <c r="Q878" s="2"/>
      <c r="R878" s="2"/>
    </row>
    <row r="879">
      <c r="A879" s="2"/>
      <c r="B879" s="2"/>
      <c r="C879" s="2"/>
      <c r="D879" s="2"/>
      <c r="E879" s="2"/>
      <c r="F879" s="2"/>
      <c r="G879" s="2"/>
      <c r="H879" s="2"/>
      <c r="I879" s="2"/>
      <c r="J879" s="2"/>
      <c r="K879" s="2"/>
      <c r="L879" s="2"/>
      <c r="M879" s="2"/>
      <c r="N879" s="2"/>
      <c r="O879" s="2"/>
      <c r="P879" s="2"/>
      <c r="Q879" s="2"/>
      <c r="R879" s="2"/>
    </row>
    <row r="880">
      <c r="A880" s="2"/>
      <c r="B880" s="2"/>
      <c r="C880" s="2"/>
      <c r="D880" s="2"/>
      <c r="E880" s="2"/>
      <c r="F880" s="2"/>
      <c r="G880" s="2"/>
      <c r="H880" s="2"/>
      <c r="I880" s="2"/>
      <c r="J880" s="2"/>
      <c r="K880" s="2"/>
      <c r="L880" s="2"/>
      <c r="M880" s="2"/>
      <c r="N880" s="2"/>
      <c r="O880" s="2"/>
      <c r="P880" s="2"/>
      <c r="Q880" s="2"/>
      <c r="R880" s="2"/>
    </row>
    <row r="881">
      <c r="A881" s="2"/>
      <c r="B881" s="2"/>
      <c r="C881" s="2"/>
      <c r="D881" s="2"/>
      <c r="E881" s="2"/>
      <c r="F881" s="2"/>
      <c r="G881" s="2"/>
      <c r="H881" s="2"/>
      <c r="I881" s="2"/>
      <c r="J881" s="2"/>
      <c r="K881" s="2"/>
      <c r="L881" s="2"/>
      <c r="M881" s="2"/>
      <c r="N881" s="2"/>
      <c r="O881" s="2"/>
      <c r="P881" s="2"/>
      <c r="Q881" s="2"/>
      <c r="R881" s="2"/>
    </row>
    <row r="882">
      <c r="A882" s="2"/>
      <c r="B882" s="2"/>
      <c r="C882" s="2"/>
      <c r="D882" s="2"/>
      <c r="E882" s="2"/>
      <c r="F882" s="2"/>
      <c r="G882" s="2"/>
      <c r="H882" s="2"/>
      <c r="I882" s="2"/>
      <c r="J882" s="2"/>
      <c r="K882" s="2"/>
      <c r="L882" s="2"/>
      <c r="M882" s="2"/>
      <c r="N882" s="2"/>
      <c r="O882" s="2"/>
      <c r="P882" s="2"/>
      <c r="Q882" s="2"/>
      <c r="R882" s="2"/>
    </row>
    <row r="883">
      <c r="A883" s="2"/>
      <c r="B883" s="2"/>
      <c r="C883" s="2"/>
      <c r="D883" s="2"/>
      <c r="E883" s="2"/>
      <c r="F883" s="2"/>
      <c r="G883" s="2"/>
      <c r="H883" s="2"/>
      <c r="I883" s="2"/>
      <c r="J883" s="2"/>
      <c r="K883" s="2"/>
      <c r="L883" s="2"/>
      <c r="M883" s="2"/>
      <c r="N883" s="2"/>
      <c r="O883" s="2"/>
      <c r="P883" s="2"/>
      <c r="Q883" s="2"/>
      <c r="R883" s="2"/>
    </row>
    <row r="884">
      <c r="A884" s="2"/>
      <c r="B884" s="2"/>
      <c r="C884" s="2"/>
      <c r="D884" s="2"/>
      <c r="E884" s="2"/>
      <c r="F884" s="2"/>
      <c r="G884" s="2"/>
      <c r="H884" s="2"/>
      <c r="I884" s="2"/>
      <c r="J884" s="2"/>
      <c r="K884" s="2"/>
      <c r="L884" s="2"/>
      <c r="M884" s="2"/>
      <c r="N884" s="2"/>
      <c r="O884" s="2"/>
      <c r="P884" s="2"/>
      <c r="Q884" s="2"/>
      <c r="R884" s="2"/>
    </row>
    <row r="885">
      <c r="A885" s="2"/>
      <c r="B885" s="2"/>
      <c r="C885" s="2"/>
      <c r="D885" s="2"/>
      <c r="E885" s="2"/>
      <c r="F885" s="2"/>
      <c r="G885" s="2"/>
      <c r="H885" s="2"/>
      <c r="I885" s="2"/>
      <c r="J885" s="2"/>
      <c r="K885" s="2"/>
      <c r="L885" s="2"/>
      <c r="M885" s="2"/>
      <c r="N885" s="2"/>
      <c r="O885" s="2"/>
      <c r="P885" s="2"/>
      <c r="Q885" s="2"/>
      <c r="R885" s="2"/>
    </row>
    <row r="886">
      <c r="A886" s="2"/>
      <c r="B886" s="2"/>
      <c r="C886" s="2"/>
      <c r="D886" s="2"/>
      <c r="E886" s="2"/>
      <c r="F886" s="2"/>
      <c r="G886" s="2"/>
      <c r="H886" s="2"/>
      <c r="I886" s="2"/>
      <c r="J886" s="2"/>
      <c r="K886" s="2"/>
      <c r="L886" s="2"/>
      <c r="M886" s="2"/>
      <c r="N886" s="2"/>
      <c r="O886" s="2"/>
      <c r="P886" s="2"/>
      <c r="Q886" s="2"/>
      <c r="R886" s="2"/>
    </row>
    <row r="887">
      <c r="A887" s="2"/>
      <c r="B887" s="2"/>
      <c r="C887" s="2"/>
      <c r="D887" s="2"/>
      <c r="E887" s="2"/>
      <c r="F887" s="2"/>
      <c r="G887" s="2"/>
      <c r="H887" s="2"/>
      <c r="I887" s="2"/>
      <c r="J887" s="2"/>
      <c r="K887" s="2"/>
      <c r="L887" s="2"/>
      <c r="M887" s="2"/>
      <c r="N887" s="2"/>
      <c r="O887" s="2"/>
      <c r="P887" s="2"/>
      <c r="Q887" s="2"/>
      <c r="R887" s="2"/>
    </row>
    <row r="888">
      <c r="A888" s="2"/>
      <c r="B888" s="2"/>
      <c r="C888" s="2"/>
      <c r="D888" s="2"/>
      <c r="E888" s="2"/>
      <c r="F888" s="2"/>
      <c r="G888" s="2"/>
      <c r="H888" s="2"/>
      <c r="I888" s="2"/>
      <c r="J888" s="2"/>
      <c r="K888" s="2"/>
      <c r="L888" s="2"/>
      <c r="M888" s="2"/>
      <c r="N888" s="2"/>
      <c r="O888" s="2"/>
      <c r="P888" s="2"/>
      <c r="Q888" s="2"/>
      <c r="R888" s="2"/>
    </row>
    <row r="889">
      <c r="A889" s="2"/>
      <c r="B889" s="2"/>
      <c r="C889" s="2"/>
      <c r="D889" s="2"/>
      <c r="E889" s="2"/>
      <c r="F889" s="2"/>
      <c r="G889" s="2"/>
      <c r="H889" s="2"/>
      <c r="I889" s="2"/>
      <c r="J889" s="2"/>
      <c r="K889" s="2"/>
      <c r="L889" s="2"/>
      <c r="M889" s="2"/>
      <c r="N889" s="2"/>
      <c r="O889" s="2"/>
      <c r="P889" s="2"/>
      <c r="Q889" s="2"/>
      <c r="R889" s="2"/>
    </row>
    <row r="890">
      <c r="A890" s="2"/>
      <c r="B890" s="2"/>
      <c r="C890" s="2"/>
      <c r="D890" s="2"/>
      <c r="E890" s="2"/>
      <c r="F890" s="2"/>
      <c r="G890" s="2"/>
      <c r="H890" s="2"/>
      <c r="I890" s="2"/>
      <c r="J890" s="2"/>
      <c r="K890" s="2"/>
      <c r="L890" s="2"/>
      <c r="M890" s="2"/>
      <c r="N890" s="2"/>
      <c r="O890" s="2"/>
      <c r="P890" s="2"/>
      <c r="Q890" s="2"/>
      <c r="R890" s="2"/>
    </row>
    <row r="891">
      <c r="A891" s="2"/>
      <c r="B891" s="2"/>
      <c r="C891" s="2"/>
      <c r="D891" s="2"/>
      <c r="E891" s="2"/>
      <c r="F891" s="2"/>
      <c r="G891" s="2"/>
      <c r="H891" s="2"/>
      <c r="I891" s="2"/>
      <c r="J891" s="2"/>
      <c r="K891" s="2"/>
      <c r="L891" s="2"/>
      <c r="M891" s="2"/>
      <c r="N891" s="2"/>
      <c r="O891" s="2"/>
      <c r="P891" s="2"/>
      <c r="Q891" s="2"/>
      <c r="R891" s="2"/>
    </row>
    <row r="892">
      <c r="A892" s="2"/>
      <c r="B892" s="2"/>
      <c r="C892" s="2"/>
      <c r="D892" s="2"/>
      <c r="E892" s="2"/>
      <c r="F892" s="2"/>
      <c r="G892" s="2"/>
      <c r="H892" s="2"/>
      <c r="I892" s="2"/>
      <c r="J892" s="2"/>
      <c r="K892" s="2"/>
      <c r="L892" s="2"/>
      <c r="M892" s="2"/>
      <c r="N892" s="2"/>
      <c r="O892" s="2"/>
      <c r="P892" s="2"/>
      <c r="Q892" s="2"/>
      <c r="R892" s="2"/>
    </row>
    <row r="893">
      <c r="A893" s="2"/>
      <c r="B893" s="2"/>
      <c r="C893" s="2"/>
      <c r="D893" s="2"/>
      <c r="E893" s="2"/>
      <c r="F893" s="2"/>
      <c r="G893" s="2"/>
      <c r="H893" s="2"/>
      <c r="I893" s="2"/>
      <c r="J893" s="2"/>
      <c r="K893" s="2"/>
      <c r="L893" s="2"/>
      <c r="M893" s="2"/>
      <c r="N893" s="2"/>
      <c r="O893" s="2"/>
      <c r="P893" s="2"/>
      <c r="Q893" s="2"/>
      <c r="R893" s="2"/>
    </row>
    <row r="894">
      <c r="A894" s="2"/>
      <c r="B894" s="2"/>
      <c r="C894" s="2"/>
      <c r="D894" s="2"/>
      <c r="E894" s="2"/>
      <c r="F894" s="2"/>
      <c r="G894" s="2"/>
      <c r="H894" s="2"/>
      <c r="I894" s="2"/>
      <c r="J894" s="2"/>
      <c r="K894" s="2"/>
      <c r="L894" s="2"/>
      <c r="M894" s="2"/>
      <c r="N894" s="2"/>
      <c r="O894" s="2"/>
      <c r="P894" s="2"/>
      <c r="Q894" s="2"/>
      <c r="R894" s="2"/>
    </row>
    <row r="895">
      <c r="A895" s="2"/>
      <c r="B895" s="2"/>
      <c r="C895" s="2"/>
      <c r="D895" s="2"/>
      <c r="E895" s="2"/>
      <c r="F895" s="2"/>
      <c r="G895" s="2"/>
      <c r="H895" s="2"/>
      <c r="I895" s="2"/>
      <c r="J895" s="2"/>
      <c r="K895" s="2"/>
      <c r="L895" s="2"/>
      <c r="M895" s="2"/>
      <c r="N895" s="2"/>
      <c r="O895" s="2"/>
      <c r="P895" s="2"/>
      <c r="Q895" s="2"/>
      <c r="R895" s="2"/>
    </row>
    <row r="896">
      <c r="A896" s="2"/>
      <c r="B896" s="2"/>
      <c r="C896" s="2"/>
      <c r="D896" s="2"/>
      <c r="E896" s="2"/>
      <c r="F896" s="2"/>
      <c r="G896" s="2"/>
      <c r="H896" s="2"/>
      <c r="I896" s="2"/>
      <c r="J896" s="2"/>
      <c r="K896" s="2"/>
      <c r="L896" s="2"/>
      <c r="M896" s="2"/>
      <c r="N896" s="2"/>
      <c r="O896" s="2"/>
      <c r="P896" s="2"/>
      <c r="Q896" s="2"/>
      <c r="R896" s="2"/>
    </row>
    <row r="897">
      <c r="A897" s="2"/>
      <c r="B897" s="2"/>
      <c r="C897" s="2"/>
      <c r="D897" s="2"/>
      <c r="E897" s="2"/>
      <c r="F897" s="2"/>
      <c r="G897" s="2"/>
      <c r="H897" s="2"/>
      <c r="I897" s="2"/>
      <c r="J897" s="2"/>
      <c r="K897" s="2"/>
      <c r="L897" s="2"/>
      <c r="M897" s="2"/>
      <c r="N897" s="2"/>
      <c r="O897" s="2"/>
      <c r="P897" s="2"/>
      <c r="Q897" s="2"/>
      <c r="R897" s="2"/>
    </row>
    <row r="898">
      <c r="A898" s="2"/>
      <c r="B898" s="2"/>
      <c r="C898" s="2"/>
      <c r="D898" s="2"/>
      <c r="E898" s="2"/>
      <c r="F898" s="2"/>
      <c r="G898" s="2"/>
      <c r="H898" s="2"/>
      <c r="I898" s="2"/>
      <c r="J898" s="2"/>
      <c r="K898" s="2"/>
      <c r="L898" s="2"/>
      <c r="M898" s="2"/>
      <c r="N898" s="2"/>
      <c r="O898" s="2"/>
      <c r="P898" s="2"/>
      <c r="Q898" s="2"/>
      <c r="R898" s="2"/>
    </row>
    <row r="899">
      <c r="A899" s="2"/>
      <c r="B899" s="2"/>
      <c r="C899" s="2"/>
      <c r="D899" s="2"/>
      <c r="E899" s="2"/>
      <c r="F899" s="2"/>
      <c r="G899" s="2"/>
      <c r="H899" s="2"/>
      <c r="I899" s="2"/>
      <c r="J899" s="2"/>
      <c r="K899" s="2"/>
      <c r="L899" s="2"/>
      <c r="M899" s="2"/>
      <c r="N899" s="2"/>
      <c r="O899" s="2"/>
      <c r="P899" s="2"/>
      <c r="Q899" s="2"/>
      <c r="R899" s="2"/>
    </row>
    <row r="900">
      <c r="A900" s="2"/>
      <c r="B900" s="2"/>
      <c r="C900" s="2"/>
      <c r="D900" s="2"/>
      <c r="E900" s="2"/>
      <c r="F900" s="2"/>
      <c r="G900" s="2"/>
      <c r="H900" s="2"/>
      <c r="I900" s="2"/>
      <c r="J900" s="2"/>
      <c r="K900" s="2"/>
      <c r="L900" s="2"/>
      <c r="M900" s="2"/>
      <c r="N900" s="2"/>
      <c r="O900" s="2"/>
      <c r="P900" s="2"/>
      <c r="Q900" s="2"/>
      <c r="R900" s="2"/>
    </row>
    <row r="901">
      <c r="A901" s="2"/>
      <c r="B901" s="2"/>
      <c r="C901" s="2"/>
      <c r="D901" s="2"/>
      <c r="E901" s="2"/>
      <c r="F901" s="2"/>
      <c r="G901" s="2"/>
      <c r="H901" s="2"/>
      <c r="I901" s="2"/>
      <c r="J901" s="2"/>
      <c r="K901" s="2"/>
      <c r="L901" s="2"/>
      <c r="M901" s="2"/>
      <c r="N901" s="2"/>
      <c r="O901" s="2"/>
      <c r="P901" s="2"/>
      <c r="Q901" s="2"/>
      <c r="R901" s="2"/>
    </row>
    <row r="902">
      <c r="A902" s="2"/>
      <c r="B902" s="2"/>
      <c r="C902" s="2"/>
      <c r="D902" s="2"/>
      <c r="E902" s="2"/>
      <c r="F902" s="2"/>
      <c r="G902" s="2"/>
      <c r="H902" s="2"/>
      <c r="I902" s="2"/>
      <c r="J902" s="2"/>
      <c r="K902" s="2"/>
      <c r="L902" s="2"/>
      <c r="M902" s="2"/>
      <c r="N902" s="2"/>
      <c r="O902" s="2"/>
      <c r="P902" s="2"/>
      <c r="Q902" s="2"/>
      <c r="R902" s="2"/>
    </row>
    <row r="903">
      <c r="A903" s="2"/>
      <c r="B903" s="2"/>
      <c r="C903" s="2"/>
      <c r="D903" s="2"/>
      <c r="E903" s="2"/>
      <c r="F903" s="2"/>
      <c r="G903" s="2"/>
      <c r="H903" s="2"/>
      <c r="I903" s="2"/>
      <c r="J903" s="2"/>
      <c r="K903" s="2"/>
      <c r="L903" s="2"/>
      <c r="M903" s="2"/>
      <c r="N903" s="2"/>
      <c r="O903" s="2"/>
      <c r="P903" s="2"/>
      <c r="Q903" s="2"/>
      <c r="R903" s="2"/>
    </row>
    <row r="904">
      <c r="A904" s="2"/>
      <c r="B904" s="2"/>
      <c r="C904" s="2"/>
      <c r="D904" s="2"/>
      <c r="E904" s="2"/>
      <c r="F904" s="2"/>
      <c r="G904" s="2"/>
      <c r="H904" s="2"/>
      <c r="I904" s="2"/>
      <c r="J904" s="2"/>
      <c r="K904" s="2"/>
      <c r="L904" s="2"/>
      <c r="M904" s="2"/>
      <c r="N904" s="2"/>
      <c r="O904" s="2"/>
      <c r="P904" s="2"/>
      <c r="Q904" s="2"/>
      <c r="R904" s="2"/>
    </row>
    <row r="905">
      <c r="A905" s="2"/>
      <c r="B905" s="2"/>
      <c r="C905" s="2"/>
      <c r="D905" s="2"/>
      <c r="E905" s="2"/>
      <c r="F905" s="2"/>
      <c r="G905" s="2"/>
      <c r="H905" s="2"/>
      <c r="I905" s="2"/>
      <c r="J905" s="2"/>
      <c r="K905" s="2"/>
      <c r="L905" s="2"/>
      <c r="M905" s="2"/>
      <c r="N905" s="2"/>
      <c r="O905" s="2"/>
      <c r="P905" s="2"/>
      <c r="Q905" s="2"/>
      <c r="R905" s="2"/>
    </row>
    <row r="906">
      <c r="A906" s="2"/>
      <c r="B906" s="2"/>
      <c r="C906" s="2"/>
      <c r="D906" s="2"/>
      <c r="E906" s="2"/>
      <c r="F906" s="2"/>
      <c r="G906" s="2"/>
      <c r="H906" s="2"/>
      <c r="I906" s="2"/>
      <c r="J906" s="2"/>
      <c r="K906" s="2"/>
      <c r="L906" s="2"/>
      <c r="M906" s="2"/>
      <c r="N906" s="2"/>
      <c r="O906" s="2"/>
      <c r="P906" s="2"/>
      <c r="Q906" s="2"/>
      <c r="R906" s="2"/>
    </row>
    <row r="907">
      <c r="A907" s="2"/>
      <c r="B907" s="2"/>
      <c r="C907" s="2"/>
      <c r="D907" s="2"/>
      <c r="E907" s="2"/>
      <c r="F907" s="2"/>
      <c r="G907" s="2"/>
      <c r="H907" s="2"/>
      <c r="I907" s="2"/>
      <c r="J907" s="2"/>
      <c r="K907" s="2"/>
      <c r="L907" s="2"/>
      <c r="M907" s="2"/>
      <c r="N907" s="2"/>
      <c r="O907" s="2"/>
      <c r="P907" s="2"/>
      <c r="Q907" s="2"/>
      <c r="R907" s="2"/>
    </row>
    <row r="908">
      <c r="A908" s="2"/>
      <c r="B908" s="2"/>
      <c r="C908" s="2"/>
      <c r="D908" s="2"/>
      <c r="E908" s="2"/>
      <c r="F908" s="2"/>
      <c r="G908" s="2"/>
      <c r="H908" s="2"/>
      <c r="I908" s="2"/>
      <c r="J908" s="2"/>
      <c r="K908" s="2"/>
      <c r="L908" s="2"/>
      <c r="M908" s="2"/>
      <c r="N908" s="2"/>
      <c r="O908" s="2"/>
      <c r="P908" s="2"/>
      <c r="Q908" s="2"/>
      <c r="R908" s="2"/>
    </row>
    <row r="909">
      <c r="A909" s="2"/>
      <c r="B909" s="2"/>
      <c r="C909" s="2"/>
      <c r="D909" s="2"/>
      <c r="E909" s="2"/>
      <c r="F909" s="2"/>
      <c r="G909" s="2"/>
      <c r="H909" s="2"/>
      <c r="I909" s="2"/>
      <c r="J909" s="2"/>
      <c r="K909" s="2"/>
      <c r="L909" s="2"/>
      <c r="M909" s="2"/>
      <c r="N909" s="2"/>
      <c r="O909" s="2"/>
      <c r="P909" s="2"/>
      <c r="Q909" s="2"/>
      <c r="R909" s="2"/>
    </row>
    <row r="910">
      <c r="A910" s="2"/>
      <c r="B910" s="2"/>
      <c r="C910" s="2"/>
      <c r="D910" s="2"/>
      <c r="E910" s="2"/>
      <c r="F910" s="2"/>
      <c r="G910" s="2"/>
      <c r="H910" s="2"/>
      <c r="I910" s="2"/>
      <c r="J910" s="2"/>
      <c r="K910" s="2"/>
      <c r="L910" s="2"/>
      <c r="M910" s="2"/>
      <c r="N910" s="2"/>
      <c r="O910" s="2"/>
      <c r="P910" s="2"/>
      <c r="Q910" s="2"/>
      <c r="R910" s="2"/>
    </row>
    <row r="911">
      <c r="A911" s="2"/>
      <c r="B911" s="2"/>
      <c r="C911" s="2"/>
      <c r="D911" s="2"/>
      <c r="E911" s="2"/>
      <c r="F911" s="2"/>
      <c r="G911" s="2"/>
      <c r="H911" s="2"/>
      <c r="I911" s="2"/>
      <c r="J911" s="2"/>
      <c r="K911" s="2"/>
      <c r="L911" s="2"/>
      <c r="M911" s="2"/>
      <c r="N911" s="2"/>
      <c r="O911" s="2"/>
      <c r="P911" s="2"/>
      <c r="Q911" s="2"/>
      <c r="R911" s="2"/>
    </row>
    <row r="912">
      <c r="A912" s="2"/>
      <c r="B912" s="2"/>
      <c r="C912" s="2"/>
      <c r="D912" s="2"/>
      <c r="E912" s="2"/>
      <c r="F912" s="2"/>
      <c r="G912" s="2"/>
      <c r="H912" s="2"/>
      <c r="I912" s="2"/>
      <c r="J912" s="2"/>
      <c r="K912" s="2"/>
      <c r="L912" s="2"/>
      <c r="M912" s="2"/>
      <c r="N912" s="2"/>
      <c r="O912" s="2"/>
      <c r="P912" s="2"/>
      <c r="Q912" s="2"/>
      <c r="R912" s="2"/>
    </row>
    <row r="913">
      <c r="A913" s="2"/>
      <c r="B913" s="2"/>
      <c r="C913" s="2"/>
      <c r="D913" s="2"/>
      <c r="E913" s="2"/>
      <c r="F913" s="2"/>
      <c r="G913" s="2"/>
      <c r="H913" s="2"/>
      <c r="I913" s="2"/>
      <c r="J913" s="2"/>
      <c r="K913" s="2"/>
      <c r="L913" s="2"/>
      <c r="M913" s="2"/>
      <c r="N913" s="2"/>
      <c r="O913" s="2"/>
      <c r="P913" s="2"/>
      <c r="Q913" s="2"/>
      <c r="R913" s="2"/>
    </row>
    <row r="914">
      <c r="A914" s="2"/>
      <c r="B914" s="2"/>
      <c r="C914" s="2"/>
      <c r="D914" s="2"/>
      <c r="E914" s="2"/>
      <c r="F914" s="2"/>
      <c r="G914" s="2"/>
      <c r="H914" s="2"/>
      <c r="I914" s="2"/>
      <c r="J914" s="2"/>
      <c r="K914" s="2"/>
      <c r="L914" s="2"/>
      <c r="M914" s="2"/>
      <c r="N914" s="2"/>
      <c r="O914" s="2"/>
      <c r="P914" s="2"/>
      <c r="Q914" s="2"/>
      <c r="R914" s="2"/>
    </row>
    <row r="915">
      <c r="A915" s="2"/>
      <c r="B915" s="2"/>
      <c r="C915" s="2"/>
      <c r="D915" s="2"/>
      <c r="E915" s="2"/>
      <c r="F915" s="2"/>
      <c r="G915" s="2"/>
      <c r="H915" s="2"/>
      <c r="I915" s="2"/>
      <c r="J915" s="2"/>
      <c r="K915" s="2"/>
      <c r="L915" s="2"/>
      <c r="M915" s="2"/>
      <c r="N915" s="2"/>
      <c r="O915" s="2"/>
      <c r="P915" s="2"/>
      <c r="Q915" s="2"/>
      <c r="R915" s="2"/>
    </row>
    <row r="916">
      <c r="A916" s="2"/>
      <c r="B916" s="2"/>
      <c r="C916" s="2"/>
      <c r="D916" s="2"/>
      <c r="E916" s="2"/>
      <c r="F916" s="2"/>
      <c r="G916" s="2"/>
      <c r="H916" s="2"/>
      <c r="I916" s="2"/>
      <c r="J916" s="2"/>
      <c r="K916" s="2"/>
      <c r="L916" s="2"/>
      <c r="M916" s="2"/>
      <c r="N916" s="2"/>
      <c r="O916" s="2"/>
      <c r="P916" s="2"/>
      <c r="Q916" s="2"/>
      <c r="R916" s="2"/>
    </row>
    <row r="917">
      <c r="A917" s="2"/>
      <c r="B917" s="2"/>
      <c r="C917" s="2"/>
      <c r="D917" s="2"/>
      <c r="E917" s="2"/>
      <c r="F917" s="2"/>
      <c r="G917" s="2"/>
      <c r="H917" s="2"/>
      <c r="I917" s="2"/>
      <c r="J917" s="2"/>
      <c r="K917" s="2"/>
      <c r="L917" s="2"/>
      <c r="M917" s="2"/>
      <c r="N917" s="2"/>
      <c r="O917" s="2"/>
      <c r="P917" s="2"/>
      <c r="Q917" s="2"/>
      <c r="R917" s="2"/>
    </row>
    <row r="918">
      <c r="A918" s="2"/>
      <c r="B918" s="2"/>
      <c r="C918" s="2"/>
      <c r="D918" s="2"/>
      <c r="E918" s="2"/>
      <c r="F918" s="2"/>
      <c r="G918" s="2"/>
      <c r="H918" s="2"/>
      <c r="I918" s="2"/>
      <c r="J918" s="2"/>
      <c r="K918" s="2"/>
      <c r="L918" s="2"/>
      <c r="M918" s="2"/>
      <c r="N918" s="2"/>
      <c r="O918" s="2"/>
      <c r="P918" s="2"/>
      <c r="Q918" s="2"/>
      <c r="R918" s="2"/>
    </row>
    <row r="919">
      <c r="A919" s="2"/>
      <c r="B919" s="2"/>
      <c r="C919" s="2"/>
      <c r="D919" s="2"/>
      <c r="E919" s="2"/>
      <c r="F919" s="2"/>
      <c r="G919" s="2"/>
      <c r="H919" s="2"/>
      <c r="I919" s="2"/>
      <c r="J919" s="2"/>
      <c r="K919" s="2"/>
      <c r="L919" s="2"/>
      <c r="M919" s="2"/>
      <c r="N919" s="2"/>
      <c r="O919" s="2"/>
      <c r="P919" s="2"/>
      <c r="Q919" s="2"/>
      <c r="R919" s="2"/>
    </row>
    <row r="920">
      <c r="A920" s="2"/>
      <c r="B920" s="2"/>
      <c r="C920" s="2"/>
      <c r="D920" s="2"/>
      <c r="E920" s="2"/>
      <c r="F920" s="2"/>
      <c r="G920" s="2"/>
      <c r="H920" s="2"/>
      <c r="I920" s="2"/>
      <c r="J920" s="2"/>
      <c r="K920" s="2"/>
      <c r="L920" s="2"/>
      <c r="M920" s="2"/>
      <c r="N920" s="2"/>
      <c r="O920" s="2"/>
      <c r="P920" s="2"/>
      <c r="Q920" s="2"/>
      <c r="R920" s="2"/>
    </row>
    <row r="921">
      <c r="A921" s="2"/>
      <c r="B921" s="2"/>
      <c r="C921" s="2"/>
      <c r="D921" s="2"/>
      <c r="E921" s="2"/>
      <c r="F921" s="2"/>
      <c r="G921" s="2"/>
      <c r="H921" s="2"/>
      <c r="I921" s="2"/>
      <c r="J921" s="2"/>
      <c r="K921" s="2"/>
      <c r="L921" s="2"/>
      <c r="M921" s="2"/>
      <c r="N921" s="2"/>
      <c r="O921" s="2"/>
      <c r="P921" s="2"/>
      <c r="Q921" s="2"/>
      <c r="R921" s="2"/>
    </row>
    <row r="922">
      <c r="A922" s="2"/>
      <c r="B922" s="2"/>
      <c r="C922" s="2"/>
      <c r="D922" s="2"/>
      <c r="E922" s="2"/>
      <c r="F922" s="2"/>
      <c r="G922" s="2"/>
      <c r="H922" s="2"/>
      <c r="I922" s="2"/>
      <c r="J922" s="2"/>
      <c r="K922" s="2"/>
      <c r="L922" s="2"/>
      <c r="M922" s="2"/>
      <c r="N922" s="2"/>
      <c r="O922" s="2"/>
      <c r="P922" s="2"/>
      <c r="Q922" s="2"/>
      <c r="R922" s="2"/>
    </row>
    <row r="923">
      <c r="A923" s="2"/>
      <c r="B923" s="2"/>
      <c r="C923" s="2"/>
      <c r="D923" s="2"/>
      <c r="E923" s="2"/>
      <c r="F923" s="2"/>
      <c r="G923" s="2"/>
      <c r="H923" s="2"/>
      <c r="I923" s="2"/>
      <c r="J923" s="2"/>
      <c r="K923" s="2"/>
      <c r="L923" s="2"/>
      <c r="M923" s="2"/>
      <c r="N923" s="2"/>
      <c r="O923" s="2"/>
      <c r="P923" s="2"/>
      <c r="Q923" s="2"/>
      <c r="R923" s="2"/>
    </row>
    <row r="924">
      <c r="A924" s="2"/>
      <c r="B924" s="2"/>
      <c r="C924" s="2"/>
      <c r="D924" s="2"/>
      <c r="E924" s="2"/>
      <c r="F924" s="2"/>
      <c r="G924" s="2"/>
      <c r="H924" s="2"/>
      <c r="I924" s="2"/>
      <c r="J924" s="2"/>
      <c r="K924" s="2"/>
      <c r="L924" s="2"/>
      <c r="M924" s="2"/>
      <c r="N924" s="2"/>
      <c r="O924" s="2"/>
      <c r="P924" s="2"/>
      <c r="Q924" s="2"/>
      <c r="R924" s="2"/>
    </row>
    <row r="925">
      <c r="A925" s="2"/>
      <c r="B925" s="2"/>
      <c r="C925" s="2"/>
      <c r="D925" s="2"/>
      <c r="E925" s="2"/>
      <c r="F925" s="2"/>
      <c r="G925" s="2"/>
      <c r="H925" s="2"/>
      <c r="I925" s="2"/>
      <c r="J925" s="2"/>
      <c r="K925" s="2"/>
      <c r="L925" s="2"/>
      <c r="M925" s="2"/>
      <c r="N925" s="2"/>
      <c r="O925" s="2"/>
      <c r="P925" s="2"/>
      <c r="Q925" s="2"/>
      <c r="R925" s="2"/>
    </row>
    <row r="926">
      <c r="A926" s="2"/>
      <c r="B926" s="2"/>
      <c r="C926" s="2"/>
      <c r="D926" s="2"/>
      <c r="E926" s="2"/>
      <c r="F926" s="2"/>
      <c r="G926" s="2"/>
      <c r="H926" s="2"/>
      <c r="I926" s="2"/>
      <c r="J926" s="2"/>
      <c r="K926" s="2"/>
      <c r="L926" s="2"/>
      <c r="M926" s="2"/>
      <c r="N926" s="2"/>
      <c r="O926" s="2"/>
      <c r="P926" s="2"/>
      <c r="Q926" s="2"/>
      <c r="R926" s="2"/>
    </row>
    <row r="927">
      <c r="A927" s="2"/>
      <c r="B927" s="2"/>
      <c r="C927" s="2"/>
      <c r="D927" s="2"/>
      <c r="E927" s="2"/>
      <c r="F927" s="2"/>
      <c r="G927" s="2"/>
      <c r="H927" s="2"/>
      <c r="I927" s="2"/>
      <c r="J927" s="2"/>
      <c r="K927" s="2"/>
      <c r="L927" s="2"/>
      <c r="M927" s="2"/>
      <c r="N927" s="2"/>
      <c r="O927" s="2"/>
      <c r="P927" s="2"/>
      <c r="Q927" s="2"/>
      <c r="R927" s="2"/>
    </row>
    <row r="928">
      <c r="A928" s="2"/>
      <c r="B928" s="2"/>
      <c r="C928" s="2"/>
      <c r="D928" s="2"/>
      <c r="E928" s="2"/>
      <c r="F928" s="2"/>
      <c r="G928" s="2"/>
      <c r="H928" s="2"/>
      <c r="I928" s="2"/>
      <c r="J928" s="2"/>
      <c r="K928" s="2"/>
      <c r="L928" s="2"/>
      <c r="M928" s="2"/>
      <c r="N928" s="2"/>
      <c r="O928" s="2"/>
      <c r="P928" s="2"/>
      <c r="Q928" s="2"/>
      <c r="R928" s="2"/>
    </row>
    <row r="929">
      <c r="A929" s="2"/>
      <c r="B929" s="2"/>
      <c r="C929" s="2"/>
      <c r="D929" s="2"/>
      <c r="E929" s="2"/>
      <c r="F929" s="2"/>
      <c r="G929" s="2"/>
      <c r="H929" s="2"/>
      <c r="I929" s="2"/>
      <c r="J929" s="2"/>
      <c r="K929" s="2"/>
      <c r="L929" s="2"/>
      <c r="M929" s="2"/>
      <c r="N929" s="2"/>
      <c r="O929" s="2"/>
      <c r="P929" s="2"/>
      <c r="Q929" s="2"/>
      <c r="R929" s="2"/>
    </row>
    <row r="930">
      <c r="A930" s="2"/>
      <c r="B930" s="2"/>
      <c r="C930" s="2"/>
      <c r="D930" s="2"/>
      <c r="E930" s="2"/>
      <c r="F930" s="2"/>
      <c r="G930" s="2"/>
      <c r="H930" s="2"/>
      <c r="I930" s="2"/>
      <c r="J930" s="2"/>
      <c r="K930" s="2"/>
      <c r="L930" s="2"/>
      <c r="M930" s="2"/>
      <c r="N930" s="2"/>
      <c r="O930" s="2"/>
      <c r="P930" s="2"/>
      <c r="Q930" s="2"/>
      <c r="R930" s="2"/>
    </row>
    <row r="931">
      <c r="A931" s="2"/>
      <c r="B931" s="2"/>
      <c r="C931" s="2"/>
      <c r="D931" s="2"/>
      <c r="E931" s="2"/>
      <c r="F931" s="2"/>
      <c r="G931" s="2"/>
      <c r="H931" s="2"/>
      <c r="I931" s="2"/>
      <c r="J931" s="2"/>
      <c r="K931" s="2"/>
      <c r="L931" s="2"/>
      <c r="M931" s="2"/>
      <c r="N931" s="2"/>
      <c r="O931" s="2"/>
      <c r="P931" s="2"/>
      <c r="Q931" s="2"/>
      <c r="R931" s="2"/>
    </row>
    <row r="932">
      <c r="A932" s="2"/>
      <c r="B932" s="2"/>
      <c r="C932" s="2"/>
      <c r="D932" s="2"/>
      <c r="E932" s="2"/>
      <c r="F932" s="2"/>
      <c r="G932" s="2"/>
      <c r="H932" s="2"/>
      <c r="I932" s="2"/>
      <c r="J932" s="2"/>
      <c r="K932" s="2"/>
      <c r="L932" s="2"/>
      <c r="M932" s="2"/>
      <c r="N932" s="2"/>
      <c r="O932" s="2"/>
      <c r="P932" s="2"/>
      <c r="Q932" s="2"/>
      <c r="R932" s="2"/>
    </row>
    <row r="933">
      <c r="A933" s="2"/>
      <c r="B933" s="2"/>
      <c r="C933" s="2"/>
      <c r="D933" s="2"/>
      <c r="E933" s="2"/>
      <c r="F933" s="2"/>
      <c r="G933" s="2"/>
      <c r="H933" s="2"/>
      <c r="I933" s="2"/>
      <c r="J933" s="2"/>
      <c r="K933" s="2"/>
      <c r="L933" s="2"/>
      <c r="M933" s="2"/>
      <c r="N933" s="2"/>
      <c r="O933" s="2"/>
      <c r="P933" s="2"/>
      <c r="Q933" s="2"/>
      <c r="R933" s="2"/>
    </row>
    <row r="934">
      <c r="A934" s="2"/>
      <c r="B934" s="2"/>
      <c r="C934" s="2"/>
      <c r="D934" s="2"/>
      <c r="E934" s="2"/>
      <c r="F934" s="2"/>
      <c r="G934" s="2"/>
      <c r="H934" s="2"/>
      <c r="I934" s="2"/>
      <c r="J934" s="2"/>
      <c r="K934" s="2"/>
      <c r="L934" s="2"/>
      <c r="M934" s="2"/>
      <c r="N934" s="2"/>
      <c r="O934" s="2"/>
      <c r="P934" s="2"/>
      <c r="Q934" s="2"/>
      <c r="R934" s="2"/>
    </row>
    <row r="935">
      <c r="A935" s="2"/>
      <c r="B935" s="2"/>
      <c r="C935" s="2"/>
      <c r="D935" s="2"/>
      <c r="E935" s="2"/>
      <c r="F935" s="2"/>
      <c r="G935" s="2"/>
      <c r="H935" s="2"/>
      <c r="I935" s="2"/>
      <c r="J935" s="2"/>
      <c r="K935" s="2"/>
      <c r="L935" s="2"/>
      <c r="M935" s="2"/>
      <c r="N935" s="2"/>
      <c r="O935" s="2"/>
      <c r="P935" s="2"/>
      <c r="Q935" s="2"/>
      <c r="R935" s="2"/>
    </row>
    <row r="936">
      <c r="A936" s="2"/>
      <c r="B936" s="2"/>
      <c r="C936" s="2"/>
      <c r="D936" s="2"/>
      <c r="E936" s="2"/>
      <c r="F936" s="2"/>
      <c r="G936" s="2"/>
      <c r="H936" s="2"/>
      <c r="I936" s="2"/>
      <c r="J936" s="2"/>
      <c r="K936" s="2"/>
      <c r="L936" s="2"/>
      <c r="M936" s="2"/>
      <c r="N936" s="2"/>
      <c r="O936" s="2"/>
      <c r="P936" s="2"/>
      <c r="Q936" s="2"/>
      <c r="R936" s="2"/>
    </row>
    <row r="937">
      <c r="A937" s="2"/>
      <c r="B937" s="2"/>
      <c r="C937" s="2"/>
      <c r="D937" s="2"/>
      <c r="E937" s="2"/>
      <c r="F937" s="2"/>
      <c r="G937" s="2"/>
      <c r="H937" s="2"/>
      <c r="I937" s="2"/>
      <c r="J937" s="2"/>
      <c r="K937" s="2"/>
      <c r="L937" s="2"/>
      <c r="M937" s="2"/>
      <c r="N937" s="2"/>
      <c r="O937" s="2"/>
      <c r="P937" s="2"/>
      <c r="Q937" s="2"/>
      <c r="R937" s="2"/>
    </row>
    <row r="938">
      <c r="A938" s="2"/>
      <c r="B938" s="2"/>
      <c r="C938" s="2"/>
      <c r="D938" s="2"/>
      <c r="E938" s="2"/>
      <c r="F938" s="2"/>
      <c r="G938" s="2"/>
      <c r="H938" s="2"/>
      <c r="I938" s="2"/>
      <c r="J938" s="2"/>
      <c r="K938" s="2"/>
      <c r="L938" s="2"/>
      <c r="M938" s="2"/>
      <c r="N938" s="2"/>
      <c r="O938" s="2"/>
      <c r="P938" s="2"/>
      <c r="Q938" s="2"/>
      <c r="R938" s="2"/>
    </row>
    <row r="939">
      <c r="A939" s="2"/>
      <c r="B939" s="2"/>
      <c r="C939" s="2"/>
      <c r="D939" s="2"/>
      <c r="E939" s="2"/>
      <c r="F939" s="2"/>
      <c r="G939" s="2"/>
      <c r="H939" s="2"/>
      <c r="I939" s="2"/>
      <c r="J939" s="2"/>
      <c r="K939" s="2"/>
      <c r="L939" s="2"/>
      <c r="M939" s="2"/>
      <c r="N939" s="2"/>
      <c r="O939" s="2"/>
      <c r="P939" s="2"/>
      <c r="Q939" s="2"/>
      <c r="R939" s="2"/>
    </row>
    <row r="940">
      <c r="A940" s="2"/>
      <c r="B940" s="2"/>
      <c r="C940" s="2"/>
      <c r="D940" s="2"/>
      <c r="E940" s="2"/>
      <c r="F940" s="2"/>
      <c r="G940" s="2"/>
      <c r="H940" s="2"/>
      <c r="I940" s="2"/>
      <c r="J940" s="2"/>
      <c r="K940" s="2"/>
      <c r="L940" s="2"/>
      <c r="M940" s="2"/>
      <c r="N940" s="2"/>
      <c r="O940" s="2"/>
      <c r="P940" s="2"/>
      <c r="Q940" s="2"/>
      <c r="R940" s="2"/>
    </row>
    <row r="941">
      <c r="A941" s="2"/>
      <c r="B941" s="2"/>
      <c r="C941" s="2"/>
      <c r="D941" s="2"/>
      <c r="E941" s="2"/>
      <c r="F941" s="2"/>
      <c r="G941" s="2"/>
      <c r="H941" s="2"/>
      <c r="I941" s="2"/>
      <c r="J941" s="2"/>
      <c r="K941" s="2"/>
      <c r="L941" s="2"/>
      <c r="M941" s="2"/>
      <c r="N941" s="2"/>
      <c r="O941" s="2"/>
      <c r="P941" s="2"/>
      <c r="Q941" s="2"/>
      <c r="R941" s="2"/>
    </row>
    <row r="942">
      <c r="A942" s="2"/>
      <c r="B942" s="2"/>
      <c r="C942" s="2"/>
      <c r="D942" s="2"/>
      <c r="E942" s="2"/>
      <c r="F942" s="2"/>
      <c r="G942" s="2"/>
      <c r="H942" s="2"/>
      <c r="I942" s="2"/>
      <c r="J942" s="2"/>
      <c r="K942" s="2"/>
      <c r="L942" s="2"/>
      <c r="M942" s="2"/>
      <c r="N942" s="2"/>
      <c r="O942" s="2"/>
      <c r="P942" s="2"/>
      <c r="Q942" s="2"/>
      <c r="R942" s="2"/>
    </row>
    <row r="943">
      <c r="A943" s="2"/>
      <c r="B943" s="2"/>
      <c r="C943" s="2"/>
      <c r="D943" s="2"/>
      <c r="E943" s="2"/>
      <c r="F943" s="2"/>
      <c r="G943" s="2"/>
      <c r="H943" s="2"/>
      <c r="I943" s="2"/>
      <c r="J943" s="2"/>
      <c r="K943" s="2"/>
      <c r="L943" s="2"/>
      <c r="M943" s="2"/>
      <c r="N943" s="2"/>
      <c r="O943" s="2"/>
      <c r="P943" s="2"/>
      <c r="Q943" s="2"/>
      <c r="R943" s="2"/>
    </row>
    <row r="944">
      <c r="A944" s="2"/>
      <c r="B944" s="2"/>
      <c r="C944" s="2"/>
      <c r="D944" s="2"/>
      <c r="E944" s="2"/>
      <c r="F944" s="2"/>
      <c r="G944" s="2"/>
      <c r="H944" s="2"/>
      <c r="I944" s="2"/>
      <c r="J944" s="2"/>
      <c r="K944" s="2"/>
      <c r="L944" s="2"/>
      <c r="M944" s="2"/>
      <c r="N944" s="2"/>
      <c r="O944" s="2"/>
      <c r="P944" s="2"/>
      <c r="Q944" s="2"/>
      <c r="R944" s="2"/>
    </row>
    <row r="945">
      <c r="A945" s="2"/>
      <c r="B945" s="2"/>
      <c r="C945" s="2"/>
      <c r="D945" s="2"/>
      <c r="E945" s="2"/>
      <c r="F945" s="2"/>
      <c r="G945" s="2"/>
      <c r="H945" s="2"/>
      <c r="I945" s="2"/>
      <c r="J945" s="2"/>
      <c r="K945" s="2"/>
      <c r="L945" s="2"/>
      <c r="M945" s="2"/>
      <c r="N945" s="2"/>
      <c r="O945" s="2"/>
      <c r="P945" s="2"/>
      <c r="Q945" s="2"/>
      <c r="R945" s="2"/>
    </row>
    <row r="946">
      <c r="A946" s="2"/>
      <c r="B946" s="2"/>
      <c r="C946" s="2"/>
      <c r="D946" s="2"/>
      <c r="E946" s="2"/>
      <c r="F946" s="2"/>
      <c r="G946" s="2"/>
      <c r="H946" s="2"/>
      <c r="I946" s="2"/>
      <c r="J946" s="2"/>
      <c r="K946" s="2"/>
      <c r="L946" s="2"/>
      <c r="M946" s="2"/>
      <c r="N946" s="2"/>
      <c r="O946" s="2"/>
      <c r="P946" s="2"/>
      <c r="Q946" s="2"/>
      <c r="R946" s="2"/>
    </row>
    <row r="947">
      <c r="A947" s="2"/>
      <c r="B947" s="2"/>
      <c r="C947" s="2"/>
      <c r="D947" s="2"/>
      <c r="E947" s="2"/>
      <c r="F947" s="2"/>
      <c r="G947" s="2"/>
      <c r="H947" s="2"/>
      <c r="I947" s="2"/>
      <c r="J947" s="2"/>
      <c r="K947" s="2"/>
      <c r="L947" s="2"/>
      <c r="M947" s="2"/>
      <c r="N947" s="2"/>
      <c r="O947" s="2"/>
      <c r="P947" s="2"/>
      <c r="Q947" s="2"/>
      <c r="R947" s="2"/>
    </row>
    <row r="948">
      <c r="A948" s="2"/>
      <c r="B948" s="2"/>
      <c r="C948" s="2"/>
      <c r="D948" s="2"/>
      <c r="E948" s="2"/>
      <c r="F948" s="2"/>
      <c r="G948" s="2"/>
      <c r="H948" s="2"/>
      <c r="I948" s="2"/>
      <c r="J948" s="2"/>
      <c r="K948" s="2"/>
      <c r="L948" s="2"/>
      <c r="M948" s="2"/>
      <c r="N948" s="2"/>
      <c r="O948" s="2"/>
      <c r="P948" s="2"/>
      <c r="Q948" s="2"/>
      <c r="R948" s="2"/>
    </row>
    <row r="949">
      <c r="A949" s="2"/>
      <c r="B949" s="2"/>
      <c r="C949" s="2"/>
      <c r="D949" s="2"/>
      <c r="E949" s="2"/>
      <c r="F949" s="2"/>
      <c r="G949" s="2"/>
      <c r="H949" s="2"/>
      <c r="I949" s="2"/>
      <c r="J949" s="2"/>
      <c r="K949" s="2"/>
      <c r="L949" s="2"/>
      <c r="M949" s="2"/>
      <c r="N949" s="2"/>
      <c r="O949" s="2"/>
      <c r="P949" s="2"/>
      <c r="Q949" s="2"/>
      <c r="R949" s="2"/>
    </row>
    <row r="950">
      <c r="A950" s="2"/>
      <c r="B950" s="2"/>
      <c r="C950" s="2"/>
      <c r="D950" s="2"/>
      <c r="E950" s="2"/>
      <c r="F950" s="2"/>
      <c r="G950" s="2"/>
      <c r="H950" s="2"/>
      <c r="I950" s="2"/>
      <c r="J950" s="2"/>
      <c r="K950" s="2"/>
      <c r="L950" s="2"/>
      <c r="M950" s="2"/>
      <c r="N950" s="2"/>
      <c r="O950" s="2"/>
      <c r="P950" s="2"/>
      <c r="Q950" s="2"/>
      <c r="R950" s="2"/>
    </row>
    <row r="951">
      <c r="A951" s="2"/>
      <c r="B951" s="2"/>
      <c r="C951" s="2"/>
      <c r="D951" s="2"/>
      <c r="E951" s="2"/>
      <c r="F951" s="2"/>
      <c r="G951" s="2"/>
      <c r="H951" s="2"/>
      <c r="I951" s="2"/>
      <c r="J951" s="2"/>
      <c r="K951" s="2"/>
      <c r="L951" s="2"/>
      <c r="M951" s="2"/>
      <c r="N951" s="2"/>
      <c r="O951" s="2"/>
      <c r="P951" s="2"/>
      <c r="Q951" s="2"/>
      <c r="R951" s="2"/>
    </row>
    <row r="952">
      <c r="A952" s="2"/>
      <c r="B952" s="2"/>
      <c r="C952" s="2"/>
      <c r="D952" s="2"/>
      <c r="E952" s="2"/>
      <c r="F952" s="2"/>
      <c r="G952" s="2"/>
      <c r="H952" s="2"/>
      <c r="I952" s="2"/>
      <c r="J952" s="2"/>
      <c r="K952" s="2"/>
      <c r="L952" s="2"/>
      <c r="M952" s="2"/>
      <c r="N952" s="2"/>
      <c r="O952" s="2"/>
      <c r="P952" s="2"/>
      <c r="Q952" s="2"/>
      <c r="R952" s="2"/>
    </row>
    <row r="953">
      <c r="A953" s="2"/>
      <c r="B953" s="2"/>
      <c r="C953" s="2"/>
      <c r="D953" s="2"/>
      <c r="E953" s="2"/>
      <c r="F953" s="2"/>
      <c r="G953" s="2"/>
      <c r="H953" s="2"/>
      <c r="I953" s="2"/>
      <c r="J953" s="2"/>
      <c r="K953" s="2"/>
      <c r="L953" s="2"/>
      <c r="M953" s="2"/>
      <c r="N953" s="2"/>
      <c r="O953" s="2"/>
      <c r="P953" s="2"/>
      <c r="Q953" s="2"/>
      <c r="R953" s="2"/>
    </row>
    <row r="954">
      <c r="A954" s="2"/>
      <c r="B954" s="2"/>
      <c r="C954" s="2"/>
      <c r="D954" s="2"/>
      <c r="E954" s="2"/>
      <c r="F954" s="2"/>
      <c r="G954" s="2"/>
      <c r="H954" s="2"/>
      <c r="I954" s="2"/>
      <c r="J954" s="2"/>
      <c r="K954" s="2"/>
      <c r="L954" s="2"/>
      <c r="M954" s="2"/>
      <c r="N954" s="2"/>
      <c r="O954" s="2"/>
      <c r="P954" s="2"/>
      <c r="Q954" s="2"/>
      <c r="R954" s="2"/>
    </row>
    <row r="955">
      <c r="A955" s="2"/>
      <c r="B955" s="2"/>
      <c r="C955" s="2"/>
      <c r="D955" s="2"/>
      <c r="E955" s="2"/>
      <c r="F955" s="2"/>
      <c r="G955" s="2"/>
      <c r="H955" s="2"/>
      <c r="I955" s="2"/>
      <c r="J955" s="2"/>
      <c r="K955" s="2"/>
      <c r="L955" s="2"/>
      <c r="M955" s="2"/>
      <c r="N955" s="2"/>
      <c r="O955" s="2"/>
      <c r="P955" s="2"/>
      <c r="Q955" s="2"/>
      <c r="R955" s="2"/>
    </row>
    <row r="956">
      <c r="A956" s="2"/>
      <c r="B956" s="2"/>
      <c r="C956" s="2"/>
      <c r="D956" s="2"/>
      <c r="E956" s="2"/>
      <c r="F956" s="2"/>
      <c r="G956" s="2"/>
      <c r="H956" s="2"/>
      <c r="I956" s="2"/>
      <c r="J956" s="2"/>
      <c r="K956" s="2"/>
      <c r="L956" s="2"/>
      <c r="M956" s="2"/>
      <c r="N956" s="2"/>
      <c r="O956" s="2"/>
      <c r="P956" s="2"/>
      <c r="Q956" s="2"/>
      <c r="R956" s="2"/>
    </row>
    <row r="957">
      <c r="A957" s="2"/>
      <c r="B957" s="2"/>
      <c r="C957" s="2"/>
      <c r="D957" s="2"/>
      <c r="E957" s="2"/>
      <c r="F957" s="2"/>
      <c r="G957" s="2"/>
      <c r="H957" s="2"/>
      <c r="I957" s="2"/>
      <c r="J957" s="2"/>
      <c r="K957" s="2"/>
      <c r="L957" s="2"/>
      <c r="M957" s="2"/>
      <c r="N957" s="2"/>
      <c r="O957" s="2"/>
      <c r="P957" s="2"/>
      <c r="Q957" s="2"/>
      <c r="R957" s="2"/>
    </row>
    <row r="958">
      <c r="A958" s="2"/>
      <c r="B958" s="2"/>
      <c r="C958" s="2"/>
      <c r="D958" s="2"/>
      <c r="E958" s="2"/>
      <c r="F958" s="2"/>
      <c r="G958" s="2"/>
      <c r="H958" s="2"/>
      <c r="I958" s="2"/>
      <c r="J958" s="2"/>
      <c r="K958" s="2"/>
      <c r="L958" s="2"/>
      <c r="M958" s="2"/>
      <c r="N958" s="2"/>
      <c r="O958" s="2"/>
      <c r="P958" s="2"/>
      <c r="Q958" s="2"/>
      <c r="R958" s="2"/>
    </row>
    <row r="959">
      <c r="A959" s="2"/>
      <c r="B959" s="2"/>
      <c r="C959" s="2"/>
      <c r="D959" s="2"/>
      <c r="E959" s="2"/>
      <c r="F959" s="2"/>
      <c r="G959" s="2"/>
      <c r="H959" s="2"/>
      <c r="I959" s="2"/>
      <c r="J959" s="2"/>
      <c r="K959" s="2"/>
      <c r="L959" s="2"/>
      <c r="M959" s="2"/>
      <c r="N959" s="2"/>
      <c r="O959" s="2"/>
      <c r="P959" s="2"/>
      <c r="Q959" s="2"/>
      <c r="R959" s="2"/>
    </row>
    <row r="960">
      <c r="A960" s="2"/>
      <c r="B960" s="2"/>
      <c r="C960" s="2"/>
      <c r="D960" s="2"/>
      <c r="E960" s="2"/>
      <c r="F960" s="2"/>
      <c r="G960" s="2"/>
      <c r="H960" s="2"/>
      <c r="I960" s="2"/>
      <c r="J960" s="2"/>
      <c r="K960" s="2"/>
      <c r="L960" s="2"/>
      <c r="M960" s="2"/>
      <c r="N960" s="2"/>
      <c r="O960" s="2"/>
      <c r="P960" s="2"/>
      <c r="Q960" s="2"/>
      <c r="R960" s="2"/>
    </row>
    <row r="961">
      <c r="A961" s="2"/>
      <c r="B961" s="2"/>
      <c r="C961" s="2"/>
      <c r="D961" s="2"/>
      <c r="E961" s="2"/>
      <c r="F961" s="2"/>
      <c r="G961" s="2"/>
      <c r="H961" s="2"/>
      <c r="I961" s="2"/>
      <c r="J961" s="2"/>
      <c r="K961" s="2"/>
      <c r="L961" s="2"/>
      <c r="M961" s="2"/>
      <c r="N961" s="2"/>
      <c r="O961" s="2"/>
      <c r="P961" s="2"/>
      <c r="Q961" s="2"/>
      <c r="R961" s="2"/>
    </row>
    <row r="962">
      <c r="A962" s="2"/>
      <c r="B962" s="2"/>
      <c r="C962" s="2"/>
      <c r="D962" s="2"/>
      <c r="E962" s="2"/>
      <c r="F962" s="2"/>
      <c r="G962" s="2"/>
      <c r="H962" s="2"/>
      <c r="I962" s="2"/>
      <c r="J962" s="2"/>
      <c r="K962" s="2"/>
      <c r="L962" s="2"/>
      <c r="M962" s="2"/>
      <c r="N962" s="2"/>
      <c r="O962" s="2"/>
      <c r="P962" s="2"/>
      <c r="Q962" s="2"/>
      <c r="R962" s="2"/>
    </row>
    <row r="963">
      <c r="A963" s="2"/>
      <c r="B963" s="2"/>
      <c r="C963" s="2"/>
      <c r="D963" s="2"/>
      <c r="E963" s="2"/>
      <c r="F963" s="2"/>
      <c r="G963" s="2"/>
      <c r="H963" s="2"/>
      <c r="I963" s="2"/>
      <c r="J963" s="2"/>
      <c r="K963" s="2"/>
      <c r="L963" s="2"/>
      <c r="M963" s="2"/>
      <c r="N963" s="2"/>
      <c r="O963" s="2"/>
      <c r="P963" s="2"/>
      <c r="Q963" s="2"/>
      <c r="R963" s="2"/>
    </row>
    <row r="964">
      <c r="A964" s="2"/>
      <c r="B964" s="2"/>
      <c r="C964" s="2"/>
      <c r="D964" s="2"/>
      <c r="E964" s="2"/>
      <c r="F964" s="2"/>
      <c r="G964" s="2"/>
      <c r="H964" s="2"/>
      <c r="I964" s="2"/>
      <c r="J964" s="2"/>
      <c r="K964" s="2"/>
      <c r="L964" s="2"/>
      <c r="M964" s="2"/>
      <c r="N964" s="2"/>
      <c r="O964" s="2"/>
      <c r="P964" s="2"/>
      <c r="Q964" s="2"/>
      <c r="R964" s="2"/>
    </row>
    <row r="965">
      <c r="A965" s="2"/>
      <c r="B965" s="2"/>
      <c r="C965" s="2"/>
      <c r="D965" s="2"/>
      <c r="E965" s="2"/>
      <c r="F965" s="2"/>
      <c r="G965" s="2"/>
      <c r="H965" s="2"/>
      <c r="I965" s="2"/>
      <c r="J965" s="2"/>
      <c r="K965" s="2"/>
      <c r="L965" s="2"/>
      <c r="M965" s="2"/>
      <c r="N965" s="2"/>
      <c r="O965" s="2"/>
      <c r="P965" s="2"/>
      <c r="Q965" s="2"/>
      <c r="R965" s="2"/>
    </row>
    <row r="966">
      <c r="A966" s="2"/>
      <c r="B966" s="2"/>
      <c r="C966" s="2"/>
      <c r="D966" s="2"/>
      <c r="E966" s="2"/>
      <c r="F966" s="2"/>
      <c r="G966" s="2"/>
      <c r="H966" s="2"/>
      <c r="I966" s="2"/>
      <c r="J966" s="2"/>
      <c r="K966" s="2"/>
      <c r="L966" s="2"/>
      <c r="M966" s="2"/>
      <c r="N966" s="2"/>
      <c r="O966" s="2"/>
      <c r="P966" s="2"/>
      <c r="Q966" s="2"/>
      <c r="R966" s="2"/>
    </row>
    <row r="967">
      <c r="A967" s="2"/>
      <c r="B967" s="2"/>
      <c r="C967" s="2"/>
      <c r="D967" s="2"/>
      <c r="E967" s="2"/>
      <c r="F967" s="2"/>
      <c r="G967" s="2"/>
      <c r="H967" s="2"/>
      <c r="I967" s="2"/>
      <c r="J967" s="2"/>
      <c r="K967" s="2"/>
      <c r="L967" s="2"/>
      <c r="M967" s="2"/>
      <c r="N967" s="2"/>
      <c r="O967" s="2"/>
      <c r="P967" s="2"/>
      <c r="Q967" s="2"/>
      <c r="R967" s="2"/>
    </row>
    <row r="968">
      <c r="A968" s="2"/>
      <c r="B968" s="2"/>
      <c r="C968" s="2"/>
      <c r="D968" s="2"/>
      <c r="E968" s="2"/>
      <c r="F968" s="2"/>
      <c r="G968" s="2"/>
      <c r="H968" s="2"/>
      <c r="I968" s="2"/>
      <c r="J968" s="2"/>
      <c r="K968" s="2"/>
      <c r="L968" s="2"/>
      <c r="M968" s="2"/>
      <c r="N968" s="2"/>
      <c r="O968" s="2"/>
      <c r="P968" s="2"/>
      <c r="Q968" s="2"/>
      <c r="R968" s="2"/>
    </row>
    <row r="969">
      <c r="A969" s="2"/>
      <c r="B969" s="2"/>
      <c r="C969" s="2"/>
      <c r="D969" s="2"/>
      <c r="E969" s="2"/>
      <c r="F969" s="2"/>
      <c r="G969" s="2"/>
      <c r="H969" s="2"/>
      <c r="I969" s="2"/>
      <c r="J969" s="2"/>
      <c r="K969" s="2"/>
      <c r="L969" s="2"/>
      <c r="M969" s="2"/>
      <c r="N969" s="2"/>
      <c r="O969" s="2"/>
      <c r="P969" s="2"/>
      <c r="Q969" s="2"/>
      <c r="R969" s="2"/>
    </row>
    <row r="970">
      <c r="A970" s="2"/>
      <c r="B970" s="2"/>
      <c r="C970" s="2"/>
      <c r="D970" s="2"/>
      <c r="E970" s="2"/>
      <c r="F970" s="2"/>
      <c r="G970" s="2"/>
      <c r="H970" s="2"/>
      <c r="I970" s="2"/>
      <c r="J970" s="2"/>
      <c r="K970" s="2"/>
      <c r="L970" s="2"/>
      <c r="M970" s="2"/>
      <c r="N970" s="2"/>
      <c r="O970" s="2"/>
      <c r="P970" s="2"/>
      <c r="Q970" s="2"/>
      <c r="R970" s="2"/>
    </row>
    <row r="971">
      <c r="A971" s="2"/>
      <c r="B971" s="2"/>
      <c r="C971" s="2"/>
      <c r="D971" s="2"/>
      <c r="E971" s="2"/>
      <c r="F971" s="2"/>
      <c r="G971" s="2"/>
      <c r="H971" s="2"/>
      <c r="I971" s="2"/>
      <c r="J971" s="2"/>
      <c r="K971" s="2"/>
      <c r="L971" s="2"/>
      <c r="M971" s="2"/>
      <c r="N971" s="2"/>
      <c r="O971" s="2"/>
      <c r="P971" s="2"/>
      <c r="Q971" s="2"/>
      <c r="R971" s="2"/>
    </row>
    <row r="972">
      <c r="A972" s="2"/>
      <c r="B972" s="2"/>
      <c r="C972" s="2"/>
      <c r="D972" s="2"/>
      <c r="E972" s="2"/>
      <c r="F972" s="2"/>
      <c r="G972" s="2"/>
      <c r="H972" s="2"/>
      <c r="I972" s="2"/>
      <c r="J972" s="2"/>
      <c r="K972" s="2"/>
      <c r="L972" s="2"/>
      <c r="M972" s="2"/>
      <c r="N972" s="2"/>
      <c r="O972" s="2"/>
      <c r="P972" s="2"/>
      <c r="Q972" s="2"/>
      <c r="R972" s="2"/>
    </row>
    <row r="973">
      <c r="A973" s="2"/>
      <c r="B973" s="2"/>
      <c r="C973" s="2"/>
      <c r="D973" s="2"/>
      <c r="E973" s="2"/>
      <c r="F973" s="2"/>
      <c r="G973" s="2"/>
      <c r="H973" s="2"/>
      <c r="I973" s="2"/>
      <c r="J973" s="2"/>
      <c r="K973" s="2"/>
      <c r="L973" s="2"/>
      <c r="M973" s="2"/>
      <c r="N973" s="2"/>
      <c r="O973" s="2"/>
      <c r="P973" s="2"/>
      <c r="Q973" s="2"/>
      <c r="R973" s="2"/>
    </row>
    <row r="974">
      <c r="A974" s="2"/>
      <c r="B974" s="2"/>
      <c r="C974" s="2"/>
      <c r="D974" s="2"/>
      <c r="E974" s="2"/>
      <c r="F974" s="2"/>
      <c r="G974" s="2"/>
      <c r="H974" s="2"/>
      <c r="I974" s="2"/>
      <c r="J974" s="2"/>
      <c r="K974" s="2"/>
      <c r="L974" s="2"/>
      <c r="M974" s="2"/>
      <c r="N974" s="2"/>
      <c r="O974" s="2"/>
      <c r="P974" s="2"/>
      <c r="Q974" s="2"/>
      <c r="R974" s="2"/>
    </row>
    <row r="975">
      <c r="A975" s="2"/>
      <c r="B975" s="2"/>
      <c r="C975" s="2"/>
      <c r="D975" s="2"/>
      <c r="E975" s="2"/>
      <c r="F975" s="2"/>
      <c r="G975" s="2"/>
      <c r="H975" s="2"/>
      <c r="I975" s="2"/>
      <c r="J975" s="2"/>
      <c r="K975" s="2"/>
      <c r="L975" s="2"/>
      <c r="M975" s="2"/>
      <c r="N975" s="2"/>
      <c r="O975" s="2"/>
      <c r="P975" s="2"/>
      <c r="Q975" s="2"/>
      <c r="R975" s="2"/>
    </row>
    <row r="976">
      <c r="A976" s="2"/>
      <c r="B976" s="2"/>
      <c r="C976" s="2"/>
      <c r="D976" s="2"/>
      <c r="E976" s="2"/>
      <c r="F976" s="2"/>
      <c r="G976" s="2"/>
      <c r="H976" s="2"/>
      <c r="I976" s="2"/>
      <c r="J976" s="2"/>
      <c r="K976" s="2"/>
      <c r="L976" s="2"/>
      <c r="M976" s="2"/>
      <c r="N976" s="2"/>
      <c r="O976" s="2"/>
      <c r="P976" s="2"/>
      <c r="Q976" s="2"/>
      <c r="R976" s="2"/>
    </row>
    <row r="977">
      <c r="A977" s="2"/>
      <c r="B977" s="2"/>
      <c r="C977" s="2"/>
      <c r="D977" s="2"/>
      <c r="E977" s="2"/>
      <c r="F977" s="2"/>
      <c r="G977" s="2"/>
      <c r="H977" s="2"/>
      <c r="I977" s="2"/>
      <c r="J977" s="2"/>
      <c r="K977" s="2"/>
      <c r="L977" s="2"/>
      <c r="M977" s="2"/>
      <c r="N977" s="2"/>
      <c r="O977" s="2"/>
      <c r="P977" s="2"/>
      <c r="Q977" s="2"/>
      <c r="R977" s="2"/>
    </row>
    <row r="978">
      <c r="A978" s="2"/>
      <c r="B978" s="2"/>
      <c r="C978" s="2"/>
      <c r="D978" s="2"/>
      <c r="E978" s="2"/>
      <c r="F978" s="2"/>
      <c r="G978" s="2"/>
      <c r="H978" s="2"/>
      <c r="I978" s="2"/>
      <c r="J978" s="2"/>
      <c r="K978" s="2"/>
      <c r="L978" s="2"/>
      <c r="M978" s="2"/>
      <c r="N978" s="2"/>
      <c r="O978" s="2"/>
      <c r="P978" s="2"/>
      <c r="Q978" s="2"/>
      <c r="R978" s="2"/>
    </row>
    <row r="979">
      <c r="A979" s="2"/>
      <c r="B979" s="2"/>
      <c r="C979" s="2"/>
      <c r="D979" s="2"/>
      <c r="E979" s="2"/>
      <c r="F979" s="2"/>
      <c r="G979" s="2"/>
      <c r="H979" s="2"/>
      <c r="I979" s="2"/>
      <c r="J979" s="2"/>
      <c r="K979" s="2"/>
      <c r="L979" s="2"/>
      <c r="M979" s="2"/>
      <c r="N979" s="2"/>
      <c r="O979" s="2"/>
      <c r="P979" s="2"/>
      <c r="Q979" s="2"/>
      <c r="R979" s="2"/>
    </row>
    <row r="980">
      <c r="A980" s="2"/>
      <c r="B980" s="2"/>
      <c r="C980" s="2"/>
      <c r="D980" s="2"/>
      <c r="E980" s="2"/>
      <c r="F980" s="2"/>
      <c r="G980" s="2"/>
      <c r="H980" s="2"/>
      <c r="I980" s="2"/>
      <c r="J980" s="2"/>
      <c r="K980" s="2"/>
      <c r="L980" s="2"/>
      <c r="M980" s="2"/>
      <c r="N980" s="2"/>
      <c r="O980" s="2"/>
      <c r="P980" s="2"/>
      <c r="Q980" s="2"/>
      <c r="R980" s="2"/>
    </row>
    <row r="981">
      <c r="A981" s="2"/>
      <c r="B981" s="2"/>
      <c r="C981" s="2"/>
      <c r="D981" s="2"/>
      <c r="E981" s="2"/>
      <c r="F981" s="2"/>
      <c r="G981" s="2"/>
      <c r="H981" s="2"/>
      <c r="I981" s="2"/>
      <c r="J981" s="2"/>
      <c r="K981" s="2"/>
      <c r="L981" s="2"/>
      <c r="M981" s="2"/>
      <c r="N981" s="2"/>
      <c r="O981" s="2"/>
      <c r="P981" s="2"/>
      <c r="Q981" s="2"/>
      <c r="R981" s="2"/>
    </row>
    <row r="982">
      <c r="A982" s="2"/>
      <c r="B982" s="2"/>
      <c r="C982" s="2"/>
      <c r="D982" s="2"/>
      <c r="E982" s="2"/>
      <c r="F982" s="2"/>
      <c r="G982" s="2"/>
      <c r="H982" s="2"/>
      <c r="I982" s="2"/>
      <c r="J982" s="2"/>
      <c r="K982" s="2"/>
      <c r="L982" s="2"/>
      <c r="M982" s="2"/>
      <c r="N982" s="2"/>
      <c r="O982" s="2"/>
      <c r="P982" s="2"/>
      <c r="Q982" s="2"/>
      <c r="R982" s="2"/>
    </row>
    <row r="983">
      <c r="A983" s="2"/>
      <c r="B983" s="2"/>
      <c r="C983" s="2"/>
      <c r="D983" s="2"/>
      <c r="E983" s="2"/>
      <c r="F983" s="2"/>
      <c r="G983" s="2"/>
      <c r="H983" s="2"/>
      <c r="I983" s="2"/>
      <c r="J983" s="2"/>
      <c r="K983" s="2"/>
      <c r="L983" s="2"/>
      <c r="M983" s="2"/>
      <c r="N983" s="2"/>
      <c r="O983" s="2"/>
      <c r="P983" s="2"/>
      <c r="Q983" s="2"/>
      <c r="R983" s="2"/>
    </row>
    <row r="984">
      <c r="A984" s="2"/>
      <c r="B984" s="2"/>
      <c r="C984" s="2"/>
      <c r="D984" s="2"/>
      <c r="E984" s="2"/>
      <c r="F984" s="2"/>
      <c r="G984" s="2"/>
      <c r="H984" s="2"/>
      <c r="I984" s="2"/>
      <c r="J984" s="2"/>
      <c r="K984" s="2"/>
      <c r="L984" s="2"/>
      <c r="M984" s="2"/>
      <c r="N984" s="2"/>
      <c r="O984" s="2"/>
      <c r="P984" s="2"/>
      <c r="Q984" s="2"/>
      <c r="R984" s="2"/>
    </row>
    <row r="985">
      <c r="A985" s="2"/>
      <c r="B985" s="2"/>
      <c r="C985" s="2"/>
      <c r="D985" s="2"/>
      <c r="E985" s="2"/>
      <c r="F985" s="2"/>
      <c r="G985" s="2"/>
      <c r="H985" s="2"/>
      <c r="I985" s="2"/>
      <c r="J985" s="2"/>
      <c r="K985" s="2"/>
      <c r="L985" s="2"/>
      <c r="M985" s="2"/>
      <c r="N985" s="2"/>
      <c r="O985" s="2"/>
      <c r="P985" s="2"/>
      <c r="Q985" s="2"/>
      <c r="R985" s="2"/>
    </row>
    <row r="986">
      <c r="A986" s="2"/>
      <c r="B986" s="2"/>
      <c r="C986" s="2"/>
      <c r="D986" s="2"/>
      <c r="E986" s="2"/>
      <c r="F986" s="2"/>
      <c r="G986" s="2"/>
      <c r="H986" s="2"/>
      <c r="I986" s="2"/>
      <c r="J986" s="2"/>
      <c r="K986" s="2"/>
      <c r="L986" s="2"/>
      <c r="M986" s="2"/>
      <c r="N986" s="2"/>
      <c r="O986" s="2"/>
      <c r="P986" s="2"/>
      <c r="Q986" s="2"/>
      <c r="R986" s="2"/>
    </row>
    <row r="987">
      <c r="A987" s="2"/>
      <c r="B987" s="2"/>
      <c r="C987" s="2"/>
      <c r="D987" s="2"/>
      <c r="E987" s="2"/>
      <c r="F987" s="2"/>
      <c r="G987" s="2"/>
      <c r="H987" s="2"/>
      <c r="I987" s="2"/>
      <c r="J987" s="2"/>
      <c r="K987" s="2"/>
      <c r="L987" s="2"/>
      <c r="M987" s="2"/>
      <c r="N987" s="2"/>
      <c r="O987" s="2"/>
      <c r="P987" s="2"/>
      <c r="Q987" s="2"/>
      <c r="R987" s="2"/>
    </row>
    <row r="988">
      <c r="A988" s="2"/>
      <c r="B988" s="2"/>
      <c r="C988" s="2"/>
      <c r="D988" s="2"/>
      <c r="E988" s="2"/>
      <c r="F988" s="2"/>
      <c r="G988" s="2"/>
      <c r="H988" s="2"/>
      <c r="I988" s="2"/>
      <c r="J988" s="2"/>
      <c r="K988" s="2"/>
      <c r="L988" s="2"/>
      <c r="M988" s="2"/>
      <c r="N988" s="2"/>
      <c r="O988" s="2"/>
      <c r="P988" s="2"/>
      <c r="Q988" s="2"/>
      <c r="R988" s="2"/>
    </row>
    <row r="989">
      <c r="A989" s="2"/>
      <c r="B989" s="2"/>
      <c r="C989" s="2"/>
      <c r="D989" s="2"/>
      <c r="E989" s="2"/>
      <c r="F989" s="2"/>
      <c r="G989" s="2"/>
      <c r="H989" s="2"/>
      <c r="I989" s="2"/>
      <c r="J989" s="2"/>
      <c r="K989" s="2"/>
      <c r="L989" s="2"/>
      <c r="M989" s="2"/>
      <c r="N989" s="2"/>
      <c r="O989" s="2"/>
      <c r="P989" s="2"/>
      <c r="Q989" s="2"/>
      <c r="R989" s="2"/>
    </row>
    <row r="990">
      <c r="A990" s="2"/>
      <c r="B990" s="2"/>
      <c r="C990" s="2"/>
      <c r="D990" s="2"/>
      <c r="E990" s="2"/>
      <c r="F990" s="2"/>
      <c r="G990" s="2"/>
      <c r="H990" s="2"/>
      <c r="I990" s="2"/>
      <c r="J990" s="2"/>
      <c r="K990" s="2"/>
      <c r="L990" s="2"/>
      <c r="M990" s="2"/>
      <c r="N990" s="2"/>
      <c r="O990" s="2"/>
      <c r="P990" s="2"/>
      <c r="Q990" s="2"/>
      <c r="R990" s="2"/>
    </row>
    <row r="991">
      <c r="A991" s="2"/>
      <c r="B991" s="2"/>
      <c r="C991" s="2"/>
      <c r="D991" s="2"/>
      <c r="E991" s="2"/>
      <c r="F991" s="2"/>
      <c r="G991" s="2"/>
      <c r="H991" s="2"/>
      <c r="I991" s="2"/>
      <c r="J991" s="2"/>
      <c r="K991" s="2"/>
      <c r="L991" s="2"/>
      <c r="M991" s="2"/>
      <c r="N991" s="2"/>
      <c r="O991" s="2"/>
      <c r="P991" s="2"/>
      <c r="Q991" s="2"/>
      <c r="R991" s="2"/>
    </row>
    <row r="992">
      <c r="A992" s="2"/>
      <c r="B992" s="2"/>
      <c r="C992" s="2"/>
      <c r="D992" s="2"/>
      <c r="E992" s="2"/>
      <c r="F992" s="2"/>
      <c r="G992" s="2"/>
      <c r="H992" s="2"/>
      <c r="I992" s="2"/>
      <c r="J992" s="2"/>
      <c r="K992" s="2"/>
      <c r="L992" s="2"/>
      <c r="M992" s="2"/>
      <c r="N992" s="2"/>
      <c r="O992" s="2"/>
      <c r="P992" s="2"/>
      <c r="Q992" s="2"/>
      <c r="R992" s="2"/>
    </row>
    <row r="993">
      <c r="A993" s="2"/>
      <c r="B993" s="2"/>
      <c r="C993" s="2"/>
      <c r="D993" s="2"/>
      <c r="E993" s="2"/>
      <c r="F993" s="2"/>
      <c r="G993" s="2"/>
      <c r="H993" s="2"/>
      <c r="I993" s="2"/>
      <c r="J993" s="2"/>
      <c r="K993" s="2"/>
      <c r="L993" s="2"/>
      <c r="M993" s="2"/>
      <c r="N993" s="2"/>
      <c r="O993" s="2"/>
      <c r="P993" s="2"/>
      <c r="Q993" s="2"/>
      <c r="R993" s="2"/>
    </row>
    <row r="994">
      <c r="A994" s="2"/>
      <c r="B994" s="2"/>
      <c r="C994" s="2"/>
      <c r="D994" s="2"/>
      <c r="E994" s="2"/>
      <c r="F994" s="2"/>
      <c r="G994" s="2"/>
      <c r="H994" s="2"/>
      <c r="I994" s="2"/>
      <c r="J994" s="2"/>
      <c r="K994" s="2"/>
      <c r="L994" s="2"/>
      <c r="M994" s="2"/>
      <c r="N994" s="2"/>
      <c r="O994" s="2"/>
      <c r="P994" s="2"/>
      <c r="Q994" s="2"/>
      <c r="R994" s="2"/>
    </row>
    <row r="995">
      <c r="A995" s="2"/>
      <c r="B995" s="2"/>
      <c r="C995" s="2"/>
      <c r="D995" s="2"/>
      <c r="E995" s="2"/>
      <c r="F995" s="2"/>
      <c r="G995" s="2"/>
      <c r="H995" s="2"/>
      <c r="I995" s="2"/>
      <c r="J995" s="2"/>
      <c r="K995" s="2"/>
      <c r="L995" s="2"/>
      <c r="M995" s="2"/>
      <c r="N995" s="2"/>
      <c r="O995" s="2"/>
      <c r="P995" s="2"/>
      <c r="Q995" s="2"/>
      <c r="R995" s="2"/>
    </row>
    <row r="996">
      <c r="A996" s="2"/>
      <c r="B996" s="2"/>
      <c r="C996" s="2"/>
      <c r="D996" s="2"/>
      <c r="E996" s="2"/>
      <c r="F996" s="2"/>
      <c r="G996" s="2"/>
      <c r="H996" s="2"/>
      <c r="I996" s="2"/>
      <c r="J996" s="2"/>
      <c r="K996" s="2"/>
      <c r="L996" s="2"/>
      <c r="M996" s="2"/>
      <c r="N996" s="2"/>
      <c r="O996" s="2"/>
      <c r="P996" s="2"/>
      <c r="Q996" s="2"/>
      <c r="R996" s="2"/>
    </row>
    <row r="997">
      <c r="A997" s="2"/>
      <c r="B997" s="2"/>
      <c r="C997" s="2"/>
      <c r="D997" s="2"/>
      <c r="E997" s="2"/>
      <c r="F997" s="2"/>
      <c r="G997" s="2"/>
      <c r="H997" s="2"/>
      <c r="I997" s="2"/>
      <c r="J997" s="2"/>
      <c r="K997" s="2"/>
      <c r="L997" s="2"/>
      <c r="M997" s="2"/>
      <c r="N997" s="2"/>
      <c r="O997" s="2"/>
      <c r="P997" s="2"/>
      <c r="Q997" s="2"/>
      <c r="R997" s="2"/>
    </row>
    <row r="998">
      <c r="A998" s="2"/>
      <c r="B998" s="2"/>
      <c r="C998" s="2"/>
      <c r="D998" s="2"/>
      <c r="E998" s="2"/>
      <c r="F998" s="2"/>
      <c r="G998" s="2"/>
      <c r="H998" s="2"/>
      <c r="I998" s="2"/>
      <c r="J998" s="2"/>
      <c r="K998" s="2"/>
      <c r="L998" s="2"/>
      <c r="M998" s="2"/>
      <c r="N998" s="2"/>
      <c r="O998" s="2"/>
      <c r="P998" s="2"/>
      <c r="Q998" s="2"/>
      <c r="R998" s="2"/>
    </row>
    <row r="999">
      <c r="A999" s="2"/>
      <c r="B999" s="2"/>
      <c r="C999" s="2"/>
      <c r="D999" s="2"/>
      <c r="E999" s="2"/>
      <c r="F999" s="2"/>
      <c r="G999" s="2"/>
      <c r="H999" s="2"/>
      <c r="I999" s="2"/>
      <c r="J999" s="2"/>
      <c r="K999" s="2"/>
      <c r="L999" s="2"/>
      <c r="M999" s="2"/>
      <c r="N999" s="2"/>
      <c r="O999" s="2"/>
      <c r="P999" s="2"/>
      <c r="Q999" s="2"/>
      <c r="R999" s="2"/>
    </row>
    <row r="1000">
      <c r="A1000" s="2"/>
      <c r="B1000" s="2"/>
      <c r="C1000" s="2"/>
      <c r="D1000" s="2"/>
      <c r="E1000" s="2"/>
      <c r="F1000" s="2"/>
      <c r="G1000" s="2"/>
      <c r="H1000" s="2"/>
      <c r="I1000" s="2"/>
      <c r="J1000" s="2"/>
      <c r="K1000" s="2"/>
      <c r="L1000" s="2"/>
      <c r="M1000" s="2"/>
      <c r="N1000" s="2"/>
      <c r="O1000" s="2"/>
      <c r="P1000" s="2"/>
      <c r="Q1000" s="2"/>
      <c r="R1000" s="2"/>
    </row>
    <row r="1001">
      <c r="A1001" s="2"/>
      <c r="B1001" s="2"/>
      <c r="C1001" s="2"/>
      <c r="D1001" s="2"/>
      <c r="E1001" s="2"/>
      <c r="F1001" s="2"/>
      <c r="G1001" s="2"/>
      <c r="H1001" s="2"/>
      <c r="I1001" s="2"/>
      <c r="J1001" s="2"/>
      <c r="K1001" s="2"/>
      <c r="L1001" s="2"/>
      <c r="M1001" s="2"/>
      <c r="N1001" s="2"/>
      <c r="O1001" s="2"/>
      <c r="P1001" s="2"/>
      <c r="Q1001" s="2"/>
      <c r="R1001" s="2"/>
    </row>
    <row r="1002">
      <c r="A1002" s="2"/>
      <c r="B1002" s="2"/>
      <c r="C1002" s="2"/>
      <c r="D1002" s="2"/>
      <c r="E1002" s="2"/>
      <c r="F1002" s="2"/>
      <c r="G1002" s="2"/>
      <c r="H1002" s="2"/>
      <c r="I1002" s="2"/>
      <c r="J1002" s="2"/>
      <c r="K1002" s="2"/>
      <c r="L1002" s="2"/>
      <c r="M1002" s="2"/>
      <c r="N1002" s="2"/>
      <c r="O1002" s="2"/>
      <c r="P1002" s="2"/>
      <c r="Q1002" s="2"/>
      <c r="R1002" s="2"/>
    </row>
    <row r="1003">
      <c r="A1003" s="2"/>
      <c r="B1003" s="2"/>
      <c r="C1003" s="2"/>
      <c r="D1003" s="2"/>
      <c r="E1003" s="2"/>
      <c r="F1003" s="2"/>
      <c r="G1003" s="2"/>
      <c r="H1003" s="2"/>
      <c r="I1003" s="2"/>
      <c r="J1003" s="2"/>
      <c r="K1003" s="2"/>
      <c r="L1003" s="2"/>
      <c r="M1003" s="2"/>
      <c r="N1003" s="2"/>
      <c r="O1003" s="2"/>
      <c r="P1003" s="2"/>
      <c r="Q1003" s="2"/>
      <c r="R1003" s="2"/>
    </row>
    <row r="1004">
      <c r="A1004" s="2"/>
      <c r="B1004" s="2"/>
      <c r="C1004" s="2"/>
      <c r="D1004" s="2"/>
      <c r="E1004" s="2"/>
      <c r="F1004" s="2"/>
      <c r="G1004" s="2"/>
      <c r="H1004" s="2"/>
      <c r="I1004" s="2"/>
      <c r="J1004" s="2"/>
      <c r="K1004" s="2"/>
      <c r="L1004" s="2"/>
      <c r="M1004" s="2"/>
      <c r="N1004" s="2"/>
      <c r="O1004" s="2"/>
      <c r="P1004" s="2"/>
      <c r="Q1004" s="2"/>
      <c r="R1004" s="2"/>
    </row>
    <row r="1005">
      <c r="A1005" s="2"/>
      <c r="B1005" s="2"/>
      <c r="C1005" s="2"/>
      <c r="D1005" s="2"/>
      <c r="E1005" s="2"/>
      <c r="F1005" s="2"/>
      <c r="G1005" s="2"/>
      <c r="H1005" s="2"/>
      <c r="I1005" s="2"/>
      <c r="J1005" s="2"/>
      <c r="K1005" s="2"/>
      <c r="L1005" s="2"/>
      <c r="M1005" s="2"/>
      <c r="N1005" s="2"/>
      <c r="O1005" s="2"/>
      <c r="P1005" s="2"/>
      <c r="Q1005" s="2"/>
      <c r="R1005" s="2"/>
    </row>
    <row r="1006">
      <c r="A1006" s="2"/>
      <c r="B1006" s="2"/>
      <c r="C1006" s="2"/>
      <c r="D1006" s="2"/>
      <c r="E1006" s="2"/>
      <c r="F1006" s="2"/>
      <c r="G1006" s="2"/>
      <c r="H1006" s="2"/>
      <c r="I1006" s="2"/>
      <c r="J1006" s="2"/>
      <c r="K1006" s="2"/>
      <c r="L1006" s="2"/>
      <c r="M1006" s="2"/>
      <c r="N1006" s="2"/>
      <c r="O1006" s="2"/>
      <c r="P1006" s="2"/>
      <c r="Q1006" s="2"/>
      <c r="R1006" s="2"/>
    </row>
    <row r="1007">
      <c r="A1007" s="2"/>
      <c r="B1007" s="2"/>
      <c r="C1007" s="2"/>
      <c r="D1007" s="2"/>
      <c r="E1007" s="2"/>
      <c r="F1007" s="2"/>
      <c r="G1007" s="2"/>
      <c r="H1007" s="2"/>
      <c r="I1007" s="2"/>
      <c r="J1007" s="2"/>
      <c r="K1007" s="2"/>
      <c r="L1007" s="2"/>
      <c r="M1007" s="2"/>
      <c r="N1007" s="2"/>
      <c r="O1007" s="2"/>
      <c r="P1007" s="2"/>
      <c r="Q1007" s="2"/>
      <c r="R1007" s="2"/>
    </row>
    <row r="1008">
      <c r="A1008" s="2"/>
      <c r="B1008" s="2"/>
      <c r="C1008" s="2"/>
      <c r="D1008" s="2"/>
      <c r="E1008" s="2"/>
      <c r="F1008" s="2"/>
      <c r="G1008" s="2"/>
      <c r="H1008" s="2"/>
      <c r="I1008" s="2"/>
      <c r="J1008" s="2"/>
      <c r="K1008" s="2"/>
      <c r="L1008" s="2"/>
      <c r="M1008" s="2"/>
      <c r="N1008" s="2"/>
      <c r="O1008" s="2"/>
      <c r="P1008" s="2"/>
      <c r="Q1008" s="2"/>
      <c r="R1008" s="2"/>
    </row>
    <row r="1009">
      <c r="A1009" s="2"/>
      <c r="B1009" s="2"/>
      <c r="C1009" s="2"/>
      <c r="D1009" s="2"/>
      <c r="E1009" s="2"/>
      <c r="F1009" s="2"/>
      <c r="G1009" s="2"/>
      <c r="H1009" s="2"/>
      <c r="I1009" s="2"/>
      <c r="J1009" s="2"/>
      <c r="K1009" s="2"/>
      <c r="L1009" s="2"/>
      <c r="M1009" s="2"/>
      <c r="N1009" s="2"/>
      <c r="O1009" s="2"/>
      <c r="P1009" s="2"/>
      <c r="Q1009" s="2"/>
      <c r="R1009" s="2"/>
    </row>
    <row r="1010">
      <c r="A1010" s="2"/>
      <c r="B1010" s="2"/>
      <c r="C1010" s="2"/>
      <c r="D1010" s="2"/>
      <c r="E1010" s="2"/>
      <c r="F1010" s="2"/>
      <c r="G1010" s="2"/>
      <c r="H1010" s="2"/>
      <c r="I1010" s="2"/>
      <c r="J1010" s="2"/>
      <c r="K1010" s="2"/>
      <c r="L1010" s="2"/>
      <c r="M1010" s="2"/>
      <c r="N1010" s="2"/>
      <c r="O1010" s="2"/>
      <c r="P1010" s="2"/>
      <c r="Q1010" s="2"/>
      <c r="R1010" s="2"/>
    </row>
    <row r="1011">
      <c r="A1011" s="2"/>
      <c r="B1011" s="2"/>
      <c r="C1011" s="2"/>
      <c r="D1011" s="2"/>
      <c r="E1011" s="2"/>
      <c r="F1011" s="2"/>
      <c r="G1011" s="2"/>
      <c r="H1011" s="2"/>
      <c r="I1011" s="2"/>
      <c r="J1011" s="2"/>
      <c r="K1011" s="2"/>
      <c r="L1011" s="2"/>
      <c r="M1011" s="2"/>
      <c r="N1011" s="2"/>
      <c r="O1011" s="2"/>
      <c r="P1011" s="2"/>
      <c r="Q1011" s="2"/>
      <c r="R1011" s="2"/>
    </row>
    <row r="1012">
      <c r="A1012" s="2"/>
      <c r="B1012" s="2"/>
      <c r="C1012" s="2"/>
      <c r="D1012" s="2"/>
      <c r="E1012" s="2"/>
      <c r="F1012" s="2"/>
      <c r="G1012" s="2"/>
      <c r="H1012" s="2"/>
      <c r="I1012" s="2"/>
      <c r="J1012" s="2"/>
      <c r="K1012" s="2"/>
      <c r="L1012" s="2"/>
      <c r="M1012" s="2"/>
      <c r="N1012" s="2"/>
      <c r="O1012" s="2"/>
      <c r="P1012" s="2"/>
      <c r="Q1012" s="2"/>
      <c r="R1012" s="2"/>
    </row>
    <row r="1013">
      <c r="A1013" s="2"/>
      <c r="B1013" s="2"/>
      <c r="C1013" s="2"/>
      <c r="D1013" s="2"/>
      <c r="E1013" s="2"/>
      <c r="F1013" s="2"/>
      <c r="G1013" s="2"/>
      <c r="H1013" s="2"/>
      <c r="I1013" s="2"/>
      <c r="J1013" s="2"/>
      <c r="K1013" s="2"/>
      <c r="L1013" s="2"/>
      <c r="M1013" s="2"/>
      <c r="N1013" s="2"/>
      <c r="O1013" s="2"/>
      <c r="P1013" s="2"/>
      <c r="Q1013" s="2"/>
      <c r="R1013" s="2"/>
    </row>
    <row r="1014">
      <c r="A1014" s="2"/>
      <c r="B1014" s="2"/>
      <c r="C1014" s="2"/>
      <c r="D1014" s="2"/>
      <c r="E1014" s="2"/>
      <c r="F1014" s="2"/>
      <c r="G1014" s="2"/>
      <c r="H1014" s="2"/>
      <c r="I1014" s="2"/>
      <c r="J1014" s="2"/>
      <c r="K1014" s="2"/>
      <c r="L1014" s="2"/>
      <c r="M1014" s="2"/>
      <c r="N1014" s="2"/>
      <c r="O1014" s="2"/>
      <c r="P1014" s="2"/>
      <c r="Q1014" s="2"/>
      <c r="R1014" s="2"/>
    </row>
    <row r="1015">
      <c r="A1015" s="2"/>
      <c r="B1015" s="2"/>
      <c r="C1015" s="2"/>
      <c r="D1015" s="2"/>
      <c r="E1015" s="2"/>
      <c r="F1015" s="2"/>
      <c r="G1015" s="2"/>
      <c r="H1015" s="2"/>
      <c r="I1015" s="2"/>
      <c r="J1015" s="2"/>
      <c r="K1015" s="2"/>
      <c r="L1015" s="2"/>
      <c r="M1015" s="2"/>
      <c r="N1015" s="2"/>
      <c r="O1015" s="2"/>
      <c r="P1015" s="2"/>
      <c r="Q1015" s="2"/>
      <c r="R1015" s="2"/>
    </row>
    <row r="1016">
      <c r="A1016" s="2"/>
      <c r="B1016" s="2"/>
      <c r="C1016" s="2"/>
      <c r="D1016" s="2"/>
      <c r="E1016" s="2"/>
      <c r="F1016" s="2"/>
      <c r="G1016" s="2"/>
      <c r="H1016" s="2"/>
      <c r="I1016" s="2"/>
      <c r="J1016" s="2"/>
      <c r="K1016" s="2"/>
      <c r="L1016" s="2"/>
      <c r="M1016" s="2"/>
      <c r="N1016" s="2"/>
      <c r="O1016" s="2"/>
      <c r="P1016" s="2"/>
      <c r="Q1016" s="2"/>
      <c r="R1016" s="2"/>
    </row>
    <row r="1017">
      <c r="A1017" s="2"/>
      <c r="B1017" s="2"/>
      <c r="C1017" s="2"/>
      <c r="D1017" s="2"/>
      <c r="E1017" s="2"/>
      <c r="F1017" s="2"/>
      <c r="G1017" s="2"/>
      <c r="H1017" s="2"/>
      <c r="I1017" s="2"/>
      <c r="J1017" s="2"/>
      <c r="K1017" s="2"/>
      <c r="L1017" s="2"/>
      <c r="M1017" s="2"/>
      <c r="N1017" s="2"/>
      <c r="O1017" s="2"/>
      <c r="P1017" s="2"/>
      <c r="Q1017" s="2"/>
      <c r="R1017" s="2"/>
    </row>
    <row r="1018">
      <c r="A1018" s="2"/>
      <c r="B1018" s="2"/>
      <c r="C1018" s="2"/>
      <c r="D1018" s="2"/>
      <c r="E1018" s="2"/>
      <c r="F1018" s="2"/>
      <c r="G1018" s="2"/>
      <c r="H1018" s="2"/>
      <c r="I1018" s="2"/>
      <c r="J1018" s="2"/>
      <c r="K1018" s="2"/>
      <c r="L1018" s="2"/>
      <c r="M1018" s="2"/>
      <c r="N1018" s="2"/>
      <c r="O1018" s="2"/>
      <c r="P1018" s="2"/>
      <c r="Q1018" s="2"/>
      <c r="R1018" s="2"/>
    </row>
    <row r="1019">
      <c r="A1019" s="2"/>
      <c r="B1019" s="2"/>
      <c r="C1019" s="2"/>
      <c r="D1019" s="2"/>
      <c r="E1019" s="2"/>
      <c r="F1019" s="2"/>
      <c r="G1019" s="2"/>
      <c r="H1019" s="2"/>
      <c r="I1019" s="2"/>
      <c r="J1019" s="2"/>
      <c r="K1019" s="2"/>
      <c r="L1019" s="2"/>
      <c r="M1019" s="2"/>
      <c r="N1019" s="2"/>
      <c r="O1019" s="2"/>
      <c r="P1019" s="2"/>
      <c r="Q1019" s="2"/>
      <c r="R1019" s="2"/>
    </row>
    <row r="1020">
      <c r="A1020" s="2"/>
      <c r="B1020" s="2"/>
      <c r="C1020" s="2"/>
      <c r="D1020" s="2"/>
      <c r="E1020" s="2"/>
      <c r="F1020" s="2"/>
      <c r="G1020" s="2"/>
      <c r="H1020" s="2"/>
      <c r="I1020" s="2"/>
      <c r="J1020" s="2"/>
      <c r="K1020" s="2"/>
      <c r="L1020" s="2"/>
      <c r="M1020" s="2"/>
      <c r="N1020" s="2"/>
      <c r="O1020" s="2"/>
      <c r="P1020" s="2"/>
      <c r="Q1020" s="2"/>
      <c r="R1020" s="2"/>
    </row>
    <row r="1021">
      <c r="A1021" s="2"/>
      <c r="B1021" s="2"/>
      <c r="C1021" s="2"/>
      <c r="D1021" s="2"/>
      <c r="E1021" s="2"/>
      <c r="F1021" s="2"/>
      <c r="G1021" s="2"/>
      <c r="H1021" s="2"/>
      <c r="I1021" s="2"/>
      <c r="J1021" s="2"/>
      <c r="K1021" s="2"/>
      <c r="L1021" s="2"/>
      <c r="M1021" s="2"/>
      <c r="N1021" s="2"/>
      <c r="O1021" s="2"/>
      <c r="P1021" s="2"/>
      <c r="Q1021" s="2"/>
      <c r="R1021" s="2"/>
    </row>
    <row r="1022">
      <c r="A1022" s="2"/>
      <c r="B1022" s="2"/>
      <c r="C1022" s="2"/>
      <c r="D1022" s="2"/>
      <c r="E1022" s="2"/>
      <c r="F1022" s="2"/>
      <c r="G1022" s="2"/>
      <c r="H1022" s="2"/>
      <c r="I1022" s="2"/>
      <c r="J1022" s="2"/>
      <c r="K1022" s="2"/>
      <c r="L1022" s="2"/>
      <c r="M1022" s="2"/>
      <c r="N1022" s="2"/>
      <c r="O1022" s="2"/>
      <c r="P1022" s="2"/>
      <c r="Q1022" s="2"/>
      <c r="R1022" s="2"/>
    </row>
    <row r="1023">
      <c r="A1023" s="2"/>
      <c r="B1023" s="2"/>
      <c r="C1023" s="2"/>
      <c r="D1023" s="2"/>
      <c r="E1023" s="2"/>
      <c r="F1023" s="2"/>
      <c r="G1023" s="2"/>
      <c r="H1023" s="2"/>
      <c r="I1023" s="2"/>
      <c r="J1023" s="2"/>
      <c r="K1023" s="2"/>
      <c r="L1023" s="2"/>
      <c r="M1023" s="2"/>
      <c r="N1023" s="2"/>
      <c r="O1023" s="2"/>
      <c r="P1023" s="2"/>
      <c r="Q1023" s="2"/>
      <c r="R1023" s="2"/>
    </row>
    <row r="1024">
      <c r="A1024" s="2"/>
      <c r="B1024" s="2"/>
      <c r="C1024" s="2"/>
      <c r="D1024" s="2"/>
      <c r="E1024" s="2"/>
      <c r="F1024" s="2"/>
      <c r="G1024" s="2"/>
      <c r="H1024" s="2"/>
      <c r="I1024" s="2"/>
      <c r="J1024" s="2"/>
      <c r="K1024" s="2"/>
      <c r="L1024" s="2"/>
      <c r="M1024" s="2"/>
      <c r="N1024" s="2"/>
      <c r="O1024" s="2"/>
      <c r="P1024" s="2"/>
      <c r="Q1024" s="2"/>
      <c r="R1024" s="2"/>
    </row>
    <row r="1025">
      <c r="A1025" s="2"/>
      <c r="B1025" s="2"/>
      <c r="C1025" s="2"/>
      <c r="D1025" s="2"/>
      <c r="E1025" s="2"/>
      <c r="F1025" s="2"/>
      <c r="G1025" s="2"/>
      <c r="H1025" s="2"/>
      <c r="I1025" s="2"/>
      <c r="J1025" s="2"/>
      <c r="K1025" s="2"/>
      <c r="L1025" s="2"/>
      <c r="M1025" s="2"/>
      <c r="N1025" s="2"/>
      <c r="O1025" s="2"/>
      <c r="P1025" s="2"/>
      <c r="Q1025" s="2"/>
      <c r="R1025" s="2"/>
    </row>
    <row r="1026">
      <c r="A1026" s="2"/>
      <c r="B1026" s="2"/>
      <c r="C1026" s="2"/>
      <c r="D1026" s="2"/>
      <c r="E1026" s="2"/>
      <c r="F1026" s="2"/>
      <c r="G1026" s="2"/>
      <c r="H1026" s="2"/>
      <c r="I1026" s="2"/>
      <c r="J1026" s="2"/>
      <c r="K1026" s="2"/>
      <c r="L1026" s="2"/>
      <c r="M1026" s="2"/>
      <c r="N1026" s="2"/>
      <c r="O1026" s="2"/>
      <c r="P1026" s="2"/>
      <c r="Q1026" s="2"/>
      <c r="R1026" s="2"/>
    </row>
    <row r="1027">
      <c r="A1027" s="2"/>
      <c r="B1027" s="2"/>
      <c r="C1027" s="2"/>
      <c r="D1027" s="2"/>
      <c r="E1027" s="2"/>
      <c r="F1027" s="2"/>
      <c r="G1027" s="2"/>
      <c r="H1027" s="2"/>
      <c r="I1027" s="2"/>
      <c r="J1027" s="2"/>
      <c r="K1027" s="2"/>
      <c r="L1027" s="2"/>
      <c r="M1027" s="2"/>
      <c r="N1027" s="2"/>
      <c r="O1027" s="2"/>
      <c r="P1027" s="2"/>
      <c r="Q1027" s="2"/>
      <c r="R1027" s="2"/>
    </row>
    <row r="1028">
      <c r="A1028" s="2"/>
      <c r="B1028" s="2"/>
      <c r="C1028" s="2"/>
      <c r="D1028" s="2"/>
      <c r="E1028" s="2"/>
      <c r="F1028" s="2"/>
      <c r="G1028" s="2"/>
      <c r="H1028" s="2"/>
      <c r="I1028" s="2"/>
      <c r="J1028" s="2"/>
      <c r="K1028" s="2"/>
      <c r="L1028" s="2"/>
      <c r="M1028" s="2"/>
      <c r="N1028" s="2"/>
      <c r="O1028" s="2"/>
      <c r="P1028" s="2"/>
      <c r="Q1028" s="2"/>
      <c r="R1028" s="2"/>
    </row>
    <row r="1029">
      <c r="A1029" s="2"/>
      <c r="B1029" s="2"/>
      <c r="C1029" s="2"/>
      <c r="D1029" s="2"/>
      <c r="E1029" s="2"/>
      <c r="F1029" s="2"/>
      <c r="G1029" s="2"/>
      <c r="H1029" s="2"/>
      <c r="I1029" s="2"/>
      <c r="J1029" s="2"/>
      <c r="K1029" s="2"/>
      <c r="L1029" s="2"/>
      <c r="M1029" s="2"/>
      <c r="N1029" s="2"/>
      <c r="O1029" s="2"/>
      <c r="P1029" s="2"/>
      <c r="Q1029" s="2"/>
      <c r="R1029" s="2"/>
    </row>
    <row r="1030">
      <c r="A1030" s="2"/>
      <c r="B1030" s="2"/>
      <c r="C1030" s="2"/>
      <c r="D1030" s="2"/>
      <c r="E1030" s="2"/>
      <c r="F1030" s="2"/>
      <c r="G1030" s="2"/>
      <c r="H1030" s="2"/>
      <c r="I1030" s="2"/>
      <c r="J1030" s="2"/>
      <c r="K1030" s="2"/>
      <c r="L1030" s="2"/>
      <c r="M1030" s="2"/>
      <c r="N1030" s="2"/>
      <c r="O1030" s="2"/>
      <c r="P1030" s="2"/>
      <c r="Q1030" s="2"/>
      <c r="R1030" s="2"/>
    </row>
    <row r="1031">
      <c r="A1031" s="2"/>
      <c r="B1031" s="2"/>
      <c r="C1031" s="2"/>
      <c r="D1031" s="2"/>
      <c r="E1031" s="2"/>
      <c r="F1031" s="2"/>
      <c r="G1031" s="2"/>
      <c r="H1031" s="2"/>
      <c r="I1031" s="2"/>
      <c r="J1031" s="2"/>
      <c r="K1031" s="2"/>
      <c r="L1031" s="2"/>
      <c r="M1031" s="2"/>
      <c r="N1031" s="2"/>
      <c r="O1031" s="2"/>
      <c r="P1031" s="2"/>
      <c r="Q1031" s="2"/>
      <c r="R1031" s="2"/>
    </row>
    <row r="1032">
      <c r="A1032" s="2"/>
      <c r="B1032" s="2"/>
      <c r="C1032" s="2"/>
      <c r="D1032" s="2"/>
      <c r="E1032" s="2"/>
      <c r="F1032" s="2"/>
      <c r="G1032" s="2"/>
      <c r="H1032" s="2"/>
      <c r="I1032" s="2"/>
      <c r="J1032" s="2"/>
      <c r="K1032" s="2"/>
      <c r="L1032" s="2"/>
      <c r="M1032" s="2"/>
      <c r="N1032" s="2"/>
      <c r="O1032" s="2"/>
      <c r="P1032" s="2"/>
      <c r="Q1032" s="2"/>
      <c r="R1032" s="2"/>
    </row>
    <row r="1033">
      <c r="A1033" s="2"/>
      <c r="B1033" s="2"/>
      <c r="C1033" s="2"/>
      <c r="D1033" s="2"/>
      <c r="E1033" s="2"/>
      <c r="F1033" s="2"/>
      <c r="G1033" s="2"/>
      <c r="H1033" s="2"/>
      <c r="I1033" s="2"/>
      <c r="J1033" s="2"/>
      <c r="K1033" s="2"/>
      <c r="L1033" s="2"/>
      <c r="M1033" s="2"/>
      <c r="N1033" s="2"/>
      <c r="O1033" s="2"/>
      <c r="P1033" s="2"/>
      <c r="Q1033" s="2"/>
      <c r="R1033" s="2"/>
    </row>
    <row r="1034">
      <c r="A1034" s="2"/>
      <c r="B1034" s="2"/>
      <c r="C1034" s="2"/>
      <c r="D1034" s="2"/>
      <c r="E1034" s="2"/>
      <c r="F1034" s="2"/>
      <c r="G1034" s="2"/>
      <c r="H1034" s="2"/>
      <c r="I1034" s="2"/>
      <c r="J1034" s="2"/>
      <c r="K1034" s="2"/>
      <c r="L1034" s="2"/>
      <c r="M1034" s="2"/>
      <c r="N1034" s="2"/>
      <c r="O1034" s="2"/>
      <c r="P1034" s="2"/>
      <c r="Q1034" s="2"/>
      <c r="R1034" s="2"/>
    </row>
    <row r="1035">
      <c r="A1035" s="2"/>
      <c r="B1035" s="2"/>
      <c r="C1035" s="2"/>
      <c r="D1035" s="2"/>
      <c r="E1035" s="2"/>
      <c r="F1035" s="2"/>
      <c r="G1035" s="2"/>
      <c r="H1035" s="2"/>
      <c r="I1035" s="2"/>
      <c r="J1035" s="2"/>
      <c r="K1035" s="2"/>
      <c r="L1035" s="2"/>
      <c r="M1035" s="2"/>
      <c r="N1035" s="2"/>
      <c r="O1035" s="2"/>
      <c r="P1035" s="2"/>
      <c r="Q1035" s="2"/>
      <c r="R1035" s="2"/>
    </row>
    <row r="1036">
      <c r="A1036" s="2"/>
      <c r="B1036" s="2"/>
      <c r="C1036" s="2"/>
      <c r="D1036" s="2"/>
      <c r="E1036" s="2"/>
      <c r="F1036" s="2"/>
      <c r="G1036" s="2"/>
      <c r="H1036" s="2"/>
      <c r="I1036" s="2"/>
      <c r="J1036" s="2"/>
      <c r="K1036" s="2"/>
      <c r="L1036" s="2"/>
      <c r="M1036" s="2"/>
      <c r="N1036" s="2"/>
      <c r="O1036" s="2"/>
      <c r="P1036" s="2"/>
      <c r="Q1036" s="2"/>
      <c r="R1036" s="2"/>
    </row>
    <row r="1037">
      <c r="A1037" s="2"/>
      <c r="B1037" s="2"/>
      <c r="C1037" s="2"/>
      <c r="D1037" s="2"/>
      <c r="E1037" s="2"/>
      <c r="F1037" s="2"/>
      <c r="G1037" s="2"/>
      <c r="H1037" s="2"/>
      <c r="I1037" s="2"/>
      <c r="J1037" s="2"/>
      <c r="K1037" s="2"/>
      <c r="L1037" s="2"/>
      <c r="M1037" s="2"/>
      <c r="N1037" s="2"/>
      <c r="O1037" s="2"/>
      <c r="P1037" s="2"/>
      <c r="Q1037" s="2"/>
      <c r="R1037" s="2"/>
    </row>
    <row r="1038">
      <c r="A1038" s="2"/>
      <c r="B1038" s="2"/>
      <c r="C1038" s="2"/>
      <c r="D1038" s="2"/>
      <c r="E1038" s="2"/>
      <c r="F1038" s="2"/>
      <c r="G1038" s="2"/>
      <c r="H1038" s="2"/>
      <c r="I1038" s="2"/>
      <c r="J1038" s="2"/>
      <c r="K1038" s="2"/>
      <c r="L1038" s="2"/>
      <c r="M1038" s="2"/>
      <c r="N1038" s="2"/>
      <c r="O1038" s="2"/>
      <c r="P1038" s="2"/>
      <c r="Q1038" s="2"/>
      <c r="R1038" s="2"/>
    </row>
    <row r="1039">
      <c r="A1039" s="2"/>
      <c r="B1039" s="2"/>
      <c r="C1039" s="2"/>
      <c r="D1039" s="2"/>
      <c r="E1039" s="2"/>
      <c r="F1039" s="2"/>
      <c r="G1039" s="2"/>
      <c r="H1039" s="2"/>
      <c r="I1039" s="2"/>
      <c r="J1039" s="2"/>
      <c r="K1039" s="2"/>
      <c r="L1039" s="2"/>
      <c r="M1039" s="2"/>
      <c r="N1039" s="2"/>
      <c r="O1039" s="2"/>
      <c r="P1039" s="2"/>
      <c r="Q1039" s="2"/>
      <c r="R1039" s="2"/>
    </row>
    <row r="1040">
      <c r="A1040" s="2"/>
      <c r="B1040" s="2"/>
      <c r="C1040" s="2"/>
      <c r="D1040" s="2"/>
      <c r="E1040" s="2"/>
      <c r="F1040" s="2"/>
      <c r="G1040" s="2"/>
      <c r="H1040" s="2"/>
      <c r="I1040" s="2"/>
      <c r="J1040" s="2"/>
      <c r="K1040" s="2"/>
      <c r="L1040" s="2"/>
      <c r="M1040" s="2"/>
      <c r="N1040" s="2"/>
      <c r="O1040" s="2"/>
      <c r="P1040" s="2"/>
      <c r="Q1040" s="2"/>
      <c r="R1040" s="2"/>
    </row>
    <row r="1041">
      <c r="A1041" s="2"/>
      <c r="B1041" s="2"/>
      <c r="C1041" s="2"/>
      <c r="D1041" s="2"/>
      <c r="E1041" s="2"/>
      <c r="F1041" s="2"/>
      <c r="G1041" s="2"/>
      <c r="H1041" s="2"/>
      <c r="I1041" s="2"/>
      <c r="J1041" s="2"/>
      <c r="K1041" s="2"/>
      <c r="L1041" s="2"/>
      <c r="M1041" s="2"/>
      <c r="N1041" s="2"/>
      <c r="O1041" s="2"/>
      <c r="P1041" s="2"/>
      <c r="Q1041" s="2"/>
      <c r="R1041" s="2"/>
    </row>
    <row r="1042">
      <c r="A1042" s="2"/>
      <c r="B1042" s="2"/>
      <c r="C1042" s="2"/>
      <c r="D1042" s="2"/>
      <c r="E1042" s="2"/>
      <c r="F1042" s="2"/>
      <c r="G1042" s="2"/>
      <c r="H1042" s="2"/>
      <c r="I1042" s="2"/>
      <c r="J1042" s="2"/>
      <c r="K1042" s="2"/>
      <c r="L1042" s="2"/>
      <c r="M1042" s="2"/>
      <c r="N1042" s="2"/>
      <c r="O1042" s="2"/>
      <c r="P1042" s="2"/>
      <c r="Q1042" s="2"/>
      <c r="R1042" s="2"/>
    </row>
    <row r="1043">
      <c r="A1043" s="2"/>
      <c r="B1043" s="2"/>
      <c r="C1043" s="2"/>
      <c r="D1043" s="2"/>
      <c r="E1043" s="2"/>
      <c r="F1043" s="2"/>
      <c r="G1043" s="2"/>
      <c r="H1043" s="2"/>
      <c r="I1043" s="2"/>
      <c r="J1043" s="2"/>
      <c r="K1043" s="2"/>
      <c r="L1043" s="2"/>
      <c r="M1043" s="2"/>
      <c r="N1043" s="2"/>
      <c r="O1043" s="2"/>
      <c r="P1043" s="2"/>
      <c r="Q1043" s="2"/>
      <c r="R1043" s="2"/>
    </row>
    <row r="1044">
      <c r="A1044" s="2"/>
      <c r="B1044" s="2"/>
      <c r="C1044" s="2"/>
      <c r="D1044" s="2"/>
      <c r="E1044" s="2"/>
      <c r="F1044" s="2"/>
      <c r="G1044" s="2"/>
      <c r="H1044" s="2"/>
      <c r="I1044" s="2"/>
      <c r="J1044" s="2"/>
      <c r="K1044" s="2"/>
      <c r="L1044" s="2"/>
      <c r="M1044" s="2"/>
      <c r="N1044" s="2"/>
      <c r="O1044" s="2"/>
      <c r="P1044" s="2"/>
      <c r="Q1044" s="2"/>
      <c r="R1044" s="2"/>
    </row>
    <row r="1045">
      <c r="A1045" s="2"/>
      <c r="B1045" s="2"/>
      <c r="C1045" s="2"/>
      <c r="D1045" s="2"/>
      <c r="E1045" s="2"/>
      <c r="F1045" s="2"/>
      <c r="G1045" s="2"/>
      <c r="H1045" s="2"/>
      <c r="I1045" s="2"/>
      <c r="J1045" s="2"/>
      <c r="K1045" s="2"/>
      <c r="L1045" s="2"/>
      <c r="M1045" s="2"/>
      <c r="N1045" s="2"/>
      <c r="O1045" s="2"/>
      <c r="P1045" s="2"/>
      <c r="Q1045" s="2"/>
      <c r="R1045" s="2"/>
    </row>
    <row r="1046">
      <c r="A1046" s="2"/>
      <c r="B1046" s="2"/>
      <c r="C1046" s="2"/>
      <c r="D1046" s="2"/>
      <c r="E1046" s="2"/>
      <c r="F1046" s="2"/>
      <c r="G1046" s="2"/>
      <c r="H1046" s="2"/>
      <c r="I1046" s="2"/>
      <c r="J1046" s="2"/>
      <c r="K1046" s="2"/>
      <c r="L1046" s="2"/>
      <c r="M1046" s="2"/>
      <c r="N1046" s="2"/>
      <c r="O1046" s="2"/>
      <c r="P1046" s="2"/>
      <c r="Q1046" s="2"/>
      <c r="R1046" s="2"/>
    </row>
    <row r="1047">
      <c r="A1047" s="2"/>
      <c r="B1047" s="2"/>
      <c r="C1047" s="2"/>
      <c r="D1047" s="2"/>
      <c r="E1047" s="2"/>
      <c r="F1047" s="2"/>
      <c r="G1047" s="2"/>
      <c r="H1047" s="2"/>
      <c r="I1047" s="2"/>
      <c r="J1047" s="2"/>
      <c r="K1047" s="2"/>
      <c r="L1047" s="2"/>
      <c r="M1047" s="2"/>
      <c r="N1047" s="2"/>
      <c r="O1047" s="2"/>
      <c r="P1047" s="2"/>
      <c r="Q1047" s="2"/>
      <c r="R1047" s="2"/>
    </row>
    <row r="1048">
      <c r="A1048" s="2"/>
      <c r="B1048" s="2"/>
      <c r="C1048" s="2"/>
      <c r="D1048" s="2"/>
      <c r="E1048" s="2"/>
      <c r="F1048" s="2"/>
      <c r="G1048" s="2"/>
      <c r="H1048" s="2"/>
      <c r="I1048" s="2"/>
      <c r="J1048" s="2"/>
      <c r="K1048" s="2"/>
      <c r="L1048" s="2"/>
      <c r="M1048" s="2"/>
      <c r="N1048" s="2"/>
      <c r="O1048" s="2"/>
      <c r="P1048" s="2"/>
      <c r="Q1048" s="2"/>
      <c r="R1048" s="2"/>
    </row>
    <row r="1049">
      <c r="A1049" s="2"/>
      <c r="B1049" s="2"/>
      <c r="C1049" s="2"/>
      <c r="D1049" s="2"/>
      <c r="E1049" s="2"/>
      <c r="F1049" s="2"/>
      <c r="G1049" s="2"/>
      <c r="H1049" s="2"/>
      <c r="I1049" s="2"/>
      <c r="J1049" s="2"/>
      <c r="K1049" s="2"/>
      <c r="L1049" s="2"/>
      <c r="M1049" s="2"/>
      <c r="N1049" s="2"/>
      <c r="O1049" s="2"/>
      <c r="P1049" s="2"/>
      <c r="Q1049" s="2"/>
      <c r="R1049" s="2"/>
    </row>
    <row r="1050">
      <c r="A1050" s="2"/>
      <c r="B1050" s="2"/>
      <c r="C1050" s="2"/>
      <c r="D1050" s="2"/>
      <c r="E1050" s="2"/>
      <c r="F1050" s="2"/>
      <c r="G1050" s="2"/>
      <c r="H1050" s="2"/>
      <c r="I1050" s="2"/>
      <c r="J1050" s="2"/>
      <c r="K1050" s="2"/>
      <c r="L1050" s="2"/>
      <c r="M1050" s="2"/>
      <c r="N1050" s="2"/>
      <c r="O1050" s="2"/>
      <c r="P1050" s="2"/>
      <c r="Q1050" s="2"/>
      <c r="R1050" s="2"/>
    </row>
    <row r="1051">
      <c r="A1051" s="2"/>
      <c r="B1051" s="2"/>
      <c r="C1051" s="2"/>
      <c r="D1051" s="2"/>
      <c r="E1051" s="2"/>
      <c r="F1051" s="2"/>
      <c r="G1051" s="2"/>
      <c r="H1051" s="2"/>
      <c r="I1051" s="2"/>
      <c r="J1051" s="2"/>
      <c r="K1051" s="2"/>
      <c r="L1051" s="2"/>
      <c r="M1051" s="2"/>
      <c r="N1051" s="2"/>
      <c r="O1051" s="2"/>
      <c r="P1051" s="2"/>
      <c r="Q1051" s="2"/>
      <c r="R1051" s="2"/>
    </row>
    <row r="1052">
      <c r="A1052" s="2"/>
      <c r="B1052" s="2"/>
      <c r="C1052" s="2"/>
      <c r="D1052" s="2"/>
      <c r="E1052" s="2"/>
      <c r="F1052" s="2"/>
      <c r="G1052" s="2"/>
      <c r="H1052" s="2"/>
      <c r="I1052" s="2"/>
      <c r="J1052" s="2"/>
      <c r="K1052" s="2"/>
      <c r="L1052" s="2"/>
      <c r="M1052" s="2"/>
      <c r="N1052" s="2"/>
      <c r="O1052" s="2"/>
      <c r="P1052" s="2"/>
      <c r="Q1052" s="2"/>
      <c r="R1052" s="2"/>
    </row>
    <row r="1053">
      <c r="A1053" s="2"/>
      <c r="B1053" s="2"/>
      <c r="C1053" s="2"/>
      <c r="D1053" s="2"/>
      <c r="E1053" s="2"/>
      <c r="F1053" s="2"/>
      <c r="G1053" s="2"/>
      <c r="H1053" s="2"/>
      <c r="I1053" s="2"/>
      <c r="J1053" s="2"/>
      <c r="K1053" s="2"/>
      <c r="L1053" s="2"/>
      <c r="M1053" s="2"/>
      <c r="N1053" s="2"/>
      <c r="O1053" s="2"/>
      <c r="P1053" s="2"/>
      <c r="Q1053" s="2"/>
      <c r="R1053" s="2"/>
    </row>
    <row r="1054">
      <c r="A1054" s="2"/>
      <c r="B1054" s="2"/>
      <c r="C1054" s="2"/>
      <c r="D1054" s="2"/>
      <c r="E1054" s="2"/>
      <c r="F1054" s="2"/>
      <c r="G1054" s="2"/>
      <c r="H1054" s="2"/>
      <c r="I1054" s="2"/>
      <c r="J1054" s="2"/>
      <c r="K1054" s="2"/>
      <c r="L1054" s="2"/>
      <c r="M1054" s="2"/>
      <c r="N1054" s="2"/>
      <c r="O1054" s="2"/>
      <c r="P1054" s="2"/>
      <c r="Q1054" s="2"/>
      <c r="R1054" s="2"/>
    </row>
    <row r="1055">
      <c r="A1055" s="2"/>
      <c r="B1055" s="2"/>
      <c r="C1055" s="2"/>
      <c r="D1055" s="2"/>
      <c r="E1055" s="2"/>
      <c r="F1055" s="2"/>
      <c r="G1055" s="2"/>
      <c r="H1055" s="2"/>
      <c r="I1055" s="2"/>
      <c r="J1055" s="2"/>
      <c r="K1055" s="2"/>
      <c r="L1055" s="2"/>
      <c r="M1055" s="2"/>
      <c r="N1055" s="2"/>
      <c r="O1055" s="2"/>
      <c r="P1055" s="2"/>
      <c r="Q1055" s="2"/>
      <c r="R1055" s="2"/>
    </row>
    <row r="1056">
      <c r="A1056" s="2"/>
      <c r="B1056" s="2"/>
      <c r="C1056" s="2"/>
      <c r="D1056" s="2"/>
      <c r="E1056" s="2"/>
      <c r="F1056" s="2"/>
      <c r="G1056" s="2"/>
      <c r="H1056" s="2"/>
      <c r="I1056" s="2"/>
      <c r="J1056" s="2"/>
      <c r="K1056" s="2"/>
      <c r="L1056" s="2"/>
      <c r="M1056" s="2"/>
      <c r="N1056" s="2"/>
      <c r="O1056" s="2"/>
      <c r="P1056" s="2"/>
      <c r="Q1056" s="2"/>
      <c r="R1056" s="2"/>
    </row>
    <row r="1057">
      <c r="A1057" s="2"/>
      <c r="B1057" s="2"/>
      <c r="C1057" s="2"/>
      <c r="D1057" s="2"/>
      <c r="E1057" s="2"/>
      <c r="F1057" s="2"/>
      <c r="G1057" s="2"/>
      <c r="H1057" s="2"/>
      <c r="I1057" s="2"/>
      <c r="J1057" s="2"/>
      <c r="K1057" s="2"/>
      <c r="L1057" s="2"/>
      <c r="M1057" s="2"/>
      <c r="N1057" s="2"/>
      <c r="O1057" s="2"/>
      <c r="P1057" s="2"/>
      <c r="Q1057" s="2"/>
      <c r="R1057" s="2"/>
    </row>
    <row r="1058">
      <c r="A1058" s="2"/>
      <c r="B1058" s="2"/>
      <c r="C1058" s="2"/>
      <c r="D1058" s="2"/>
      <c r="E1058" s="2"/>
      <c r="F1058" s="2"/>
      <c r="G1058" s="2"/>
      <c r="H1058" s="2"/>
      <c r="I1058" s="2"/>
      <c r="J1058" s="2"/>
      <c r="K1058" s="2"/>
      <c r="L1058" s="2"/>
      <c r="M1058" s="2"/>
      <c r="N1058" s="2"/>
      <c r="O1058" s="2"/>
      <c r="P1058" s="2"/>
      <c r="Q1058" s="2"/>
      <c r="R1058" s="2"/>
    </row>
    <row r="1059">
      <c r="A1059" s="2"/>
      <c r="B1059" s="2"/>
      <c r="C1059" s="2"/>
      <c r="D1059" s="2"/>
      <c r="E1059" s="2"/>
      <c r="F1059" s="2"/>
      <c r="G1059" s="2"/>
      <c r="H1059" s="2"/>
      <c r="I1059" s="2"/>
      <c r="J1059" s="2"/>
      <c r="K1059" s="2"/>
      <c r="L1059" s="2"/>
      <c r="M1059" s="2"/>
      <c r="N1059" s="2"/>
      <c r="O1059" s="2"/>
      <c r="P1059" s="2"/>
      <c r="Q1059" s="2"/>
      <c r="R1059" s="2"/>
    </row>
    <row r="1060">
      <c r="A1060" s="2"/>
      <c r="B1060" s="2"/>
      <c r="C1060" s="2"/>
      <c r="D1060" s="2"/>
      <c r="E1060" s="2"/>
      <c r="F1060" s="2"/>
      <c r="G1060" s="2"/>
      <c r="H1060" s="2"/>
      <c r="I1060" s="2"/>
      <c r="J1060" s="2"/>
      <c r="K1060" s="2"/>
      <c r="L1060" s="2"/>
      <c r="M1060" s="2"/>
      <c r="N1060" s="2"/>
      <c r="O1060" s="2"/>
      <c r="P1060" s="2"/>
      <c r="Q1060" s="2"/>
      <c r="R1060" s="2"/>
    </row>
    <row r="1061">
      <c r="A1061" s="2"/>
      <c r="B1061" s="2"/>
      <c r="C1061" s="2"/>
      <c r="D1061" s="2"/>
      <c r="E1061" s="2"/>
      <c r="F1061" s="2"/>
      <c r="G1061" s="2"/>
      <c r="H1061" s="2"/>
      <c r="I1061" s="2"/>
      <c r="J1061" s="2"/>
      <c r="K1061" s="2"/>
      <c r="L1061" s="2"/>
      <c r="M1061" s="2"/>
      <c r="N1061" s="2"/>
      <c r="O1061" s="2"/>
      <c r="P1061" s="2"/>
      <c r="Q1061" s="2"/>
      <c r="R1061" s="2"/>
    </row>
    <row r="1062">
      <c r="A1062" s="2"/>
      <c r="B1062" s="2"/>
      <c r="C1062" s="2"/>
      <c r="D1062" s="2"/>
      <c r="E1062" s="2"/>
      <c r="F1062" s="2"/>
      <c r="G1062" s="2"/>
      <c r="H1062" s="2"/>
      <c r="I1062" s="2"/>
      <c r="J1062" s="2"/>
      <c r="K1062" s="2"/>
      <c r="L1062" s="2"/>
      <c r="M1062" s="2"/>
      <c r="N1062" s="2"/>
      <c r="O1062" s="2"/>
      <c r="P1062" s="2"/>
      <c r="Q1062" s="2"/>
      <c r="R1062" s="2"/>
    </row>
    <row r="1063">
      <c r="A1063" s="2"/>
      <c r="B1063" s="2"/>
      <c r="C1063" s="2"/>
      <c r="D1063" s="2"/>
      <c r="E1063" s="2"/>
      <c r="F1063" s="2"/>
      <c r="G1063" s="2"/>
      <c r="H1063" s="2"/>
      <c r="I1063" s="2"/>
      <c r="J1063" s="2"/>
      <c r="K1063" s="2"/>
      <c r="L1063" s="2"/>
      <c r="M1063" s="2"/>
      <c r="N1063" s="2"/>
      <c r="O1063" s="2"/>
      <c r="P1063" s="2"/>
      <c r="Q1063" s="2"/>
      <c r="R1063" s="2"/>
    </row>
    <row r="1064">
      <c r="A1064" s="2"/>
      <c r="B1064" s="2"/>
      <c r="C1064" s="2"/>
      <c r="D1064" s="2"/>
      <c r="E1064" s="2"/>
      <c r="F1064" s="2"/>
      <c r="G1064" s="2"/>
      <c r="H1064" s="2"/>
      <c r="I1064" s="2"/>
      <c r="J1064" s="2"/>
      <c r="K1064" s="2"/>
      <c r="L1064" s="2"/>
      <c r="M1064" s="2"/>
      <c r="N1064" s="2"/>
      <c r="O1064" s="2"/>
      <c r="P1064" s="2"/>
      <c r="Q1064" s="2"/>
      <c r="R1064" s="2"/>
    </row>
    <row r="1065">
      <c r="A1065" s="2"/>
      <c r="B1065" s="2"/>
      <c r="C1065" s="2"/>
      <c r="D1065" s="2"/>
      <c r="E1065" s="2"/>
      <c r="F1065" s="2"/>
      <c r="G1065" s="2"/>
      <c r="H1065" s="2"/>
      <c r="I1065" s="2"/>
      <c r="J1065" s="2"/>
      <c r="K1065" s="2"/>
      <c r="L1065" s="2"/>
      <c r="M1065" s="2"/>
      <c r="N1065" s="2"/>
      <c r="O1065" s="2"/>
      <c r="P1065" s="2"/>
      <c r="Q1065" s="2"/>
      <c r="R1065" s="2"/>
    </row>
    <row r="1066">
      <c r="A1066" s="2"/>
      <c r="B1066" s="2"/>
      <c r="C1066" s="2"/>
      <c r="D1066" s="2"/>
      <c r="E1066" s="2"/>
      <c r="F1066" s="2"/>
      <c r="G1066" s="2"/>
      <c r="H1066" s="2"/>
      <c r="I1066" s="2"/>
      <c r="J1066" s="2"/>
      <c r="K1066" s="2"/>
      <c r="L1066" s="2"/>
      <c r="M1066" s="2"/>
      <c r="N1066" s="2"/>
      <c r="O1066" s="2"/>
      <c r="P1066" s="2"/>
      <c r="Q1066" s="2"/>
      <c r="R1066" s="2"/>
    </row>
    <row r="1067">
      <c r="A1067" s="2"/>
      <c r="B1067" s="2"/>
      <c r="C1067" s="2"/>
      <c r="D1067" s="2"/>
      <c r="E1067" s="2"/>
      <c r="F1067" s="2"/>
      <c r="G1067" s="2"/>
      <c r="H1067" s="2"/>
      <c r="I1067" s="2"/>
      <c r="J1067" s="2"/>
      <c r="K1067" s="2"/>
      <c r="L1067" s="2"/>
      <c r="M1067" s="2"/>
      <c r="N1067" s="2"/>
      <c r="O1067" s="2"/>
      <c r="P1067" s="2"/>
      <c r="Q1067" s="2"/>
      <c r="R1067" s="2"/>
    </row>
    <row r="1068">
      <c r="A1068" s="2"/>
      <c r="B1068" s="2"/>
      <c r="C1068" s="2"/>
      <c r="D1068" s="2"/>
      <c r="E1068" s="2"/>
      <c r="F1068" s="2"/>
      <c r="G1068" s="2"/>
      <c r="H1068" s="2"/>
      <c r="I1068" s="2"/>
      <c r="J1068" s="2"/>
      <c r="K1068" s="2"/>
      <c r="L1068" s="2"/>
      <c r="M1068" s="2"/>
      <c r="N1068" s="2"/>
      <c r="O1068" s="2"/>
      <c r="P1068" s="2"/>
      <c r="Q1068" s="2"/>
      <c r="R1068" s="2"/>
    </row>
    <row r="1069">
      <c r="A1069" s="2"/>
      <c r="B1069" s="2"/>
      <c r="C1069" s="2"/>
      <c r="D1069" s="2"/>
      <c r="E1069" s="2"/>
      <c r="F1069" s="2"/>
      <c r="G1069" s="2"/>
      <c r="H1069" s="2"/>
      <c r="I1069" s="2"/>
      <c r="J1069" s="2"/>
      <c r="K1069" s="2"/>
      <c r="L1069" s="2"/>
      <c r="M1069" s="2"/>
      <c r="N1069" s="2"/>
      <c r="O1069" s="2"/>
      <c r="P1069" s="2"/>
      <c r="Q1069" s="2"/>
      <c r="R1069" s="2"/>
    </row>
    <row r="1070">
      <c r="A1070" s="2"/>
      <c r="B1070" s="2"/>
      <c r="C1070" s="2"/>
      <c r="D1070" s="2"/>
      <c r="E1070" s="2"/>
      <c r="F1070" s="2"/>
      <c r="G1070" s="2"/>
      <c r="H1070" s="2"/>
      <c r="I1070" s="2"/>
      <c r="J1070" s="2"/>
      <c r="K1070" s="2"/>
      <c r="L1070" s="2"/>
      <c r="M1070" s="2"/>
      <c r="N1070" s="2"/>
      <c r="O1070" s="2"/>
      <c r="P1070" s="2"/>
      <c r="Q1070" s="2"/>
      <c r="R1070" s="2"/>
    </row>
    <row r="1071">
      <c r="A1071" s="2"/>
      <c r="B1071" s="2"/>
      <c r="C1071" s="2"/>
      <c r="D1071" s="2"/>
      <c r="E1071" s="2"/>
      <c r="F1071" s="2"/>
      <c r="G1071" s="2"/>
      <c r="H1071" s="2"/>
      <c r="I1071" s="2"/>
      <c r="J1071" s="2"/>
      <c r="K1071" s="2"/>
      <c r="L1071" s="2"/>
      <c r="M1071" s="2"/>
      <c r="N1071" s="2"/>
      <c r="O1071" s="2"/>
      <c r="P1071" s="2"/>
      <c r="Q1071" s="2"/>
      <c r="R1071" s="2"/>
    </row>
    <row r="1072">
      <c r="A1072" s="2"/>
      <c r="B1072" s="2"/>
      <c r="C1072" s="2"/>
      <c r="D1072" s="2"/>
      <c r="E1072" s="2"/>
      <c r="F1072" s="2"/>
      <c r="G1072" s="2"/>
      <c r="H1072" s="2"/>
      <c r="I1072" s="2"/>
      <c r="J1072" s="2"/>
      <c r="K1072" s="2"/>
      <c r="L1072" s="2"/>
      <c r="M1072" s="2"/>
      <c r="N1072" s="2"/>
      <c r="O1072" s="2"/>
      <c r="P1072" s="2"/>
      <c r="Q1072" s="2"/>
      <c r="R1072" s="2"/>
    </row>
    <row r="1073">
      <c r="A1073" s="2"/>
      <c r="B1073" s="2"/>
      <c r="C1073" s="2"/>
      <c r="D1073" s="2"/>
      <c r="E1073" s="2"/>
      <c r="F1073" s="2"/>
      <c r="G1073" s="2"/>
      <c r="H1073" s="2"/>
      <c r="I1073" s="2"/>
      <c r="J1073" s="2"/>
      <c r="K1073" s="2"/>
      <c r="L1073" s="2"/>
      <c r="M1073" s="2"/>
      <c r="N1073" s="2"/>
      <c r="O1073" s="2"/>
      <c r="P1073" s="2"/>
      <c r="Q1073" s="2"/>
      <c r="R1073" s="2"/>
    </row>
    <row r="1074">
      <c r="A1074" s="2"/>
      <c r="B1074" s="2"/>
      <c r="C1074" s="2"/>
      <c r="D1074" s="2"/>
      <c r="E1074" s="2"/>
      <c r="F1074" s="2"/>
      <c r="G1074" s="2"/>
      <c r="H1074" s="2"/>
      <c r="I1074" s="2"/>
      <c r="J1074" s="2"/>
      <c r="K1074" s="2"/>
      <c r="L1074" s="2"/>
      <c r="M1074" s="2"/>
      <c r="N1074" s="2"/>
      <c r="O1074" s="2"/>
      <c r="P1074" s="2"/>
      <c r="Q1074" s="2"/>
      <c r="R1074" s="2"/>
    </row>
    <row r="1075">
      <c r="A1075" s="2"/>
      <c r="B1075" s="2"/>
      <c r="C1075" s="2"/>
      <c r="D1075" s="2"/>
      <c r="E1075" s="2"/>
      <c r="F1075" s="2"/>
      <c r="G1075" s="2"/>
      <c r="H1075" s="2"/>
      <c r="I1075" s="2"/>
      <c r="J1075" s="2"/>
      <c r="K1075" s="2"/>
      <c r="L1075" s="2"/>
      <c r="M1075" s="2"/>
      <c r="N1075" s="2"/>
      <c r="O1075" s="2"/>
      <c r="P1075" s="2"/>
      <c r="Q1075" s="2"/>
      <c r="R1075" s="2"/>
    </row>
    <row r="1076">
      <c r="A1076" s="2"/>
      <c r="B1076" s="2"/>
      <c r="C1076" s="2"/>
      <c r="D1076" s="2"/>
      <c r="E1076" s="2"/>
      <c r="F1076" s="2"/>
      <c r="G1076" s="2"/>
      <c r="H1076" s="2"/>
      <c r="I1076" s="2"/>
      <c r="J1076" s="2"/>
      <c r="K1076" s="2"/>
      <c r="L1076" s="2"/>
      <c r="M1076" s="2"/>
      <c r="N1076" s="2"/>
      <c r="O1076" s="2"/>
      <c r="P1076" s="2"/>
      <c r="Q1076" s="2"/>
      <c r="R1076" s="2"/>
    </row>
    <row r="1077">
      <c r="A1077" s="2"/>
      <c r="B1077" s="2"/>
      <c r="C1077" s="2"/>
      <c r="D1077" s="2"/>
      <c r="E1077" s="2"/>
      <c r="F1077" s="2"/>
      <c r="G1077" s="2"/>
      <c r="H1077" s="2"/>
      <c r="I1077" s="2"/>
      <c r="J1077" s="2"/>
      <c r="K1077" s="2"/>
      <c r="L1077" s="2"/>
      <c r="M1077" s="2"/>
      <c r="N1077" s="2"/>
      <c r="O1077" s="2"/>
      <c r="P1077" s="2"/>
      <c r="Q1077" s="2"/>
      <c r="R1077" s="2"/>
    </row>
    <row r="1078">
      <c r="A1078" s="2"/>
      <c r="B1078" s="2"/>
      <c r="C1078" s="2"/>
      <c r="D1078" s="2"/>
      <c r="E1078" s="2"/>
      <c r="F1078" s="2"/>
      <c r="G1078" s="2"/>
      <c r="H1078" s="2"/>
      <c r="I1078" s="2"/>
      <c r="J1078" s="2"/>
      <c r="K1078" s="2"/>
      <c r="L1078" s="2"/>
      <c r="M1078" s="2"/>
      <c r="N1078" s="2"/>
      <c r="O1078" s="2"/>
      <c r="P1078" s="2"/>
      <c r="Q1078" s="2"/>
      <c r="R1078" s="2"/>
    </row>
    <row r="1079">
      <c r="A1079" s="2"/>
      <c r="B1079" s="2"/>
      <c r="C1079" s="2"/>
      <c r="D1079" s="2"/>
      <c r="E1079" s="2"/>
      <c r="F1079" s="2"/>
      <c r="G1079" s="2"/>
      <c r="H1079" s="2"/>
      <c r="I1079" s="2"/>
      <c r="J1079" s="2"/>
      <c r="K1079" s="2"/>
      <c r="L1079" s="2"/>
      <c r="M1079" s="2"/>
      <c r="N1079" s="2"/>
      <c r="O1079" s="2"/>
      <c r="P1079" s="2"/>
      <c r="Q1079" s="2"/>
      <c r="R1079" s="2"/>
    </row>
    <row r="1080">
      <c r="A1080" s="2"/>
      <c r="B1080" s="2"/>
      <c r="C1080" s="2"/>
      <c r="D1080" s="2"/>
      <c r="E1080" s="2"/>
      <c r="F1080" s="2"/>
      <c r="G1080" s="2"/>
      <c r="H1080" s="2"/>
      <c r="I1080" s="2"/>
      <c r="J1080" s="2"/>
      <c r="K1080" s="2"/>
      <c r="L1080" s="2"/>
      <c r="M1080" s="2"/>
      <c r="N1080" s="2"/>
      <c r="O1080" s="2"/>
      <c r="P1080" s="2"/>
      <c r="Q1080" s="2"/>
      <c r="R1080" s="2"/>
    </row>
    <row r="1081">
      <c r="A1081" s="2"/>
      <c r="B1081" s="2"/>
      <c r="C1081" s="2"/>
      <c r="D1081" s="2"/>
      <c r="E1081" s="2"/>
      <c r="F1081" s="2"/>
      <c r="G1081" s="2"/>
      <c r="H1081" s="2"/>
      <c r="I1081" s="2"/>
      <c r="J1081" s="2"/>
      <c r="K1081" s="2"/>
      <c r="L1081" s="2"/>
      <c r="M1081" s="2"/>
      <c r="N1081" s="2"/>
      <c r="O1081" s="2"/>
      <c r="P1081" s="2"/>
      <c r="Q1081" s="2"/>
      <c r="R1081" s="2"/>
    </row>
    <row r="1082">
      <c r="A1082" s="2"/>
      <c r="B1082" s="2"/>
      <c r="C1082" s="2"/>
      <c r="D1082" s="2"/>
      <c r="E1082" s="2"/>
      <c r="F1082" s="2"/>
      <c r="G1082" s="2"/>
      <c r="H1082" s="2"/>
      <c r="I1082" s="2"/>
      <c r="J1082" s="2"/>
      <c r="K1082" s="2"/>
      <c r="L1082" s="2"/>
      <c r="M1082" s="2"/>
      <c r="N1082" s="2"/>
      <c r="O1082" s="2"/>
      <c r="P1082" s="2"/>
      <c r="Q1082" s="2"/>
      <c r="R1082" s="2"/>
    </row>
    <row r="1083">
      <c r="A1083" s="2"/>
      <c r="B1083" s="2"/>
      <c r="C1083" s="2"/>
      <c r="D1083" s="2"/>
      <c r="E1083" s="2"/>
      <c r="F1083" s="2"/>
      <c r="G1083" s="2"/>
      <c r="H1083" s="2"/>
      <c r="I1083" s="2"/>
      <c r="J1083" s="2"/>
      <c r="K1083" s="2"/>
      <c r="L1083" s="2"/>
      <c r="M1083" s="2"/>
      <c r="N1083" s="2"/>
      <c r="O1083" s="2"/>
      <c r="P1083" s="2"/>
      <c r="Q1083" s="2"/>
      <c r="R1083" s="2"/>
    </row>
    <row r="1084">
      <c r="A1084" s="2"/>
      <c r="B1084" s="2"/>
      <c r="C1084" s="2"/>
      <c r="D1084" s="2"/>
      <c r="E1084" s="2"/>
      <c r="F1084" s="2"/>
      <c r="G1084" s="2"/>
      <c r="H1084" s="2"/>
      <c r="I1084" s="2"/>
      <c r="J1084" s="2"/>
      <c r="K1084" s="2"/>
      <c r="L1084" s="2"/>
      <c r="M1084" s="2"/>
      <c r="N1084" s="2"/>
      <c r="O1084" s="2"/>
      <c r="P1084" s="2"/>
      <c r="Q1084" s="2"/>
      <c r="R1084" s="2"/>
    </row>
    <row r="1085">
      <c r="A1085" s="2"/>
      <c r="B1085" s="2"/>
      <c r="C1085" s="2"/>
      <c r="D1085" s="2"/>
      <c r="E1085" s="2"/>
      <c r="F1085" s="2"/>
      <c r="G1085" s="2"/>
      <c r="H1085" s="2"/>
      <c r="I1085" s="2"/>
      <c r="J1085" s="2"/>
      <c r="K1085" s="2"/>
      <c r="L1085" s="2"/>
      <c r="M1085" s="2"/>
      <c r="N1085" s="2"/>
      <c r="O1085" s="2"/>
      <c r="P1085" s="2"/>
      <c r="Q1085" s="2"/>
      <c r="R1085" s="2"/>
    </row>
    <row r="1086">
      <c r="A1086" s="2"/>
      <c r="B1086" s="2"/>
      <c r="C1086" s="2"/>
      <c r="D1086" s="2"/>
      <c r="E1086" s="2"/>
      <c r="F1086" s="2"/>
      <c r="G1086" s="2"/>
      <c r="H1086" s="2"/>
      <c r="I1086" s="2"/>
      <c r="J1086" s="2"/>
      <c r="K1086" s="2"/>
      <c r="L1086" s="2"/>
      <c r="M1086" s="2"/>
      <c r="N1086" s="2"/>
      <c r="O1086" s="2"/>
      <c r="P1086" s="2"/>
      <c r="Q1086" s="2"/>
      <c r="R1086" s="2"/>
    </row>
    <row r="1087">
      <c r="A1087" s="2"/>
      <c r="B1087" s="2"/>
      <c r="C1087" s="2"/>
      <c r="D1087" s="2"/>
      <c r="E1087" s="2"/>
      <c r="F1087" s="2"/>
      <c r="G1087" s="2"/>
      <c r="H1087" s="2"/>
      <c r="I1087" s="2"/>
      <c r="J1087" s="2"/>
      <c r="K1087" s="2"/>
      <c r="L1087" s="2"/>
      <c r="M1087" s="2"/>
      <c r="N1087" s="2"/>
      <c r="O1087" s="2"/>
      <c r="P1087" s="2"/>
      <c r="Q1087" s="2"/>
      <c r="R1087" s="2"/>
    </row>
    <row r="1088">
      <c r="A1088" s="2"/>
      <c r="B1088" s="2"/>
      <c r="C1088" s="2"/>
      <c r="D1088" s="2"/>
      <c r="E1088" s="2"/>
      <c r="F1088" s="2"/>
      <c r="G1088" s="2"/>
      <c r="H1088" s="2"/>
      <c r="I1088" s="2"/>
      <c r="J1088" s="2"/>
      <c r="K1088" s="2"/>
      <c r="L1088" s="2"/>
      <c r="M1088" s="2"/>
      <c r="N1088" s="2"/>
      <c r="O1088" s="2"/>
      <c r="P1088" s="2"/>
      <c r="Q1088" s="2"/>
      <c r="R1088" s="2"/>
    </row>
    <row r="1089">
      <c r="A1089" s="2"/>
      <c r="B1089" s="2"/>
      <c r="C1089" s="2"/>
      <c r="D1089" s="2"/>
      <c r="E1089" s="2"/>
      <c r="F1089" s="2"/>
      <c r="G1089" s="2"/>
      <c r="H1089" s="2"/>
      <c r="I1089" s="2"/>
      <c r="J1089" s="2"/>
      <c r="K1089" s="2"/>
      <c r="L1089" s="2"/>
      <c r="M1089" s="2"/>
      <c r="N1089" s="2"/>
      <c r="O1089" s="2"/>
      <c r="P1089" s="2"/>
      <c r="Q1089" s="2"/>
      <c r="R1089" s="2"/>
    </row>
    <row r="1090">
      <c r="A1090" s="2"/>
      <c r="B1090" s="2"/>
      <c r="C1090" s="2"/>
      <c r="D1090" s="2"/>
      <c r="E1090" s="2"/>
      <c r="F1090" s="2"/>
      <c r="G1090" s="2"/>
      <c r="H1090" s="2"/>
      <c r="I1090" s="2"/>
      <c r="J1090" s="2"/>
      <c r="K1090" s="2"/>
      <c r="L1090" s="2"/>
      <c r="M1090" s="2"/>
      <c r="N1090" s="2"/>
      <c r="O1090" s="2"/>
      <c r="P1090" s="2"/>
      <c r="Q1090" s="2"/>
      <c r="R1090" s="2"/>
    </row>
    <row r="1091">
      <c r="A1091" s="2"/>
      <c r="B1091" s="2"/>
      <c r="C1091" s="2"/>
      <c r="D1091" s="2"/>
      <c r="E1091" s="2"/>
      <c r="F1091" s="2"/>
      <c r="G1091" s="2"/>
      <c r="H1091" s="2"/>
      <c r="I1091" s="2"/>
      <c r="J1091" s="2"/>
      <c r="K1091" s="2"/>
      <c r="L1091" s="2"/>
      <c r="M1091" s="2"/>
      <c r="N1091" s="2"/>
      <c r="O1091" s="2"/>
      <c r="P1091" s="2"/>
      <c r="Q1091" s="2"/>
      <c r="R1091" s="2"/>
    </row>
    <row r="1092">
      <c r="A1092" s="2"/>
      <c r="B1092" s="2"/>
      <c r="C1092" s="2"/>
      <c r="D1092" s="2"/>
      <c r="E1092" s="2"/>
      <c r="F1092" s="2"/>
      <c r="G1092" s="2"/>
      <c r="H1092" s="2"/>
      <c r="I1092" s="2"/>
      <c r="J1092" s="2"/>
      <c r="K1092" s="2"/>
      <c r="L1092" s="2"/>
      <c r="M1092" s="2"/>
      <c r="N1092" s="2"/>
      <c r="O1092" s="2"/>
      <c r="P1092" s="2"/>
      <c r="Q1092" s="2"/>
      <c r="R1092" s="2"/>
    </row>
    <row r="1093">
      <c r="A1093" s="2"/>
      <c r="B1093" s="2"/>
      <c r="C1093" s="2"/>
      <c r="D1093" s="2"/>
      <c r="E1093" s="2"/>
      <c r="F1093" s="2"/>
      <c r="G1093" s="2"/>
      <c r="H1093" s="2"/>
      <c r="I1093" s="2"/>
      <c r="J1093" s="2"/>
      <c r="K1093" s="2"/>
      <c r="L1093" s="2"/>
      <c r="M1093" s="2"/>
      <c r="N1093" s="2"/>
      <c r="O1093" s="2"/>
      <c r="P1093" s="2"/>
      <c r="Q1093" s="2"/>
      <c r="R1093" s="2"/>
    </row>
    <row r="1094">
      <c r="A1094" s="2"/>
      <c r="B1094" s="2"/>
      <c r="C1094" s="2"/>
      <c r="D1094" s="2"/>
      <c r="E1094" s="2"/>
      <c r="F1094" s="2"/>
      <c r="G1094" s="2"/>
      <c r="H1094" s="2"/>
      <c r="I1094" s="2"/>
      <c r="J1094" s="2"/>
      <c r="K1094" s="2"/>
      <c r="L1094" s="2"/>
      <c r="M1094" s="2"/>
      <c r="N1094" s="2"/>
      <c r="O1094" s="2"/>
      <c r="P1094" s="2"/>
      <c r="Q1094" s="2"/>
      <c r="R1094" s="2"/>
    </row>
    <row r="1095">
      <c r="A1095" s="2"/>
      <c r="B1095" s="2"/>
      <c r="C1095" s="2"/>
      <c r="D1095" s="2"/>
      <c r="E1095" s="2"/>
      <c r="F1095" s="2"/>
      <c r="G1095" s="2"/>
      <c r="H1095" s="2"/>
      <c r="I1095" s="2"/>
      <c r="J1095" s="2"/>
      <c r="K1095" s="2"/>
      <c r="L1095" s="2"/>
      <c r="M1095" s="2"/>
      <c r="N1095" s="2"/>
      <c r="O1095" s="2"/>
      <c r="P1095" s="2"/>
      <c r="Q1095" s="2"/>
      <c r="R1095" s="2"/>
    </row>
    <row r="1096">
      <c r="A1096" s="2"/>
      <c r="B1096" s="2"/>
      <c r="C1096" s="2"/>
      <c r="D1096" s="2"/>
      <c r="E1096" s="2"/>
      <c r="F1096" s="2"/>
      <c r="G1096" s="2"/>
      <c r="H1096" s="2"/>
      <c r="I1096" s="2"/>
      <c r="J1096" s="2"/>
      <c r="K1096" s="2"/>
      <c r="L1096" s="2"/>
      <c r="M1096" s="2"/>
      <c r="N1096" s="2"/>
      <c r="O1096" s="2"/>
      <c r="P1096" s="2"/>
      <c r="Q1096" s="2"/>
      <c r="R1096" s="2"/>
    </row>
    <row r="1097">
      <c r="A1097" s="2"/>
      <c r="B1097" s="2"/>
      <c r="C1097" s="2"/>
      <c r="D1097" s="2"/>
      <c r="E1097" s="2"/>
      <c r="F1097" s="2"/>
      <c r="G1097" s="2"/>
      <c r="H1097" s="2"/>
      <c r="I1097" s="2"/>
      <c r="J1097" s="2"/>
      <c r="K1097" s="2"/>
      <c r="L1097" s="2"/>
      <c r="M1097" s="2"/>
      <c r="N1097" s="2"/>
      <c r="O1097" s="2"/>
      <c r="P1097" s="2"/>
      <c r="Q1097" s="2"/>
      <c r="R1097" s="2"/>
    </row>
    <row r="1098">
      <c r="A1098" s="2"/>
      <c r="B1098" s="2"/>
      <c r="C1098" s="2"/>
      <c r="D1098" s="2"/>
      <c r="E1098" s="2"/>
      <c r="F1098" s="2"/>
      <c r="G1098" s="2"/>
      <c r="H1098" s="2"/>
      <c r="I1098" s="2"/>
      <c r="J1098" s="2"/>
      <c r="K1098" s="2"/>
      <c r="L1098" s="2"/>
      <c r="M1098" s="2"/>
      <c r="N1098" s="2"/>
      <c r="O1098" s="2"/>
      <c r="P1098" s="2"/>
      <c r="Q1098" s="2"/>
      <c r="R1098" s="2"/>
    </row>
    <row r="1099">
      <c r="A1099" s="2"/>
      <c r="B1099" s="2"/>
      <c r="C1099" s="2"/>
      <c r="D1099" s="2"/>
      <c r="E1099" s="2"/>
      <c r="F1099" s="2"/>
      <c r="G1099" s="2"/>
      <c r="H1099" s="2"/>
      <c r="I1099" s="2"/>
      <c r="J1099" s="2"/>
      <c r="K1099" s="2"/>
      <c r="L1099" s="2"/>
      <c r="M1099" s="2"/>
      <c r="N1099" s="2"/>
      <c r="O1099" s="2"/>
      <c r="P1099" s="2"/>
      <c r="Q1099" s="2"/>
      <c r="R1099" s="2"/>
    </row>
    <row r="1100">
      <c r="A1100" s="2"/>
      <c r="B1100" s="2"/>
      <c r="C1100" s="2"/>
      <c r="D1100" s="2"/>
      <c r="E1100" s="2"/>
      <c r="F1100" s="2"/>
      <c r="G1100" s="2"/>
      <c r="H1100" s="2"/>
      <c r="I1100" s="2"/>
      <c r="J1100" s="2"/>
      <c r="K1100" s="2"/>
      <c r="L1100" s="2"/>
      <c r="M1100" s="2"/>
      <c r="N1100" s="2"/>
      <c r="O1100" s="2"/>
      <c r="P1100" s="2"/>
      <c r="Q1100" s="2"/>
      <c r="R1100" s="2"/>
    </row>
    <row r="1101">
      <c r="A1101" s="2"/>
      <c r="B1101" s="2"/>
      <c r="C1101" s="2"/>
      <c r="D1101" s="2"/>
      <c r="E1101" s="2"/>
      <c r="F1101" s="2"/>
      <c r="G1101" s="2"/>
      <c r="H1101" s="2"/>
      <c r="I1101" s="2"/>
      <c r="J1101" s="2"/>
      <c r="K1101" s="2"/>
      <c r="L1101" s="2"/>
      <c r="M1101" s="2"/>
      <c r="N1101" s="2"/>
      <c r="O1101" s="2"/>
      <c r="P1101" s="2"/>
      <c r="Q1101" s="2"/>
      <c r="R1101" s="2"/>
    </row>
    <row r="1102">
      <c r="A1102" s="2"/>
      <c r="B1102" s="2"/>
      <c r="C1102" s="2"/>
      <c r="D1102" s="2"/>
      <c r="E1102" s="2"/>
      <c r="F1102" s="2"/>
      <c r="G1102" s="2"/>
      <c r="H1102" s="2"/>
      <c r="I1102" s="2"/>
      <c r="J1102" s="2"/>
      <c r="K1102" s="2"/>
      <c r="L1102" s="2"/>
      <c r="M1102" s="2"/>
      <c r="N1102" s="2"/>
      <c r="O1102" s="2"/>
      <c r="P1102" s="2"/>
      <c r="Q1102" s="2"/>
      <c r="R1102" s="2"/>
    </row>
    <row r="1103">
      <c r="A1103" s="2"/>
      <c r="B1103" s="2"/>
      <c r="C1103" s="2"/>
      <c r="D1103" s="2"/>
      <c r="E1103" s="2"/>
      <c r="F1103" s="2"/>
      <c r="G1103" s="2"/>
      <c r="H1103" s="2"/>
      <c r="I1103" s="2"/>
      <c r="J1103" s="2"/>
      <c r="K1103" s="2"/>
      <c r="L1103" s="2"/>
      <c r="M1103" s="2"/>
      <c r="N1103" s="2"/>
      <c r="O1103" s="2"/>
      <c r="P1103" s="2"/>
      <c r="Q1103" s="2"/>
      <c r="R1103" s="2"/>
    </row>
    <row r="1104">
      <c r="A1104" s="2"/>
      <c r="B1104" s="2"/>
      <c r="C1104" s="2"/>
      <c r="D1104" s="2"/>
      <c r="E1104" s="2"/>
      <c r="F1104" s="2"/>
      <c r="G1104" s="2"/>
      <c r="H1104" s="2"/>
      <c r="I1104" s="2"/>
      <c r="J1104" s="2"/>
      <c r="K1104" s="2"/>
      <c r="L1104" s="2"/>
      <c r="M1104" s="2"/>
      <c r="N1104" s="2"/>
      <c r="O1104" s="2"/>
      <c r="P1104" s="2"/>
      <c r="Q1104" s="2"/>
      <c r="R1104" s="2"/>
    </row>
    <row r="1105">
      <c r="A1105" s="2"/>
      <c r="B1105" s="2"/>
      <c r="C1105" s="2"/>
      <c r="D1105" s="2"/>
      <c r="E1105" s="2"/>
      <c r="F1105" s="2"/>
      <c r="G1105" s="2"/>
      <c r="H1105" s="2"/>
      <c r="I1105" s="2"/>
      <c r="J1105" s="2"/>
      <c r="K1105" s="2"/>
      <c r="L1105" s="2"/>
      <c r="M1105" s="2"/>
      <c r="N1105" s="2"/>
      <c r="O1105" s="2"/>
      <c r="P1105" s="2"/>
      <c r="Q1105" s="2"/>
      <c r="R1105" s="2"/>
    </row>
    <row r="1106">
      <c r="A1106" s="2"/>
      <c r="B1106" s="2"/>
      <c r="C1106" s="2"/>
      <c r="D1106" s="2"/>
      <c r="E1106" s="2"/>
      <c r="F1106" s="2"/>
      <c r="G1106" s="2"/>
      <c r="H1106" s="2"/>
      <c r="I1106" s="2"/>
      <c r="J1106" s="2"/>
      <c r="K1106" s="2"/>
      <c r="L1106" s="2"/>
      <c r="M1106" s="2"/>
      <c r="N1106" s="2"/>
      <c r="O1106" s="2"/>
      <c r="P1106" s="2"/>
      <c r="Q1106" s="2"/>
      <c r="R1106" s="2"/>
    </row>
    <row r="1107">
      <c r="A1107" s="2"/>
      <c r="B1107" s="2"/>
      <c r="C1107" s="2"/>
      <c r="D1107" s="2"/>
      <c r="E1107" s="2"/>
      <c r="F1107" s="2"/>
      <c r="G1107" s="2"/>
      <c r="H1107" s="2"/>
      <c r="I1107" s="2"/>
      <c r="J1107" s="2"/>
      <c r="K1107" s="2"/>
      <c r="L1107" s="2"/>
      <c r="M1107" s="2"/>
      <c r="N1107" s="2"/>
      <c r="O1107" s="2"/>
      <c r="P1107" s="2"/>
      <c r="Q1107" s="2"/>
      <c r="R1107" s="2"/>
    </row>
    <row r="1108">
      <c r="A1108" s="2"/>
      <c r="B1108" s="2"/>
      <c r="C1108" s="2"/>
      <c r="D1108" s="2"/>
      <c r="E1108" s="2"/>
      <c r="F1108" s="2"/>
      <c r="G1108" s="2"/>
      <c r="H1108" s="2"/>
      <c r="I1108" s="2"/>
      <c r="J1108" s="2"/>
      <c r="K1108" s="2"/>
      <c r="L1108" s="2"/>
      <c r="M1108" s="2"/>
      <c r="N1108" s="2"/>
      <c r="O1108" s="2"/>
      <c r="P1108" s="2"/>
      <c r="Q1108" s="2"/>
      <c r="R1108" s="2"/>
    </row>
    <row r="1109">
      <c r="A1109" s="2"/>
      <c r="B1109" s="2"/>
      <c r="C1109" s="2"/>
      <c r="D1109" s="2"/>
      <c r="E1109" s="2"/>
      <c r="F1109" s="2"/>
      <c r="G1109" s="2"/>
      <c r="H1109" s="2"/>
      <c r="I1109" s="2"/>
      <c r="J1109" s="2"/>
      <c r="K1109" s="2"/>
      <c r="L1109" s="2"/>
      <c r="M1109" s="2"/>
      <c r="N1109" s="2"/>
      <c r="O1109" s="2"/>
      <c r="P1109" s="2"/>
      <c r="Q1109" s="2"/>
      <c r="R1109" s="2"/>
    </row>
    <row r="1110">
      <c r="A1110" s="2"/>
      <c r="B1110" s="2"/>
      <c r="C1110" s="2"/>
      <c r="D1110" s="2"/>
      <c r="E1110" s="2"/>
      <c r="F1110" s="2"/>
      <c r="G1110" s="2"/>
      <c r="H1110" s="2"/>
      <c r="I1110" s="2"/>
      <c r="J1110" s="2"/>
      <c r="K1110" s="2"/>
      <c r="L1110" s="2"/>
      <c r="M1110" s="2"/>
      <c r="N1110" s="2"/>
      <c r="O1110" s="2"/>
      <c r="P1110" s="2"/>
      <c r="Q1110" s="2"/>
      <c r="R1110" s="2"/>
    </row>
    <row r="1111">
      <c r="A1111" s="2"/>
      <c r="B1111" s="2"/>
      <c r="C1111" s="2"/>
      <c r="D1111" s="2"/>
      <c r="E1111" s="2"/>
      <c r="F1111" s="2"/>
      <c r="G1111" s="2"/>
      <c r="H1111" s="2"/>
      <c r="I1111" s="2"/>
      <c r="J1111" s="2"/>
      <c r="K1111" s="2"/>
      <c r="L1111" s="2"/>
      <c r="M1111" s="2"/>
      <c r="N1111" s="2"/>
      <c r="O1111" s="2"/>
      <c r="P1111" s="2"/>
      <c r="Q1111" s="2"/>
      <c r="R1111" s="2"/>
    </row>
    <row r="1112">
      <c r="A1112" s="2"/>
      <c r="B1112" s="2"/>
      <c r="C1112" s="2"/>
      <c r="D1112" s="2"/>
      <c r="E1112" s="2"/>
      <c r="F1112" s="2"/>
      <c r="G1112" s="2"/>
      <c r="H1112" s="2"/>
      <c r="I1112" s="2"/>
      <c r="J1112" s="2"/>
      <c r="K1112" s="2"/>
      <c r="L1112" s="2"/>
      <c r="M1112" s="2"/>
      <c r="N1112" s="2"/>
      <c r="O1112" s="2"/>
      <c r="P1112" s="2"/>
      <c r="Q1112" s="2"/>
      <c r="R1112" s="2"/>
    </row>
    <row r="1113">
      <c r="A1113" s="2"/>
      <c r="B1113" s="2"/>
      <c r="C1113" s="2"/>
      <c r="D1113" s="2"/>
      <c r="E1113" s="2"/>
      <c r="F1113" s="2"/>
      <c r="G1113" s="2"/>
      <c r="H1113" s="2"/>
      <c r="I1113" s="2"/>
      <c r="J1113" s="2"/>
      <c r="K1113" s="2"/>
      <c r="L1113" s="2"/>
      <c r="M1113" s="2"/>
      <c r="N1113" s="2"/>
      <c r="O1113" s="2"/>
      <c r="P1113" s="2"/>
      <c r="Q1113" s="2"/>
      <c r="R1113" s="2"/>
    </row>
    <row r="1114">
      <c r="A1114" s="2"/>
      <c r="B1114" s="2"/>
      <c r="C1114" s="2"/>
      <c r="D1114" s="2"/>
      <c r="E1114" s="2"/>
      <c r="F1114" s="2"/>
      <c r="G1114" s="2"/>
      <c r="H1114" s="2"/>
      <c r="I1114" s="2"/>
      <c r="J1114" s="2"/>
      <c r="K1114" s="2"/>
      <c r="L1114" s="2"/>
      <c r="M1114" s="2"/>
      <c r="N1114" s="2"/>
      <c r="O1114" s="2"/>
      <c r="P1114" s="2"/>
      <c r="Q1114" s="2"/>
      <c r="R1114" s="2"/>
    </row>
    <row r="1115">
      <c r="A1115" s="2"/>
      <c r="B1115" s="2"/>
      <c r="C1115" s="2"/>
      <c r="D1115" s="2"/>
      <c r="E1115" s="2"/>
      <c r="F1115" s="2"/>
      <c r="G1115" s="2"/>
      <c r="H1115" s="2"/>
      <c r="I1115" s="2"/>
      <c r="J1115" s="2"/>
      <c r="K1115" s="2"/>
      <c r="L1115" s="2"/>
      <c r="M1115" s="2"/>
      <c r="N1115" s="2"/>
      <c r="O1115" s="2"/>
      <c r="P1115" s="2"/>
      <c r="Q1115" s="2"/>
      <c r="R1115" s="2"/>
    </row>
  </sheetData>
  <drawing r:id="rId1"/>
  <tableParts count="88">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25.75"/>
    <col customWidth="1" min="3" max="3" width="26.25"/>
    <col customWidth="1" min="5" max="5" width="17.75"/>
    <col customWidth="1" min="8" max="8" width="26.63"/>
    <col customWidth="1" min="9" max="9" width="26.0"/>
    <col customWidth="1" min="10" max="10" width="29.0"/>
    <col customWidth="1" min="11" max="11" width="11.5"/>
  </cols>
  <sheetData>
    <row r="1" ht="22.5" customHeight="1">
      <c r="A1" s="48" t="s">
        <v>431</v>
      </c>
      <c r="B1" s="48" t="s">
        <v>432</v>
      </c>
      <c r="C1" s="48" t="s">
        <v>2</v>
      </c>
      <c r="D1" s="48" t="s">
        <v>0</v>
      </c>
      <c r="E1" s="48" t="s">
        <v>1</v>
      </c>
      <c r="F1" s="48" t="s">
        <v>3</v>
      </c>
      <c r="G1" s="48" t="s">
        <v>433</v>
      </c>
      <c r="H1" s="48" t="s">
        <v>434</v>
      </c>
      <c r="I1" s="48" t="s">
        <v>435</v>
      </c>
      <c r="J1" s="48" t="s">
        <v>436</v>
      </c>
      <c r="K1" s="48" t="s">
        <v>437</v>
      </c>
      <c r="L1" s="48" t="s">
        <v>438</v>
      </c>
      <c r="M1" s="49"/>
      <c r="N1" s="49"/>
      <c r="O1" s="49"/>
      <c r="P1" s="49"/>
      <c r="Q1" s="49"/>
      <c r="R1" s="49"/>
      <c r="S1" s="49"/>
      <c r="T1" s="49"/>
      <c r="U1" s="49"/>
      <c r="V1" s="49"/>
      <c r="W1" s="49"/>
      <c r="X1" s="49"/>
      <c r="Y1" s="49"/>
      <c r="Z1" s="49"/>
    </row>
    <row r="2" ht="22.5" customHeight="1">
      <c r="A2" s="50">
        <v>45996.50471228009</v>
      </c>
      <c r="B2" s="51" t="s">
        <v>439</v>
      </c>
      <c r="C2" s="52" t="s">
        <v>440</v>
      </c>
      <c r="D2" s="51" t="s">
        <v>11</v>
      </c>
      <c r="E2" s="53">
        <v>29.0</v>
      </c>
      <c r="F2" s="53">
        <v>18.0</v>
      </c>
      <c r="G2" s="51" t="s">
        <v>441</v>
      </c>
      <c r="H2" s="51" t="s">
        <v>442</v>
      </c>
      <c r="I2" s="53">
        <v>9.425068194E9</v>
      </c>
      <c r="J2" s="54" t="s">
        <v>443</v>
      </c>
      <c r="K2" s="51" t="s">
        <v>444</v>
      </c>
      <c r="L2" s="55"/>
      <c r="M2" s="49"/>
      <c r="N2" s="49"/>
      <c r="O2" s="49"/>
      <c r="P2" s="49"/>
      <c r="Q2" s="49"/>
      <c r="R2" s="49"/>
      <c r="S2" s="49"/>
      <c r="T2" s="49"/>
      <c r="U2" s="49"/>
      <c r="V2" s="49"/>
      <c r="W2" s="49"/>
      <c r="X2" s="49"/>
      <c r="Y2" s="49"/>
      <c r="Z2" s="49"/>
    </row>
    <row r="3" ht="22.5" customHeight="1">
      <c r="A3" s="56">
        <v>45996.78758209491</v>
      </c>
      <c r="B3" s="57" t="s">
        <v>445</v>
      </c>
      <c r="C3" s="58" t="s">
        <v>446</v>
      </c>
      <c r="D3" s="57" t="s">
        <v>9</v>
      </c>
      <c r="E3" s="59">
        <v>148.0</v>
      </c>
      <c r="F3" s="59">
        <v>18.0</v>
      </c>
      <c r="G3" s="57" t="s">
        <v>447</v>
      </c>
      <c r="H3" s="57" t="s">
        <v>448</v>
      </c>
      <c r="I3" s="59">
        <v>8.169770863E9</v>
      </c>
      <c r="J3" s="60" t="s">
        <v>449</v>
      </c>
      <c r="K3" s="57" t="s">
        <v>444</v>
      </c>
      <c r="L3" s="61"/>
      <c r="M3" s="49"/>
      <c r="N3" s="49"/>
      <c r="O3" s="49"/>
      <c r="P3" s="49"/>
      <c r="Q3" s="49"/>
      <c r="R3" s="49"/>
      <c r="S3" s="49"/>
      <c r="T3" s="49"/>
      <c r="U3" s="49"/>
      <c r="V3" s="49"/>
      <c r="W3" s="49"/>
      <c r="X3" s="49"/>
      <c r="Y3" s="49"/>
      <c r="Z3" s="49"/>
    </row>
    <row r="4" ht="22.5" customHeight="1">
      <c r="A4" s="50">
        <v>45998.66443414352</v>
      </c>
      <c r="B4" s="51" t="s">
        <v>450</v>
      </c>
      <c r="C4" s="62" t="s">
        <v>6</v>
      </c>
      <c r="D4" s="51" t="s">
        <v>5</v>
      </c>
      <c r="E4" s="53">
        <v>1.0</v>
      </c>
      <c r="F4" s="53">
        <v>15.0</v>
      </c>
      <c r="G4" s="51" t="s">
        <v>447</v>
      </c>
      <c r="H4" s="51" t="s">
        <v>451</v>
      </c>
      <c r="I4" s="53">
        <v>7.720064326E9</v>
      </c>
      <c r="J4" s="54" t="s">
        <v>452</v>
      </c>
      <c r="K4" s="51" t="s">
        <v>444</v>
      </c>
      <c r="L4" s="55"/>
      <c r="M4" s="49"/>
      <c r="N4" s="49"/>
      <c r="O4" s="49"/>
      <c r="P4" s="49"/>
      <c r="Q4" s="49"/>
      <c r="R4" s="49"/>
      <c r="S4" s="49"/>
      <c r="T4" s="49"/>
      <c r="U4" s="49"/>
      <c r="V4" s="49"/>
      <c r="W4" s="49"/>
      <c r="X4" s="49"/>
      <c r="Y4" s="49"/>
      <c r="Z4" s="49"/>
    </row>
    <row r="5" ht="22.5" customHeight="1">
      <c r="A5" s="56">
        <v>45996.691060428246</v>
      </c>
      <c r="B5" s="57" t="s">
        <v>453</v>
      </c>
      <c r="C5" s="63" t="s">
        <v>8</v>
      </c>
      <c r="D5" s="57" t="s">
        <v>7</v>
      </c>
      <c r="E5" s="59">
        <v>2.0</v>
      </c>
      <c r="F5" s="59">
        <v>26.0</v>
      </c>
      <c r="G5" s="57" t="s">
        <v>447</v>
      </c>
      <c r="H5" s="57" t="s">
        <v>454</v>
      </c>
      <c r="I5" s="64">
        <v>9.826990266E9</v>
      </c>
      <c r="J5" s="60" t="s">
        <v>455</v>
      </c>
      <c r="K5" s="57" t="s">
        <v>444</v>
      </c>
      <c r="L5" s="61"/>
      <c r="M5" s="49"/>
      <c r="N5" s="49"/>
      <c r="O5" s="49"/>
      <c r="P5" s="49"/>
      <c r="Q5" s="49"/>
      <c r="R5" s="49"/>
      <c r="S5" s="49"/>
      <c r="T5" s="49"/>
      <c r="U5" s="49"/>
      <c r="V5" s="49"/>
      <c r="W5" s="49"/>
      <c r="X5" s="49"/>
      <c r="Y5" s="49"/>
      <c r="Z5" s="49"/>
    </row>
    <row r="6" ht="22.5" customHeight="1">
      <c r="A6" s="50">
        <v>45996.53697804398</v>
      </c>
      <c r="B6" s="51" t="s">
        <v>456</v>
      </c>
      <c r="C6" s="62" t="s">
        <v>457</v>
      </c>
      <c r="D6" s="51" t="s">
        <v>9</v>
      </c>
      <c r="E6" s="53">
        <v>3.0</v>
      </c>
      <c r="F6" s="53">
        <v>20.0</v>
      </c>
      <c r="G6" s="51" t="s">
        <v>458</v>
      </c>
      <c r="H6" s="51" t="s">
        <v>459</v>
      </c>
      <c r="I6" s="65">
        <v>9.825529797E9</v>
      </c>
      <c r="J6" s="54" t="s">
        <v>460</v>
      </c>
      <c r="K6" s="51" t="s">
        <v>444</v>
      </c>
      <c r="L6" s="55"/>
      <c r="M6" s="2"/>
      <c r="N6" s="2"/>
      <c r="O6" s="2"/>
      <c r="P6" s="2"/>
      <c r="Q6" s="2"/>
      <c r="R6" s="2"/>
      <c r="S6" s="2"/>
      <c r="T6" s="2"/>
      <c r="U6" s="2"/>
      <c r="V6" s="2"/>
      <c r="W6" s="2"/>
      <c r="X6" s="2"/>
      <c r="Y6" s="2"/>
      <c r="Z6" s="2"/>
    </row>
    <row r="7" ht="22.5" customHeight="1">
      <c r="A7" s="56">
        <v>46000.40581510417</v>
      </c>
      <c r="B7" s="57" t="s">
        <v>461</v>
      </c>
      <c r="C7" s="63" t="s">
        <v>15</v>
      </c>
      <c r="D7" s="57" t="s">
        <v>5</v>
      </c>
      <c r="E7" s="59">
        <v>6.0</v>
      </c>
      <c r="F7" s="59">
        <v>15.0</v>
      </c>
      <c r="G7" s="57" t="s">
        <v>447</v>
      </c>
      <c r="H7" s="57" t="s">
        <v>462</v>
      </c>
      <c r="I7" s="59">
        <v>7.000496236E9</v>
      </c>
      <c r="J7" s="60" t="s">
        <v>463</v>
      </c>
      <c r="K7" s="57" t="s">
        <v>444</v>
      </c>
      <c r="L7" s="61"/>
      <c r="M7" s="49"/>
      <c r="N7" s="49"/>
      <c r="O7" s="49"/>
      <c r="P7" s="49"/>
      <c r="Q7" s="49"/>
      <c r="R7" s="49"/>
      <c r="S7" s="49"/>
      <c r="T7" s="49"/>
      <c r="U7" s="49"/>
      <c r="V7" s="49"/>
      <c r="W7" s="49"/>
      <c r="X7" s="49"/>
      <c r="Y7" s="49"/>
      <c r="Z7" s="49"/>
    </row>
    <row r="8" ht="22.5" customHeight="1">
      <c r="A8" s="50">
        <v>45997.40482402778</v>
      </c>
      <c r="B8" s="51" t="s">
        <v>464</v>
      </c>
      <c r="C8" s="62" t="s">
        <v>465</v>
      </c>
      <c r="D8" s="51" t="s">
        <v>7</v>
      </c>
      <c r="E8" s="53">
        <v>7.0</v>
      </c>
      <c r="F8" s="53">
        <v>19.0</v>
      </c>
      <c r="G8" s="51" t="s">
        <v>441</v>
      </c>
      <c r="H8" s="51" t="s">
        <v>466</v>
      </c>
      <c r="I8" s="53">
        <v>6.261707675E9</v>
      </c>
      <c r="J8" s="54" t="s">
        <v>467</v>
      </c>
      <c r="K8" s="51" t="s">
        <v>444</v>
      </c>
      <c r="L8" s="55"/>
      <c r="M8" s="49"/>
      <c r="N8" s="49"/>
      <c r="O8" s="49"/>
      <c r="P8" s="49"/>
      <c r="Q8" s="49"/>
      <c r="R8" s="49"/>
      <c r="S8" s="49"/>
      <c r="T8" s="49"/>
      <c r="U8" s="49"/>
      <c r="V8" s="49"/>
      <c r="W8" s="49"/>
      <c r="X8" s="49"/>
      <c r="Y8" s="49"/>
      <c r="Z8" s="49"/>
    </row>
    <row r="9" ht="22.5" customHeight="1">
      <c r="A9" s="56">
        <v>46008.846968425925</v>
      </c>
      <c r="B9" s="57" t="s">
        <v>468</v>
      </c>
      <c r="C9" s="63" t="s">
        <v>469</v>
      </c>
      <c r="D9" s="57" t="s">
        <v>9</v>
      </c>
      <c r="E9" s="59">
        <v>8.0</v>
      </c>
      <c r="F9" s="59">
        <v>25.0</v>
      </c>
      <c r="G9" s="57" t="s">
        <v>470</v>
      </c>
      <c r="H9" s="57" t="s">
        <v>471</v>
      </c>
      <c r="I9" s="59">
        <v>9.224190392E9</v>
      </c>
      <c r="J9" s="60" t="s">
        <v>472</v>
      </c>
      <c r="K9" s="57" t="s">
        <v>444</v>
      </c>
      <c r="L9" s="61"/>
      <c r="M9" s="49"/>
      <c r="N9" s="49"/>
      <c r="O9" s="49"/>
      <c r="P9" s="49"/>
      <c r="Q9" s="49"/>
      <c r="R9" s="49"/>
      <c r="S9" s="49"/>
      <c r="T9" s="49"/>
      <c r="U9" s="49"/>
      <c r="V9" s="49"/>
      <c r="W9" s="49"/>
      <c r="X9" s="49"/>
      <c r="Y9" s="49"/>
      <c r="Z9" s="49"/>
    </row>
    <row r="10" ht="22.5" customHeight="1">
      <c r="A10" s="50">
        <v>46000.51489127315</v>
      </c>
      <c r="B10" s="51" t="s">
        <v>473</v>
      </c>
      <c r="C10" s="62" t="s">
        <v>474</v>
      </c>
      <c r="D10" s="51" t="s">
        <v>11</v>
      </c>
      <c r="E10" s="53">
        <v>9.0</v>
      </c>
      <c r="F10" s="53">
        <v>34.0</v>
      </c>
      <c r="G10" s="51" t="s">
        <v>441</v>
      </c>
      <c r="H10" s="51" t="s">
        <v>475</v>
      </c>
      <c r="I10" s="53">
        <v>9.926124861E9</v>
      </c>
      <c r="J10" s="54" t="s">
        <v>476</v>
      </c>
      <c r="K10" s="51" t="s">
        <v>444</v>
      </c>
      <c r="L10" s="55"/>
      <c r="M10" s="49"/>
      <c r="N10" s="49"/>
      <c r="O10" s="49"/>
      <c r="P10" s="49"/>
      <c r="Q10" s="49"/>
      <c r="R10" s="49"/>
      <c r="S10" s="49"/>
      <c r="T10" s="49"/>
      <c r="U10" s="49"/>
      <c r="V10" s="49"/>
      <c r="W10" s="49"/>
      <c r="X10" s="49"/>
      <c r="Y10" s="49"/>
      <c r="Z10" s="49"/>
    </row>
    <row r="11" ht="22.5" customHeight="1">
      <c r="A11" s="56">
        <v>46001.48936759259</v>
      </c>
      <c r="B11" s="57" t="s">
        <v>477</v>
      </c>
      <c r="C11" s="63" t="s">
        <v>19</v>
      </c>
      <c r="D11" s="57" t="s">
        <v>478</v>
      </c>
      <c r="E11" s="59">
        <v>10.0</v>
      </c>
      <c r="F11" s="59">
        <v>23.0</v>
      </c>
      <c r="G11" s="57" t="s">
        <v>447</v>
      </c>
      <c r="H11" s="57" t="s">
        <v>479</v>
      </c>
      <c r="I11" s="59">
        <v>9.940478564E9</v>
      </c>
      <c r="J11" s="60" t="s">
        <v>480</v>
      </c>
      <c r="K11" s="57" t="s">
        <v>444</v>
      </c>
      <c r="L11" s="61"/>
      <c r="M11" s="49"/>
      <c r="N11" s="49"/>
      <c r="O11" s="49"/>
      <c r="P11" s="49"/>
      <c r="Q11" s="49"/>
      <c r="R11" s="49"/>
      <c r="S11" s="49"/>
      <c r="T11" s="49"/>
      <c r="U11" s="49"/>
      <c r="V11" s="49"/>
      <c r="W11" s="49"/>
      <c r="X11" s="49"/>
      <c r="Y11" s="49"/>
      <c r="Z11" s="49"/>
    </row>
    <row r="12" ht="22.5" customHeight="1">
      <c r="A12" s="50">
        <v>45996.49729600694</v>
      </c>
      <c r="B12" s="51" t="s">
        <v>481</v>
      </c>
      <c r="C12" s="62" t="s">
        <v>482</v>
      </c>
      <c r="D12" s="51" t="s">
        <v>7</v>
      </c>
      <c r="E12" s="53">
        <v>12.0</v>
      </c>
      <c r="F12" s="53">
        <v>21.0</v>
      </c>
      <c r="G12" s="51" t="s">
        <v>458</v>
      </c>
      <c r="H12" s="51" t="s">
        <v>483</v>
      </c>
      <c r="I12" s="53">
        <v>6.260662123E9</v>
      </c>
      <c r="J12" s="54" t="s">
        <v>484</v>
      </c>
      <c r="K12" s="51" t="s">
        <v>444</v>
      </c>
      <c r="L12" s="55"/>
      <c r="M12" s="49"/>
      <c r="N12" s="49"/>
      <c r="O12" s="49"/>
      <c r="P12" s="49"/>
      <c r="Q12" s="49"/>
      <c r="R12" s="49"/>
      <c r="S12" s="49"/>
      <c r="T12" s="49"/>
      <c r="U12" s="49"/>
      <c r="V12" s="49"/>
      <c r="W12" s="49"/>
      <c r="X12" s="49"/>
      <c r="Y12" s="49"/>
      <c r="Z12" s="49"/>
    </row>
    <row r="13" ht="22.5" customHeight="1">
      <c r="A13" s="56">
        <v>46000.84877059028</v>
      </c>
      <c r="B13" s="57" t="s">
        <v>485</v>
      </c>
      <c r="C13" s="63" t="s">
        <v>486</v>
      </c>
      <c r="D13" s="57" t="s">
        <v>5</v>
      </c>
      <c r="E13" s="59">
        <v>11.0</v>
      </c>
      <c r="F13" s="59">
        <v>23.0</v>
      </c>
      <c r="G13" s="57" t="s">
        <v>487</v>
      </c>
      <c r="H13" s="57" t="s">
        <v>488</v>
      </c>
      <c r="I13" s="59">
        <v>9.324746678E9</v>
      </c>
      <c r="J13" s="60" t="s">
        <v>489</v>
      </c>
      <c r="K13" s="57" t="s">
        <v>444</v>
      </c>
      <c r="L13" s="61"/>
      <c r="M13" s="49"/>
      <c r="N13" s="49"/>
      <c r="O13" s="49"/>
      <c r="P13" s="49"/>
      <c r="Q13" s="49"/>
      <c r="R13" s="49"/>
      <c r="S13" s="49"/>
      <c r="T13" s="49"/>
      <c r="U13" s="49"/>
      <c r="V13" s="49"/>
      <c r="W13" s="49"/>
      <c r="X13" s="49"/>
      <c r="Y13" s="49"/>
      <c r="Z13" s="49"/>
    </row>
    <row r="14" ht="22.5" customHeight="1">
      <c r="A14" s="50">
        <v>45999.585523125</v>
      </c>
      <c r="B14" s="51" t="s">
        <v>490</v>
      </c>
      <c r="C14" s="62" t="s">
        <v>491</v>
      </c>
      <c r="D14" s="51" t="s">
        <v>492</v>
      </c>
      <c r="E14" s="53">
        <v>13.0</v>
      </c>
      <c r="F14" s="53">
        <v>22.0</v>
      </c>
      <c r="G14" s="51" t="s">
        <v>487</v>
      </c>
      <c r="H14" s="51" t="s">
        <v>493</v>
      </c>
      <c r="I14" s="53">
        <v>8.43569503E9</v>
      </c>
      <c r="J14" s="54" t="s">
        <v>494</v>
      </c>
      <c r="K14" s="51" t="s">
        <v>444</v>
      </c>
      <c r="L14" s="55"/>
      <c r="M14" s="49"/>
      <c r="N14" s="49"/>
      <c r="O14" s="49"/>
      <c r="P14" s="49"/>
      <c r="Q14" s="49"/>
      <c r="R14" s="49"/>
      <c r="S14" s="49"/>
      <c r="T14" s="49"/>
      <c r="U14" s="49"/>
      <c r="V14" s="49"/>
      <c r="W14" s="49"/>
      <c r="X14" s="49"/>
      <c r="Y14" s="49"/>
      <c r="Z14" s="49"/>
    </row>
    <row r="15" ht="22.5" customHeight="1">
      <c r="A15" s="56">
        <v>45996.625606898146</v>
      </c>
      <c r="B15" s="57" t="s">
        <v>495</v>
      </c>
      <c r="C15" s="63" t="s">
        <v>23</v>
      </c>
      <c r="D15" s="57" t="s">
        <v>11</v>
      </c>
      <c r="E15" s="59">
        <v>14.0</v>
      </c>
      <c r="F15" s="59">
        <v>26.0</v>
      </c>
      <c r="G15" s="57" t="s">
        <v>447</v>
      </c>
      <c r="H15" s="57" t="s">
        <v>496</v>
      </c>
      <c r="I15" s="59">
        <v>9.89361827E9</v>
      </c>
      <c r="J15" s="60" t="s">
        <v>497</v>
      </c>
      <c r="K15" s="57" t="s">
        <v>444</v>
      </c>
      <c r="L15" s="61"/>
      <c r="M15" s="49"/>
      <c r="N15" s="49"/>
      <c r="O15" s="49"/>
      <c r="P15" s="49"/>
      <c r="Q15" s="49"/>
      <c r="R15" s="49"/>
      <c r="S15" s="49"/>
      <c r="T15" s="49"/>
      <c r="U15" s="49"/>
      <c r="V15" s="49"/>
      <c r="W15" s="49"/>
      <c r="X15" s="49"/>
      <c r="Y15" s="49"/>
      <c r="Z15" s="49"/>
    </row>
    <row r="16" ht="22.5" customHeight="1">
      <c r="A16" s="50">
        <v>45996.55152586805</v>
      </c>
      <c r="B16" s="51" t="s">
        <v>498</v>
      </c>
      <c r="C16" s="62" t="s">
        <v>499</v>
      </c>
      <c r="D16" s="51" t="s">
        <v>5</v>
      </c>
      <c r="E16" s="53">
        <v>16.0</v>
      </c>
      <c r="F16" s="53">
        <v>17.0</v>
      </c>
      <c r="G16" s="51" t="s">
        <v>458</v>
      </c>
      <c r="H16" s="51" t="s">
        <v>500</v>
      </c>
      <c r="I16" s="53">
        <v>9.300638289E9</v>
      </c>
      <c r="J16" s="54" t="s">
        <v>501</v>
      </c>
      <c r="K16" s="51" t="s">
        <v>444</v>
      </c>
      <c r="L16" s="55"/>
      <c r="M16" s="49"/>
      <c r="N16" s="49"/>
      <c r="O16" s="49"/>
      <c r="P16" s="49"/>
      <c r="Q16" s="49"/>
      <c r="R16" s="49"/>
      <c r="S16" s="49"/>
      <c r="T16" s="49"/>
      <c r="U16" s="49"/>
      <c r="V16" s="49"/>
      <c r="W16" s="49"/>
      <c r="X16" s="49"/>
      <c r="Y16" s="49"/>
      <c r="Z16" s="49"/>
    </row>
    <row r="17" ht="22.5" customHeight="1">
      <c r="A17" s="56">
        <v>45998.89321122685</v>
      </c>
      <c r="B17" s="57" t="s">
        <v>502</v>
      </c>
      <c r="C17" s="63" t="s">
        <v>26</v>
      </c>
      <c r="D17" s="57" t="s">
        <v>9</v>
      </c>
      <c r="E17" s="59">
        <v>18.0</v>
      </c>
      <c r="F17" s="59">
        <v>25.0</v>
      </c>
      <c r="G17" s="57" t="s">
        <v>487</v>
      </c>
      <c r="H17" s="57" t="s">
        <v>503</v>
      </c>
      <c r="I17" s="59">
        <v>9.713410009E9</v>
      </c>
      <c r="J17" s="60" t="s">
        <v>504</v>
      </c>
      <c r="K17" s="57" t="s">
        <v>444</v>
      </c>
      <c r="L17" s="61"/>
      <c r="M17" s="49"/>
      <c r="N17" s="49"/>
      <c r="O17" s="49"/>
      <c r="P17" s="49"/>
      <c r="Q17" s="49"/>
      <c r="R17" s="49"/>
      <c r="S17" s="49"/>
      <c r="T17" s="49"/>
      <c r="U17" s="49"/>
      <c r="V17" s="49"/>
      <c r="W17" s="49"/>
      <c r="X17" s="49"/>
      <c r="Y17" s="49"/>
      <c r="Z17" s="49"/>
    </row>
    <row r="18" ht="22.5" customHeight="1">
      <c r="A18" s="50">
        <v>45996.53013695602</v>
      </c>
      <c r="B18" s="51" t="s">
        <v>505</v>
      </c>
      <c r="C18" s="62" t="s">
        <v>27</v>
      </c>
      <c r="D18" s="51" t="s">
        <v>11</v>
      </c>
      <c r="E18" s="53">
        <v>19.0</v>
      </c>
      <c r="F18" s="53">
        <v>32.0</v>
      </c>
      <c r="G18" s="51" t="s">
        <v>447</v>
      </c>
      <c r="H18" s="51" t="s">
        <v>506</v>
      </c>
      <c r="I18" s="53">
        <v>9.762808997E9</v>
      </c>
      <c r="J18" s="54" t="s">
        <v>507</v>
      </c>
      <c r="K18" s="51" t="s">
        <v>444</v>
      </c>
      <c r="L18" s="55"/>
      <c r="M18" s="49"/>
      <c r="N18" s="49"/>
      <c r="O18" s="49"/>
      <c r="P18" s="49"/>
      <c r="Q18" s="49"/>
      <c r="R18" s="49"/>
      <c r="S18" s="49"/>
      <c r="T18" s="49"/>
      <c r="U18" s="49"/>
      <c r="V18" s="49"/>
      <c r="W18" s="49"/>
      <c r="X18" s="49"/>
      <c r="Y18" s="49"/>
      <c r="Z18" s="49"/>
    </row>
    <row r="19" ht="22.5" customHeight="1">
      <c r="A19" s="56">
        <v>46006.71645741898</v>
      </c>
      <c r="B19" s="57" t="s">
        <v>508</v>
      </c>
      <c r="C19" s="63" t="s">
        <v>509</v>
      </c>
      <c r="D19" s="59">
        <v>395007.0</v>
      </c>
      <c r="E19" s="59">
        <v>20.0</v>
      </c>
      <c r="F19" s="59">
        <v>20.0</v>
      </c>
      <c r="G19" s="57" t="s">
        <v>487</v>
      </c>
      <c r="H19" s="57" t="s">
        <v>510</v>
      </c>
      <c r="I19" s="59">
        <v>6.380334389E9</v>
      </c>
      <c r="J19" s="60" t="s">
        <v>511</v>
      </c>
      <c r="K19" s="57" t="s">
        <v>444</v>
      </c>
      <c r="L19" s="61"/>
      <c r="M19" s="49"/>
      <c r="N19" s="49"/>
      <c r="O19" s="49"/>
      <c r="P19" s="49"/>
      <c r="Q19" s="49"/>
      <c r="R19" s="49"/>
      <c r="S19" s="49"/>
      <c r="T19" s="49"/>
      <c r="U19" s="49"/>
      <c r="V19" s="49"/>
      <c r="W19" s="49"/>
      <c r="X19" s="49"/>
      <c r="Y19" s="49"/>
      <c r="Z19" s="49"/>
    </row>
    <row r="20" ht="22.5" customHeight="1">
      <c r="A20" s="50">
        <v>46019.41727653935</v>
      </c>
      <c r="B20" s="51" t="s">
        <v>512</v>
      </c>
      <c r="C20" s="62" t="s">
        <v>513</v>
      </c>
      <c r="D20" s="51" t="s">
        <v>11</v>
      </c>
      <c r="E20" s="53">
        <v>451.0</v>
      </c>
      <c r="F20" s="53">
        <v>35.0</v>
      </c>
      <c r="G20" s="51" t="s">
        <v>447</v>
      </c>
      <c r="H20" s="51" t="s">
        <v>514</v>
      </c>
      <c r="I20" s="53">
        <v>9.981000715E9</v>
      </c>
      <c r="J20" s="54" t="s">
        <v>515</v>
      </c>
      <c r="K20" s="51" t="s">
        <v>444</v>
      </c>
      <c r="L20" s="55"/>
      <c r="M20" s="49"/>
      <c r="N20" s="49"/>
      <c r="O20" s="49"/>
      <c r="P20" s="49"/>
      <c r="Q20" s="49"/>
      <c r="R20" s="49"/>
      <c r="S20" s="49"/>
      <c r="T20" s="49"/>
      <c r="U20" s="49"/>
      <c r="V20" s="49"/>
      <c r="W20" s="49"/>
      <c r="X20" s="49"/>
      <c r="Y20" s="49"/>
      <c r="Z20" s="49"/>
    </row>
    <row r="21" ht="22.5" customHeight="1">
      <c r="A21" s="56">
        <v>45999.710334664356</v>
      </c>
      <c r="B21" s="57" t="s">
        <v>516</v>
      </c>
      <c r="C21" s="63" t="s">
        <v>29</v>
      </c>
      <c r="D21" s="57" t="s">
        <v>5</v>
      </c>
      <c r="E21" s="59">
        <v>21.0</v>
      </c>
      <c r="F21" s="59">
        <v>42.0</v>
      </c>
      <c r="G21" s="57" t="s">
        <v>447</v>
      </c>
      <c r="H21" s="57" t="s">
        <v>517</v>
      </c>
      <c r="I21" s="59">
        <v>9.825011862E9</v>
      </c>
      <c r="J21" s="60" t="s">
        <v>518</v>
      </c>
      <c r="K21" s="57" t="s">
        <v>444</v>
      </c>
      <c r="L21" s="61"/>
      <c r="M21" s="49"/>
      <c r="N21" s="49"/>
      <c r="O21" s="49"/>
      <c r="P21" s="49"/>
      <c r="Q21" s="49"/>
      <c r="R21" s="49"/>
      <c r="S21" s="49"/>
      <c r="T21" s="49"/>
      <c r="U21" s="49"/>
      <c r="V21" s="49"/>
      <c r="W21" s="49"/>
      <c r="X21" s="49"/>
      <c r="Y21" s="49"/>
      <c r="Z21" s="49"/>
    </row>
    <row r="22" ht="22.5" customHeight="1">
      <c r="A22" s="50">
        <v>45996.50403655093</v>
      </c>
      <c r="B22" s="51" t="s">
        <v>519</v>
      </c>
      <c r="C22" s="62" t="s">
        <v>520</v>
      </c>
      <c r="D22" s="51" t="s">
        <v>7</v>
      </c>
      <c r="E22" s="53">
        <v>22.0</v>
      </c>
      <c r="F22" s="53">
        <v>24.0</v>
      </c>
      <c r="G22" s="51" t="s">
        <v>458</v>
      </c>
      <c r="H22" s="51" t="s">
        <v>521</v>
      </c>
      <c r="I22" s="53">
        <v>9.827071761E9</v>
      </c>
      <c r="J22" s="54" t="s">
        <v>522</v>
      </c>
      <c r="K22" s="51" t="s">
        <v>444</v>
      </c>
      <c r="L22" s="55"/>
      <c r="M22" s="49"/>
      <c r="N22" s="49"/>
      <c r="O22" s="49"/>
      <c r="P22" s="49"/>
      <c r="Q22" s="49"/>
      <c r="R22" s="49"/>
      <c r="S22" s="49"/>
      <c r="T22" s="49"/>
      <c r="U22" s="49"/>
      <c r="V22" s="49"/>
      <c r="W22" s="49"/>
      <c r="X22" s="49"/>
      <c r="Y22" s="49"/>
      <c r="Z22" s="49"/>
    </row>
    <row r="23" ht="22.5" customHeight="1">
      <c r="A23" s="56">
        <v>45997.44492443287</v>
      </c>
      <c r="B23" s="57" t="s">
        <v>523</v>
      </c>
      <c r="C23" s="63" t="s">
        <v>524</v>
      </c>
      <c r="D23" s="57" t="s">
        <v>9</v>
      </c>
      <c r="E23" s="59">
        <v>23.0</v>
      </c>
      <c r="F23" s="59">
        <v>21.0</v>
      </c>
      <c r="G23" s="57" t="s">
        <v>447</v>
      </c>
      <c r="H23" s="57" t="s">
        <v>525</v>
      </c>
      <c r="I23" s="59">
        <v>9.425104131E9</v>
      </c>
      <c r="J23" s="60" t="s">
        <v>526</v>
      </c>
      <c r="K23" s="57" t="s">
        <v>444</v>
      </c>
      <c r="L23" s="61"/>
      <c r="M23" s="49"/>
      <c r="N23" s="49"/>
      <c r="O23" s="49"/>
      <c r="P23" s="49"/>
      <c r="Q23" s="49"/>
      <c r="R23" s="49"/>
      <c r="S23" s="49"/>
      <c r="T23" s="49"/>
      <c r="U23" s="49"/>
      <c r="V23" s="49"/>
      <c r="W23" s="49"/>
      <c r="X23" s="49"/>
      <c r="Y23" s="49"/>
      <c r="Z23" s="49"/>
    </row>
    <row r="24" ht="22.5" customHeight="1">
      <c r="A24" s="50">
        <v>45996.49871351852</v>
      </c>
      <c r="B24" s="51" t="s">
        <v>527</v>
      </c>
      <c r="C24" s="62" t="s">
        <v>32</v>
      </c>
      <c r="D24" s="51" t="s">
        <v>13</v>
      </c>
      <c r="E24" s="53">
        <v>25.0</v>
      </c>
      <c r="F24" s="53">
        <v>31.0</v>
      </c>
      <c r="G24" s="51" t="s">
        <v>447</v>
      </c>
      <c r="H24" s="51" t="s">
        <v>514</v>
      </c>
      <c r="I24" s="53">
        <v>7.999992925E9</v>
      </c>
      <c r="J24" s="54" t="s">
        <v>528</v>
      </c>
      <c r="K24" s="51" t="s">
        <v>444</v>
      </c>
      <c r="L24" s="55"/>
      <c r="M24" s="49"/>
      <c r="N24" s="49"/>
      <c r="O24" s="49"/>
      <c r="P24" s="49"/>
      <c r="Q24" s="49"/>
      <c r="R24" s="49"/>
      <c r="S24" s="49"/>
      <c r="T24" s="49"/>
      <c r="U24" s="49"/>
      <c r="V24" s="49"/>
      <c r="W24" s="49"/>
      <c r="X24" s="49"/>
      <c r="Y24" s="49"/>
      <c r="Z24" s="49"/>
    </row>
    <row r="25" ht="22.5" customHeight="1">
      <c r="A25" s="56">
        <v>46011.03176327546</v>
      </c>
      <c r="B25" s="57" t="s">
        <v>529</v>
      </c>
      <c r="C25" s="63" t="s">
        <v>530</v>
      </c>
      <c r="D25" s="57" t="s">
        <v>5</v>
      </c>
      <c r="E25" s="59">
        <v>428.0</v>
      </c>
      <c r="F25" s="59">
        <v>55.0</v>
      </c>
      <c r="G25" s="57" t="s">
        <v>487</v>
      </c>
      <c r="H25" s="57" t="s">
        <v>471</v>
      </c>
      <c r="I25" s="59">
        <v>9.870595409E9</v>
      </c>
      <c r="J25" s="60" t="s">
        <v>531</v>
      </c>
      <c r="K25" s="57" t="s">
        <v>444</v>
      </c>
      <c r="L25" s="61"/>
      <c r="M25" s="49"/>
      <c r="N25" s="49"/>
      <c r="O25" s="49"/>
      <c r="P25" s="49"/>
      <c r="Q25" s="49"/>
      <c r="R25" s="49"/>
      <c r="S25" s="49"/>
      <c r="T25" s="49"/>
      <c r="U25" s="49"/>
      <c r="V25" s="49"/>
      <c r="W25" s="49"/>
      <c r="X25" s="49"/>
      <c r="Y25" s="49"/>
      <c r="Z25" s="49"/>
    </row>
    <row r="26" ht="22.5" customHeight="1">
      <c r="A26" s="50">
        <v>45996.579571215276</v>
      </c>
      <c r="B26" s="51" t="s">
        <v>532</v>
      </c>
      <c r="C26" s="62" t="s">
        <v>33</v>
      </c>
      <c r="D26" s="51" t="s">
        <v>5</v>
      </c>
      <c r="E26" s="53">
        <v>26.0</v>
      </c>
      <c r="F26" s="53">
        <v>26.0</v>
      </c>
      <c r="G26" s="51" t="s">
        <v>487</v>
      </c>
      <c r="H26" s="51" t="s">
        <v>533</v>
      </c>
      <c r="I26" s="53">
        <v>9.01109655E9</v>
      </c>
      <c r="J26" s="54" t="s">
        <v>534</v>
      </c>
      <c r="K26" s="51" t="s">
        <v>444</v>
      </c>
      <c r="L26" s="55"/>
      <c r="M26" s="49"/>
      <c r="N26" s="49"/>
      <c r="O26" s="49"/>
      <c r="P26" s="49"/>
      <c r="Q26" s="49"/>
      <c r="R26" s="49"/>
      <c r="S26" s="49"/>
      <c r="T26" s="49"/>
      <c r="U26" s="49"/>
      <c r="V26" s="49"/>
      <c r="W26" s="49"/>
      <c r="X26" s="49"/>
      <c r="Y26" s="49"/>
      <c r="Z26" s="49"/>
    </row>
    <row r="27" ht="22.5" customHeight="1">
      <c r="A27" s="56">
        <v>45996.502901354164</v>
      </c>
      <c r="B27" s="57" t="s">
        <v>535</v>
      </c>
      <c r="C27" s="63" t="s">
        <v>34</v>
      </c>
      <c r="D27" s="57" t="s">
        <v>536</v>
      </c>
      <c r="E27" s="59">
        <v>27.0</v>
      </c>
      <c r="F27" s="59">
        <v>23.0</v>
      </c>
      <c r="G27" s="57" t="s">
        <v>458</v>
      </c>
      <c r="H27" s="57" t="s">
        <v>537</v>
      </c>
      <c r="I27" s="59">
        <v>9.17935231E9</v>
      </c>
      <c r="J27" s="60" t="s">
        <v>538</v>
      </c>
      <c r="K27" s="57" t="s">
        <v>444</v>
      </c>
      <c r="L27" s="61"/>
      <c r="M27" s="49"/>
      <c r="N27" s="49"/>
      <c r="O27" s="49"/>
      <c r="P27" s="49"/>
      <c r="Q27" s="49"/>
      <c r="R27" s="49"/>
      <c r="S27" s="49"/>
      <c r="T27" s="49"/>
      <c r="U27" s="49"/>
      <c r="V27" s="49"/>
      <c r="W27" s="49"/>
      <c r="X27" s="49"/>
      <c r="Y27" s="49"/>
      <c r="Z27" s="49"/>
    </row>
    <row r="28" ht="22.5" customHeight="1">
      <c r="A28" s="50">
        <v>45999.90310826389</v>
      </c>
      <c r="B28" s="51" t="s">
        <v>539</v>
      </c>
      <c r="C28" s="62" t="s">
        <v>35</v>
      </c>
      <c r="D28" s="51" t="s">
        <v>9</v>
      </c>
      <c r="E28" s="53">
        <v>28.0</v>
      </c>
      <c r="F28" s="53">
        <v>36.0</v>
      </c>
      <c r="G28" s="51" t="s">
        <v>458</v>
      </c>
      <c r="H28" s="51" t="s">
        <v>540</v>
      </c>
      <c r="I28" s="53">
        <v>8.770483294E9</v>
      </c>
      <c r="J28" s="54" t="s">
        <v>541</v>
      </c>
      <c r="K28" s="51" t="s">
        <v>444</v>
      </c>
      <c r="L28" s="55"/>
      <c r="M28" s="49"/>
      <c r="N28" s="49"/>
      <c r="O28" s="49"/>
      <c r="P28" s="49"/>
      <c r="Q28" s="49"/>
      <c r="R28" s="49"/>
      <c r="S28" s="49"/>
      <c r="T28" s="49"/>
      <c r="U28" s="49"/>
      <c r="V28" s="49"/>
      <c r="W28" s="49"/>
      <c r="X28" s="49"/>
      <c r="Y28" s="49"/>
      <c r="Z28" s="49"/>
    </row>
    <row r="29" ht="22.5" customHeight="1">
      <c r="A29" s="56">
        <v>46009.464209363425</v>
      </c>
      <c r="B29" s="57" t="s">
        <v>542</v>
      </c>
      <c r="C29" s="63" t="s">
        <v>543</v>
      </c>
      <c r="D29" s="57" t="s">
        <v>7</v>
      </c>
      <c r="E29" s="59">
        <v>407.0</v>
      </c>
      <c r="F29" s="59">
        <v>25.0</v>
      </c>
      <c r="G29" s="57" t="s">
        <v>447</v>
      </c>
      <c r="H29" s="57" t="s">
        <v>544</v>
      </c>
      <c r="I29" s="59">
        <v>9.424881377E9</v>
      </c>
      <c r="J29" s="60" t="s">
        <v>545</v>
      </c>
      <c r="K29" s="57" t="s">
        <v>444</v>
      </c>
      <c r="L29" s="61"/>
      <c r="M29" s="49"/>
      <c r="N29" s="49"/>
      <c r="O29" s="49"/>
      <c r="P29" s="49"/>
      <c r="Q29" s="49"/>
      <c r="R29" s="49"/>
      <c r="S29" s="49"/>
      <c r="T29" s="49"/>
      <c r="U29" s="49"/>
      <c r="V29" s="49"/>
      <c r="W29" s="49"/>
      <c r="X29" s="49"/>
      <c r="Y29" s="49"/>
      <c r="Z29" s="49"/>
    </row>
    <row r="30" ht="22.5" customHeight="1">
      <c r="A30" s="50">
        <v>46010.778397835646</v>
      </c>
      <c r="B30" s="51" t="s">
        <v>546</v>
      </c>
      <c r="C30" s="62" t="s">
        <v>547</v>
      </c>
      <c r="D30" s="51" t="s">
        <v>11</v>
      </c>
      <c r="E30" s="53">
        <v>426.0</v>
      </c>
      <c r="F30" s="53">
        <v>21.0</v>
      </c>
      <c r="G30" s="51" t="s">
        <v>487</v>
      </c>
      <c r="H30" s="51" t="s">
        <v>548</v>
      </c>
      <c r="I30" s="53">
        <v>9.322516954E9</v>
      </c>
      <c r="J30" s="54" t="s">
        <v>549</v>
      </c>
      <c r="K30" s="51" t="s">
        <v>444</v>
      </c>
      <c r="L30" s="55"/>
      <c r="M30" s="49"/>
      <c r="N30" s="49"/>
      <c r="O30" s="49"/>
      <c r="P30" s="49"/>
      <c r="Q30" s="49"/>
      <c r="R30" s="49"/>
      <c r="S30" s="49"/>
      <c r="T30" s="49"/>
      <c r="U30" s="49"/>
      <c r="V30" s="49"/>
      <c r="W30" s="49"/>
      <c r="X30" s="49"/>
      <c r="Y30" s="49"/>
      <c r="Z30" s="49"/>
    </row>
    <row r="31" ht="22.5" customHeight="1">
      <c r="A31" s="56">
        <v>46009.58968420139</v>
      </c>
      <c r="B31" s="57" t="s">
        <v>550</v>
      </c>
      <c r="C31" s="63" t="s">
        <v>551</v>
      </c>
      <c r="D31" s="57" t="s">
        <v>11</v>
      </c>
      <c r="E31" s="59">
        <v>409.0</v>
      </c>
      <c r="F31" s="59">
        <v>28.0</v>
      </c>
      <c r="G31" s="57" t="s">
        <v>447</v>
      </c>
      <c r="H31" s="57" t="s">
        <v>552</v>
      </c>
      <c r="I31" s="59">
        <v>9.32154693E9</v>
      </c>
      <c r="J31" s="60" t="s">
        <v>553</v>
      </c>
      <c r="K31" s="57" t="s">
        <v>444</v>
      </c>
      <c r="L31" s="61"/>
      <c r="M31" s="49"/>
      <c r="N31" s="49"/>
      <c r="O31" s="49"/>
      <c r="P31" s="49"/>
      <c r="Q31" s="49"/>
      <c r="R31" s="49"/>
      <c r="S31" s="49"/>
      <c r="T31" s="49"/>
      <c r="U31" s="49"/>
      <c r="V31" s="49"/>
      <c r="W31" s="49"/>
      <c r="X31" s="49"/>
      <c r="Y31" s="49"/>
      <c r="Z31" s="49"/>
    </row>
    <row r="32" ht="22.5" customHeight="1">
      <c r="A32" s="50">
        <v>45996.86757423611</v>
      </c>
      <c r="B32" s="51" t="s">
        <v>554</v>
      </c>
      <c r="C32" s="62" t="s">
        <v>555</v>
      </c>
      <c r="D32" s="51" t="s">
        <v>7</v>
      </c>
      <c r="E32" s="53">
        <v>32.0</v>
      </c>
      <c r="F32" s="53">
        <v>27.0</v>
      </c>
      <c r="G32" s="51" t="s">
        <v>447</v>
      </c>
      <c r="H32" s="51" t="s">
        <v>466</v>
      </c>
      <c r="I32" s="53">
        <v>7.771906579E9</v>
      </c>
      <c r="J32" s="54" t="s">
        <v>556</v>
      </c>
      <c r="K32" s="51" t="s">
        <v>444</v>
      </c>
      <c r="L32" s="55"/>
      <c r="M32" s="49"/>
      <c r="N32" s="49"/>
      <c r="O32" s="49"/>
      <c r="P32" s="49"/>
      <c r="Q32" s="49"/>
      <c r="R32" s="49"/>
      <c r="S32" s="49"/>
      <c r="T32" s="49"/>
      <c r="U32" s="49"/>
      <c r="V32" s="49"/>
      <c r="W32" s="49"/>
      <c r="X32" s="49"/>
      <c r="Y32" s="49"/>
      <c r="Z32" s="49"/>
    </row>
    <row r="33" ht="22.5" customHeight="1">
      <c r="A33" s="56">
        <v>45996.9640809375</v>
      </c>
      <c r="B33" s="57" t="s">
        <v>557</v>
      </c>
      <c r="C33" s="63" t="s">
        <v>39</v>
      </c>
      <c r="D33" s="57" t="s">
        <v>9</v>
      </c>
      <c r="E33" s="59">
        <v>33.0</v>
      </c>
      <c r="F33" s="59">
        <v>24.0</v>
      </c>
      <c r="G33" s="57" t="s">
        <v>458</v>
      </c>
      <c r="H33" s="57" t="s">
        <v>558</v>
      </c>
      <c r="I33" s="59">
        <v>7.354054343E9</v>
      </c>
      <c r="J33" s="60" t="s">
        <v>559</v>
      </c>
      <c r="K33" s="57" t="s">
        <v>444</v>
      </c>
      <c r="L33" s="61"/>
      <c r="M33" s="49"/>
      <c r="N33" s="49"/>
      <c r="O33" s="49"/>
      <c r="P33" s="49"/>
      <c r="Q33" s="49"/>
      <c r="R33" s="49"/>
      <c r="S33" s="49"/>
      <c r="T33" s="49"/>
      <c r="U33" s="49"/>
      <c r="V33" s="49"/>
      <c r="W33" s="49"/>
      <c r="X33" s="49"/>
      <c r="Y33" s="49"/>
      <c r="Z33" s="49"/>
    </row>
    <row r="34" ht="22.5" customHeight="1">
      <c r="A34" s="50">
        <v>46014.70509585648</v>
      </c>
      <c r="B34" s="51" t="s">
        <v>560</v>
      </c>
      <c r="C34" s="62" t="s">
        <v>561</v>
      </c>
      <c r="D34" s="51" t="s">
        <v>9</v>
      </c>
      <c r="E34" s="53">
        <v>445.0</v>
      </c>
      <c r="F34" s="53">
        <v>24.0</v>
      </c>
      <c r="G34" s="51" t="s">
        <v>447</v>
      </c>
      <c r="H34" s="51" t="s">
        <v>562</v>
      </c>
      <c r="I34" s="53">
        <v>9.926552626E9</v>
      </c>
      <c r="J34" s="54" t="s">
        <v>563</v>
      </c>
      <c r="K34" s="51" t="s">
        <v>444</v>
      </c>
      <c r="L34" s="55"/>
      <c r="M34" s="49"/>
      <c r="N34" s="49"/>
      <c r="O34" s="49"/>
      <c r="P34" s="49"/>
      <c r="Q34" s="49"/>
      <c r="R34" s="49"/>
      <c r="S34" s="49"/>
      <c r="T34" s="49"/>
      <c r="U34" s="49"/>
      <c r="V34" s="49"/>
      <c r="W34" s="49"/>
      <c r="X34" s="49"/>
      <c r="Y34" s="49"/>
      <c r="Z34" s="49"/>
    </row>
    <row r="35" ht="22.5" customHeight="1">
      <c r="A35" s="66">
        <v>46004.50527681713</v>
      </c>
      <c r="B35" s="67" t="s">
        <v>564</v>
      </c>
      <c r="C35" s="68" t="s">
        <v>565</v>
      </c>
      <c r="D35" s="67">
        <v>391.0</v>
      </c>
      <c r="E35" s="69">
        <v>391.0</v>
      </c>
      <c r="F35" s="67">
        <v>18.0</v>
      </c>
      <c r="G35" s="70" t="s">
        <v>458</v>
      </c>
      <c r="H35" s="70" t="s">
        <v>566</v>
      </c>
      <c r="I35" s="71">
        <v>9.993993381E9</v>
      </c>
      <c r="J35" s="70" t="s">
        <v>567</v>
      </c>
      <c r="K35" s="70" t="s">
        <v>444</v>
      </c>
      <c r="L35" s="61"/>
      <c r="M35" s="49"/>
      <c r="N35" s="49"/>
      <c r="O35" s="49"/>
      <c r="P35" s="49"/>
      <c r="Q35" s="49"/>
      <c r="R35" s="49"/>
      <c r="S35" s="49"/>
      <c r="T35" s="49"/>
      <c r="U35" s="49"/>
      <c r="V35" s="49"/>
      <c r="W35" s="49"/>
      <c r="X35" s="49"/>
      <c r="Y35" s="49"/>
      <c r="Z35" s="49"/>
    </row>
    <row r="36" ht="22.5" customHeight="1">
      <c r="A36" s="50">
        <v>46007.77437366898</v>
      </c>
      <c r="B36" s="51" t="s">
        <v>568</v>
      </c>
      <c r="C36" s="62" t="s">
        <v>569</v>
      </c>
      <c r="D36" s="51" t="s">
        <v>11</v>
      </c>
      <c r="E36" s="53">
        <v>34.0</v>
      </c>
      <c r="F36" s="53">
        <v>28.0</v>
      </c>
      <c r="G36" s="51" t="s">
        <v>458</v>
      </c>
      <c r="H36" s="51" t="s">
        <v>570</v>
      </c>
      <c r="I36" s="53">
        <v>9.381015186E9</v>
      </c>
      <c r="J36" s="54" t="s">
        <v>571</v>
      </c>
      <c r="K36" s="51" t="s">
        <v>444</v>
      </c>
      <c r="L36" s="55"/>
      <c r="M36" s="49"/>
      <c r="N36" s="49"/>
      <c r="O36" s="49"/>
      <c r="P36" s="49"/>
      <c r="Q36" s="49"/>
      <c r="R36" s="49"/>
      <c r="S36" s="49"/>
      <c r="T36" s="49"/>
      <c r="U36" s="49"/>
      <c r="V36" s="49"/>
      <c r="W36" s="49"/>
      <c r="X36" s="49"/>
      <c r="Y36" s="49"/>
      <c r="Z36" s="49"/>
    </row>
    <row r="37" ht="22.5" customHeight="1">
      <c r="A37" s="56">
        <v>45996.71049165509</v>
      </c>
      <c r="B37" s="57" t="s">
        <v>572</v>
      </c>
      <c r="C37" s="63" t="s">
        <v>41</v>
      </c>
      <c r="D37" s="57" t="s">
        <v>13</v>
      </c>
      <c r="E37" s="59">
        <v>35.0</v>
      </c>
      <c r="F37" s="59">
        <v>13.0</v>
      </c>
      <c r="G37" s="57" t="s">
        <v>458</v>
      </c>
      <c r="H37" s="57" t="s">
        <v>506</v>
      </c>
      <c r="I37" s="72">
        <v>9.552278383E9</v>
      </c>
      <c r="J37" s="60" t="s">
        <v>573</v>
      </c>
      <c r="K37" s="57" t="s">
        <v>444</v>
      </c>
      <c r="L37" s="61"/>
      <c r="M37" s="49"/>
      <c r="N37" s="49"/>
      <c r="O37" s="49"/>
      <c r="P37" s="49"/>
      <c r="Q37" s="49"/>
      <c r="R37" s="49"/>
      <c r="S37" s="49"/>
      <c r="T37" s="49"/>
      <c r="U37" s="49"/>
      <c r="V37" s="49"/>
      <c r="W37" s="49"/>
      <c r="X37" s="49"/>
      <c r="Y37" s="49"/>
      <c r="Z37" s="49"/>
    </row>
    <row r="38" ht="22.5" customHeight="1">
      <c r="A38" s="50">
        <v>45999.682917893515</v>
      </c>
      <c r="B38" s="51" t="s">
        <v>574</v>
      </c>
      <c r="C38" s="62" t="s">
        <v>42</v>
      </c>
      <c r="D38" s="51" t="s">
        <v>5</v>
      </c>
      <c r="E38" s="53">
        <v>36.0</v>
      </c>
      <c r="F38" s="53">
        <v>40.0</v>
      </c>
      <c r="G38" s="51" t="s">
        <v>447</v>
      </c>
      <c r="H38" s="51" t="s">
        <v>471</v>
      </c>
      <c r="I38" s="53">
        <v>8.369232493E9</v>
      </c>
      <c r="J38" s="54" t="s">
        <v>575</v>
      </c>
      <c r="K38" s="51" t="s">
        <v>444</v>
      </c>
      <c r="L38" s="55"/>
      <c r="M38" s="49"/>
      <c r="N38" s="49"/>
      <c r="O38" s="49"/>
      <c r="P38" s="49"/>
      <c r="Q38" s="49"/>
      <c r="R38" s="49"/>
      <c r="S38" s="49"/>
      <c r="T38" s="49"/>
      <c r="U38" s="49"/>
      <c r="V38" s="49"/>
      <c r="W38" s="49"/>
      <c r="X38" s="49"/>
      <c r="Y38" s="49"/>
      <c r="Z38" s="49"/>
    </row>
    <row r="39" ht="22.5" customHeight="1">
      <c r="A39" s="56">
        <v>46010.686584201394</v>
      </c>
      <c r="B39" s="57" t="s">
        <v>576</v>
      </c>
      <c r="C39" s="63" t="s">
        <v>577</v>
      </c>
      <c r="D39" s="57" t="s">
        <v>13</v>
      </c>
      <c r="E39" s="59">
        <v>432.0</v>
      </c>
      <c r="F39" s="59">
        <v>22.0</v>
      </c>
      <c r="G39" s="57" t="s">
        <v>458</v>
      </c>
      <c r="H39" s="57" t="s">
        <v>578</v>
      </c>
      <c r="I39" s="59">
        <v>7.862919657E9</v>
      </c>
      <c r="J39" s="60" t="s">
        <v>579</v>
      </c>
      <c r="K39" s="57" t="s">
        <v>444</v>
      </c>
      <c r="L39" s="61"/>
      <c r="M39" s="49"/>
      <c r="N39" s="49"/>
      <c r="O39" s="49"/>
      <c r="P39" s="49"/>
      <c r="Q39" s="49"/>
      <c r="R39" s="49"/>
      <c r="S39" s="49"/>
      <c r="T39" s="49"/>
      <c r="U39" s="49"/>
      <c r="V39" s="49"/>
      <c r="W39" s="49"/>
      <c r="X39" s="49"/>
      <c r="Y39" s="49"/>
      <c r="Z39" s="49"/>
    </row>
    <row r="40" ht="22.5" customHeight="1">
      <c r="A40" s="50">
        <v>46005.534249965276</v>
      </c>
      <c r="B40" s="51" t="s">
        <v>580</v>
      </c>
      <c r="C40" s="62" t="s">
        <v>581</v>
      </c>
      <c r="D40" s="51" t="s">
        <v>7</v>
      </c>
      <c r="E40" s="53">
        <v>392.0</v>
      </c>
      <c r="F40" s="53">
        <v>31.0</v>
      </c>
      <c r="G40" s="51" t="s">
        <v>447</v>
      </c>
      <c r="H40" s="51" t="s">
        <v>582</v>
      </c>
      <c r="I40" s="53">
        <v>9.413805414E9</v>
      </c>
      <c r="J40" s="54" t="s">
        <v>583</v>
      </c>
      <c r="K40" s="51" t="s">
        <v>444</v>
      </c>
      <c r="L40" s="55"/>
      <c r="M40" s="49"/>
      <c r="N40" s="49"/>
      <c r="O40" s="49"/>
      <c r="P40" s="49"/>
      <c r="Q40" s="49"/>
      <c r="R40" s="49"/>
      <c r="S40" s="49"/>
      <c r="T40" s="49"/>
      <c r="U40" s="49"/>
      <c r="V40" s="49"/>
      <c r="W40" s="49"/>
      <c r="X40" s="49"/>
      <c r="Y40" s="49"/>
      <c r="Z40" s="49"/>
    </row>
    <row r="41" ht="22.5" customHeight="1">
      <c r="A41" s="56">
        <v>46002.47122608796</v>
      </c>
      <c r="B41" s="57" t="s">
        <v>584</v>
      </c>
      <c r="C41" s="63" t="s">
        <v>44</v>
      </c>
      <c r="D41" s="57" t="s">
        <v>492</v>
      </c>
      <c r="E41" s="59">
        <v>38.0</v>
      </c>
      <c r="F41" s="59">
        <v>20.0</v>
      </c>
      <c r="G41" s="57" t="s">
        <v>441</v>
      </c>
      <c r="H41" s="57" t="s">
        <v>479</v>
      </c>
      <c r="I41" s="59">
        <v>8.015363385E9</v>
      </c>
      <c r="J41" s="60" t="s">
        <v>585</v>
      </c>
      <c r="K41" s="57" t="s">
        <v>444</v>
      </c>
      <c r="L41" s="61"/>
      <c r="M41" s="49"/>
      <c r="N41" s="49"/>
      <c r="O41" s="49"/>
      <c r="P41" s="49"/>
      <c r="Q41" s="49"/>
      <c r="R41" s="49"/>
      <c r="S41" s="49"/>
      <c r="T41" s="49"/>
      <c r="U41" s="49"/>
      <c r="V41" s="49"/>
      <c r="W41" s="49"/>
      <c r="X41" s="49"/>
      <c r="Y41" s="49"/>
      <c r="Z41" s="49"/>
    </row>
    <row r="42" ht="22.5" customHeight="1">
      <c r="A42" s="50">
        <v>46000.42607565972</v>
      </c>
      <c r="B42" s="51" t="s">
        <v>586</v>
      </c>
      <c r="C42" s="62" t="s">
        <v>587</v>
      </c>
      <c r="D42" s="51" t="s">
        <v>11</v>
      </c>
      <c r="E42" s="53">
        <v>39.0</v>
      </c>
      <c r="F42" s="53">
        <v>15.0</v>
      </c>
      <c r="G42" s="51" t="s">
        <v>458</v>
      </c>
      <c r="H42" s="51" t="s">
        <v>588</v>
      </c>
      <c r="I42" s="53">
        <v>9.584231441E9</v>
      </c>
      <c r="J42" s="54" t="s">
        <v>589</v>
      </c>
      <c r="K42" s="51" t="s">
        <v>444</v>
      </c>
      <c r="L42" s="55"/>
      <c r="M42" s="49"/>
      <c r="N42" s="49"/>
      <c r="O42" s="49"/>
      <c r="P42" s="49"/>
      <c r="Q42" s="49"/>
      <c r="R42" s="49"/>
      <c r="S42" s="49"/>
      <c r="T42" s="49"/>
      <c r="U42" s="49"/>
      <c r="V42" s="49"/>
      <c r="W42" s="49"/>
      <c r="X42" s="49"/>
      <c r="Y42" s="49"/>
      <c r="Z42" s="49"/>
    </row>
    <row r="43" ht="22.5" customHeight="1">
      <c r="A43" s="56">
        <v>46000.61323756944</v>
      </c>
      <c r="B43" s="57" t="s">
        <v>590</v>
      </c>
      <c r="C43" s="63" t="s">
        <v>591</v>
      </c>
      <c r="D43" s="57" t="s">
        <v>5</v>
      </c>
      <c r="E43" s="59">
        <v>41.0</v>
      </c>
      <c r="F43" s="59">
        <v>30.0</v>
      </c>
      <c r="G43" s="57" t="s">
        <v>487</v>
      </c>
      <c r="H43" s="57" t="s">
        <v>592</v>
      </c>
      <c r="I43" s="59">
        <v>9.561195563E9</v>
      </c>
      <c r="J43" s="60" t="s">
        <v>593</v>
      </c>
      <c r="K43" s="57" t="s">
        <v>444</v>
      </c>
      <c r="L43" s="61"/>
      <c r="M43" s="49"/>
      <c r="N43" s="49"/>
      <c r="O43" s="49"/>
      <c r="P43" s="49"/>
      <c r="Q43" s="49"/>
      <c r="R43" s="49"/>
      <c r="S43" s="49"/>
      <c r="T43" s="49"/>
      <c r="U43" s="49"/>
      <c r="V43" s="49"/>
      <c r="W43" s="49"/>
      <c r="X43" s="49"/>
      <c r="Y43" s="49"/>
      <c r="Z43" s="49"/>
    </row>
    <row r="44" ht="22.5" customHeight="1">
      <c r="A44" s="50">
        <v>46001.32401153936</v>
      </c>
      <c r="B44" s="51" t="s">
        <v>594</v>
      </c>
      <c r="C44" s="62" t="s">
        <v>595</v>
      </c>
      <c r="D44" s="51" t="s">
        <v>492</v>
      </c>
      <c r="E44" s="53">
        <v>353.0</v>
      </c>
      <c r="F44" s="53">
        <v>20.0</v>
      </c>
      <c r="G44" s="51" t="s">
        <v>458</v>
      </c>
      <c r="H44" s="51" t="s">
        <v>596</v>
      </c>
      <c r="I44" s="53">
        <v>9.712759705E9</v>
      </c>
      <c r="J44" s="54" t="s">
        <v>597</v>
      </c>
      <c r="K44" s="51" t="s">
        <v>444</v>
      </c>
      <c r="L44" s="55"/>
      <c r="M44" s="49"/>
      <c r="N44" s="49"/>
      <c r="O44" s="49"/>
      <c r="P44" s="49"/>
      <c r="Q44" s="49"/>
      <c r="R44" s="49"/>
      <c r="S44" s="49"/>
      <c r="T44" s="49"/>
      <c r="U44" s="49"/>
      <c r="V44" s="49"/>
      <c r="W44" s="49"/>
      <c r="X44" s="49"/>
      <c r="Y44" s="49"/>
      <c r="Z44" s="49"/>
    </row>
    <row r="45" ht="22.5" customHeight="1">
      <c r="A45" s="56">
        <v>45996.72584400463</v>
      </c>
      <c r="B45" s="57" t="s">
        <v>598</v>
      </c>
      <c r="C45" s="63" t="s">
        <v>599</v>
      </c>
      <c r="D45" s="57" t="s">
        <v>11</v>
      </c>
      <c r="E45" s="59">
        <v>44.0</v>
      </c>
      <c r="F45" s="59">
        <v>19.0</v>
      </c>
      <c r="G45" s="57" t="s">
        <v>458</v>
      </c>
      <c r="H45" s="57" t="s">
        <v>600</v>
      </c>
      <c r="I45" s="59">
        <v>9.406635227E9</v>
      </c>
      <c r="J45" s="60" t="s">
        <v>601</v>
      </c>
      <c r="K45" s="57" t="s">
        <v>444</v>
      </c>
      <c r="L45" s="61"/>
      <c r="M45" s="49"/>
      <c r="N45" s="49"/>
      <c r="O45" s="49"/>
      <c r="P45" s="49"/>
      <c r="Q45" s="49"/>
      <c r="R45" s="49"/>
      <c r="S45" s="49"/>
      <c r="T45" s="49"/>
      <c r="U45" s="49"/>
      <c r="V45" s="49"/>
      <c r="W45" s="49"/>
      <c r="X45" s="49"/>
      <c r="Y45" s="49"/>
      <c r="Z45" s="49"/>
    </row>
    <row r="46" ht="22.5" customHeight="1">
      <c r="A46" s="50">
        <v>46001.9155945949</v>
      </c>
      <c r="B46" s="51" t="s">
        <v>602</v>
      </c>
      <c r="C46" s="62" t="s">
        <v>603</v>
      </c>
      <c r="D46" s="51" t="s">
        <v>13</v>
      </c>
      <c r="E46" s="53">
        <v>45.0</v>
      </c>
      <c r="F46" s="53">
        <v>35.0</v>
      </c>
      <c r="G46" s="51" t="s">
        <v>604</v>
      </c>
      <c r="H46" s="51" t="s">
        <v>605</v>
      </c>
      <c r="I46" s="65">
        <v>9.821127986E9</v>
      </c>
      <c r="J46" s="54" t="s">
        <v>606</v>
      </c>
      <c r="K46" s="51" t="s">
        <v>444</v>
      </c>
      <c r="L46" s="55"/>
      <c r="M46" s="49"/>
      <c r="N46" s="49"/>
      <c r="O46" s="49"/>
      <c r="P46" s="49"/>
      <c r="Q46" s="49"/>
      <c r="R46" s="49"/>
      <c r="S46" s="49"/>
      <c r="T46" s="49"/>
      <c r="U46" s="49"/>
      <c r="V46" s="49"/>
      <c r="W46" s="49"/>
      <c r="X46" s="49"/>
      <c r="Y46" s="49"/>
      <c r="Z46" s="49"/>
    </row>
    <row r="47" ht="22.5" customHeight="1">
      <c r="A47" s="56">
        <v>46005.860224062504</v>
      </c>
      <c r="B47" s="57" t="s">
        <v>607</v>
      </c>
      <c r="C47" s="63" t="s">
        <v>608</v>
      </c>
      <c r="D47" s="57" t="s">
        <v>11</v>
      </c>
      <c r="E47" s="59">
        <v>394.0</v>
      </c>
      <c r="F47" s="59">
        <v>42.0</v>
      </c>
      <c r="G47" s="57" t="s">
        <v>604</v>
      </c>
      <c r="H47" s="57" t="s">
        <v>448</v>
      </c>
      <c r="I47" s="59">
        <v>9.820306577E9</v>
      </c>
      <c r="J47" s="60" t="s">
        <v>609</v>
      </c>
      <c r="K47" s="57" t="s">
        <v>444</v>
      </c>
      <c r="L47" s="61"/>
      <c r="M47" s="49"/>
      <c r="N47" s="49"/>
      <c r="O47" s="49"/>
      <c r="P47" s="49"/>
      <c r="Q47" s="49"/>
      <c r="R47" s="49"/>
      <c r="S47" s="49"/>
      <c r="T47" s="49"/>
      <c r="U47" s="49"/>
      <c r="V47" s="49"/>
      <c r="W47" s="49"/>
      <c r="X47" s="49"/>
      <c r="Y47" s="49"/>
      <c r="Z47" s="49"/>
    </row>
    <row r="48" ht="22.5" customHeight="1">
      <c r="A48" s="50">
        <v>45996.55097170139</v>
      </c>
      <c r="B48" s="51" t="s">
        <v>610</v>
      </c>
      <c r="C48" s="62" t="s">
        <v>611</v>
      </c>
      <c r="D48" s="51" t="s">
        <v>9</v>
      </c>
      <c r="E48" s="53">
        <v>48.0</v>
      </c>
      <c r="F48" s="53">
        <v>18.0</v>
      </c>
      <c r="G48" s="51" t="s">
        <v>458</v>
      </c>
      <c r="H48" s="51" t="s">
        <v>612</v>
      </c>
      <c r="I48" s="53">
        <v>9.824379449E9</v>
      </c>
      <c r="J48" s="54" t="s">
        <v>613</v>
      </c>
      <c r="K48" s="51" t="s">
        <v>444</v>
      </c>
      <c r="L48" s="55"/>
      <c r="M48" s="49"/>
      <c r="N48" s="49"/>
      <c r="O48" s="49"/>
      <c r="P48" s="49"/>
      <c r="Q48" s="49"/>
      <c r="R48" s="49"/>
      <c r="S48" s="49"/>
      <c r="T48" s="49"/>
      <c r="U48" s="49"/>
      <c r="V48" s="49"/>
      <c r="W48" s="49"/>
      <c r="X48" s="49"/>
      <c r="Y48" s="49"/>
      <c r="Z48" s="49"/>
    </row>
    <row r="49" ht="22.5" customHeight="1">
      <c r="A49" s="56">
        <v>46004.43762386574</v>
      </c>
      <c r="B49" s="57" t="s">
        <v>614</v>
      </c>
      <c r="C49" s="63" t="s">
        <v>615</v>
      </c>
      <c r="D49" s="57" t="s">
        <v>7</v>
      </c>
      <c r="E49" s="59">
        <v>387.0</v>
      </c>
      <c r="F49" s="59">
        <v>22.0</v>
      </c>
      <c r="G49" s="57" t="s">
        <v>447</v>
      </c>
      <c r="H49" s="57" t="s">
        <v>616</v>
      </c>
      <c r="I49" s="59">
        <v>7.849873562E9</v>
      </c>
      <c r="J49" s="60" t="s">
        <v>617</v>
      </c>
      <c r="K49" s="57" t="s">
        <v>444</v>
      </c>
      <c r="L49" s="61"/>
      <c r="M49" s="49"/>
      <c r="N49" s="49"/>
      <c r="O49" s="49"/>
      <c r="P49" s="49"/>
      <c r="Q49" s="49"/>
      <c r="R49" s="49"/>
      <c r="S49" s="49"/>
      <c r="T49" s="49"/>
      <c r="U49" s="49"/>
      <c r="V49" s="49"/>
      <c r="W49" s="49"/>
      <c r="X49" s="49"/>
      <c r="Y49" s="49"/>
      <c r="Z49" s="49"/>
    </row>
    <row r="50" ht="22.5" customHeight="1">
      <c r="A50" s="50">
        <v>46000.64390739583</v>
      </c>
      <c r="B50" s="51" t="s">
        <v>618</v>
      </c>
      <c r="C50" s="62" t="s">
        <v>619</v>
      </c>
      <c r="D50" s="51" t="s">
        <v>11</v>
      </c>
      <c r="E50" s="53">
        <v>49.0</v>
      </c>
      <c r="F50" s="53">
        <v>43.0</v>
      </c>
      <c r="G50" s="51" t="s">
        <v>447</v>
      </c>
      <c r="H50" s="51" t="s">
        <v>471</v>
      </c>
      <c r="I50" s="53">
        <v>9.819992095E9</v>
      </c>
      <c r="J50" s="54" t="s">
        <v>620</v>
      </c>
      <c r="K50" s="51" t="s">
        <v>444</v>
      </c>
      <c r="L50" s="55"/>
      <c r="M50" s="49"/>
      <c r="N50" s="49"/>
      <c r="O50" s="49"/>
      <c r="P50" s="49"/>
      <c r="Q50" s="49"/>
      <c r="R50" s="49"/>
      <c r="S50" s="49"/>
      <c r="T50" s="49"/>
      <c r="U50" s="49"/>
      <c r="V50" s="49"/>
      <c r="W50" s="49"/>
      <c r="X50" s="49"/>
      <c r="Y50" s="49"/>
      <c r="Z50" s="49"/>
    </row>
    <row r="51" ht="22.5" customHeight="1">
      <c r="A51" s="56">
        <v>45997.00510684028</v>
      </c>
      <c r="B51" s="57" t="s">
        <v>621</v>
      </c>
      <c r="C51" s="63" t="s">
        <v>622</v>
      </c>
      <c r="D51" s="57" t="s">
        <v>7</v>
      </c>
      <c r="E51" s="59">
        <v>52.0</v>
      </c>
      <c r="F51" s="59">
        <v>28.0</v>
      </c>
      <c r="G51" s="57" t="s">
        <v>458</v>
      </c>
      <c r="H51" s="57" t="s">
        <v>623</v>
      </c>
      <c r="I51" s="59">
        <v>7.760976547E9</v>
      </c>
      <c r="J51" s="60" t="s">
        <v>624</v>
      </c>
      <c r="K51" s="57" t="s">
        <v>444</v>
      </c>
      <c r="L51" s="61"/>
      <c r="M51" s="49"/>
      <c r="N51" s="49"/>
      <c r="O51" s="49"/>
      <c r="P51" s="49"/>
      <c r="Q51" s="49"/>
      <c r="R51" s="49"/>
      <c r="S51" s="49"/>
      <c r="T51" s="49"/>
      <c r="U51" s="49"/>
      <c r="V51" s="49"/>
      <c r="W51" s="49"/>
      <c r="X51" s="49"/>
      <c r="Y51" s="49"/>
      <c r="Z51" s="49"/>
    </row>
    <row r="52" ht="22.5" customHeight="1">
      <c r="A52" s="50">
        <v>46010.69185775463</v>
      </c>
      <c r="B52" s="51" t="s">
        <v>625</v>
      </c>
      <c r="C52" s="62" t="s">
        <v>626</v>
      </c>
      <c r="D52" s="51" t="s">
        <v>5</v>
      </c>
      <c r="E52" s="53">
        <v>416.0</v>
      </c>
      <c r="F52" s="53">
        <v>23.0</v>
      </c>
      <c r="G52" s="51" t="s">
        <v>447</v>
      </c>
      <c r="H52" s="51" t="s">
        <v>627</v>
      </c>
      <c r="I52" s="53">
        <v>9.769563099E9</v>
      </c>
      <c r="J52" s="54" t="s">
        <v>628</v>
      </c>
      <c r="K52" s="51" t="s">
        <v>444</v>
      </c>
      <c r="L52" s="55"/>
      <c r="M52" s="49"/>
      <c r="N52" s="49"/>
      <c r="O52" s="49"/>
      <c r="P52" s="49"/>
      <c r="Q52" s="49"/>
      <c r="R52" s="49"/>
      <c r="S52" s="49"/>
      <c r="T52" s="49"/>
      <c r="U52" s="49"/>
      <c r="V52" s="49"/>
      <c r="W52" s="49"/>
      <c r="X52" s="49"/>
      <c r="Y52" s="49"/>
      <c r="Z52" s="49"/>
    </row>
    <row r="53" ht="22.5" customHeight="1">
      <c r="A53" s="56">
        <v>45996.58619105324</v>
      </c>
      <c r="B53" s="57" t="s">
        <v>629</v>
      </c>
      <c r="C53" s="63" t="s">
        <v>630</v>
      </c>
      <c r="D53" s="57" t="s">
        <v>9</v>
      </c>
      <c r="E53" s="59">
        <v>53.0</v>
      </c>
      <c r="F53" s="59">
        <v>21.0</v>
      </c>
      <c r="G53" s="57" t="s">
        <v>447</v>
      </c>
      <c r="H53" s="57" t="s">
        <v>631</v>
      </c>
      <c r="I53" s="59">
        <v>9.32400493E9</v>
      </c>
      <c r="J53" s="60" t="s">
        <v>632</v>
      </c>
      <c r="K53" s="57" t="s">
        <v>444</v>
      </c>
      <c r="L53" s="61"/>
      <c r="M53" s="49"/>
      <c r="N53" s="49"/>
      <c r="O53" s="49"/>
      <c r="P53" s="49"/>
      <c r="Q53" s="49"/>
      <c r="R53" s="49"/>
      <c r="S53" s="49"/>
      <c r="T53" s="49"/>
      <c r="U53" s="49"/>
      <c r="V53" s="49"/>
      <c r="W53" s="49"/>
      <c r="X53" s="49"/>
      <c r="Y53" s="49"/>
      <c r="Z53" s="49"/>
    </row>
    <row r="54" ht="22.5" customHeight="1">
      <c r="A54" s="50">
        <v>46012.03014076389</v>
      </c>
      <c r="B54" s="51" t="s">
        <v>633</v>
      </c>
      <c r="C54" s="62" t="s">
        <v>634</v>
      </c>
      <c r="D54" s="51" t="s">
        <v>11</v>
      </c>
      <c r="E54" s="53">
        <v>54.0</v>
      </c>
      <c r="F54" s="53">
        <v>18.0</v>
      </c>
      <c r="G54" s="51" t="s">
        <v>441</v>
      </c>
      <c r="H54" s="51" t="s">
        <v>635</v>
      </c>
      <c r="I54" s="53">
        <v>8.880898189E9</v>
      </c>
      <c r="J54" s="54" t="s">
        <v>636</v>
      </c>
      <c r="K54" s="51" t="s">
        <v>444</v>
      </c>
      <c r="L54" s="55"/>
      <c r="M54" s="49"/>
      <c r="N54" s="49"/>
      <c r="O54" s="49"/>
      <c r="P54" s="49"/>
      <c r="Q54" s="49"/>
      <c r="R54" s="49"/>
      <c r="S54" s="49"/>
      <c r="T54" s="49"/>
      <c r="U54" s="49"/>
      <c r="V54" s="49"/>
      <c r="W54" s="49"/>
      <c r="X54" s="49"/>
      <c r="Y54" s="49"/>
      <c r="Z54" s="49"/>
    </row>
    <row r="55" ht="22.5" customHeight="1">
      <c r="A55" s="56">
        <v>46001.888257592596</v>
      </c>
      <c r="B55" s="57" t="s">
        <v>637</v>
      </c>
      <c r="C55" s="63" t="s">
        <v>638</v>
      </c>
      <c r="D55" s="57" t="s">
        <v>5</v>
      </c>
      <c r="E55" s="59">
        <v>56.0</v>
      </c>
      <c r="F55" s="59">
        <v>40.0</v>
      </c>
      <c r="G55" s="57" t="s">
        <v>447</v>
      </c>
      <c r="H55" s="57" t="s">
        <v>471</v>
      </c>
      <c r="I55" s="59">
        <v>9.819292663E9</v>
      </c>
      <c r="J55" s="60" t="s">
        <v>639</v>
      </c>
      <c r="K55" s="57" t="s">
        <v>444</v>
      </c>
      <c r="L55" s="61"/>
      <c r="M55" s="49"/>
      <c r="N55" s="49"/>
      <c r="O55" s="49"/>
      <c r="P55" s="49"/>
      <c r="Q55" s="49"/>
      <c r="R55" s="49"/>
      <c r="S55" s="49"/>
      <c r="T55" s="49"/>
      <c r="U55" s="49"/>
      <c r="V55" s="49"/>
      <c r="W55" s="49"/>
      <c r="X55" s="49"/>
      <c r="Y55" s="49"/>
      <c r="Z55" s="49"/>
    </row>
    <row r="56" ht="22.5" customHeight="1">
      <c r="A56" s="50">
        <v>46000.41738813657</v>
      </c>
      <c r="B56" s="51" t="s">
        <v>640</v>
      </c>
      <c r="C56" s="62" t="s">
        <v>57</v>
      </c>
      <c r="D56" s="51" t="s">
        <v>13</v>
      </c>
      <c r="E56" s="53">
        <v>55.0</v>
      </c>
      <c r="F56" s="53">
        <v>22.0</v>
      </c>
      <c r="G56" s="51" t="s">
        <v>487</v>
      </c>
      <c r="H56" s="51" t="s">
        <v>641</v>
      </c>
      <c r="I56" s="53">
        <v>9.004980513E9</v>
      </c>
      <c r="J56" s="54" t="s">
        <v>642</v>
      </c>
      <c r="K56" s="51" t="s">
        <v>444</v>
      </c>
      <c r="L56" s="55"/>
      <c r="M56" s="49"/>
      <c r="N56" s="49"/>
      <c r="O56" s="49"/>
      <c r="P56" s="49"/>
      <c r="Q56" s="49"/>
      <c r="R56" s="49"/>
      <c r="S56" s="49"/>
      <c r="T56" s="49"/>
      <c r="U56" s="49"/>
      <c r="V56" s="49"/>
      <c r="W56" s="49"/>
      <c r="X56" s="49"/>
      <c r="Y56" s="49"/>
      <c r="Z56" s="49"/>
    </row>
    <row r="57" ht="22.5" customHeight="1">
      <c r="A57" s="56">
        <v>45996.52300822917</v>
      </c>
      <c r="B57" s="57" t="s">
        <v>643</v>
      </c>
      <c r="C57" s="63" t="s">
        <v>59</v>
      </c>
      <c r="D57" s="57" t="s">
        <v>9</v>
      </c>
      <c r="E57" s="59">
        <v>58.0</v>
      </c>
      <c r="F57" s="59">
        <v>28.0</v>
      </c>
      <c r="G57" s="57" t="s">
        <v>458</v>
      </c>
      <c r="H57" s="57" t="s">
        <v>459</v>
      </c>
      <c r="I57" s="59">
        <v>9.51062994E9</v>
      </c>
      <c r="J57" s="60" t="s">
        <v>644</v>
      </c>
      <c r="K57" s="57" t="s">
        <v>444</v>
      </c>
      <c r="L57" s="61"/>
      <c r="M57" s="49"/>
      <c r="N57" s="49"/>
      <c r="O57" s="49"/>
      <c r="P57" s="49"/>
      <c r="Q57" s="49"/>
      <c r="R57" s="49"/>
      <c r="S57" s="49"/>
      <c r="T57" s="49"/>
      <c r="U57" s="49"/>
      <c r="V57" s="49"/>
      <c r="W57" s="49"/>
      <c r="X57" s="49"/>
      <c r="Y57" s="49"/>
      <c r="Z57" s="49"/>
    </row>
    <row r="58" ht="22.5" customHeight="1">
      <c r="A58" s="50">
        <v>45996.62820864584</v>
      </c>
      <c r="B58" s="51" t="s">
        <v>645</v>
      </c>
      <c r="C58" s="62" t="s">
        <v>646</v>
      </c>
      <c r="D58" s="51" t="s">
        <v>7</v>
      </c>
      <c r="E58" s="53">
        <v>57.0</v>
      </c>
      <c r="F58" s="53">
        <v>18.0</v>
      </c>
      <c r="G58" s="51" t="s">
        <v>458</v>
      </c>
      <c r="H58" s="51" t="s">
        <v>641</v>
      </c>
      <c r="I58" s="53">
        <v>9.892817726E9</v>
      </c>
      <c r="J58" s="54" t="s">
        <v>647</v>
      </c>
      <c r="K58" s="51" t="s">
        <v>444</v>
      </c>
      <c r="L58" s="55"/>
      <c r="M58" s="49"/>
      <c r="N58" s="49"/>
      <c r="O58" s="49"/>
      <c r="P58" s="49"/>
      <c r="Q58" s="49"/>
      <c r="R58" s="49"/>
      <c r="S58" s="49"/>
      <c r="T58" s="49"/>
      <c r="U58" s="49"/>
      <c r="V58" s="49"/>
      <c r="W58" s="49"/>
      <c r="X58" s="49"/>
      <c r="Y58" s="49"/>
      <c r="Z58" s="49"/>
    </row>
    <row r="59" ht="22.5" customHeight="1">
      <c r="A59" s="56">
        <v>45996.51627165509</v>
      </c>
      <c r="B59" s="57" t="s">
        <v>648</v>
      </c>
      <c r="C59" s="63" t="s">
        <v>649</v>
      </c>
      <c r="D59" s="57" t="s">
        <v>11</v>
      </c>
      <c r="E59" s="59">
        <v>59.0</v>
      </c>
      <c r="F59" s="59">
        <v>18.0</v>
      </c>
      <c r="G59" s="57" t="s">
        <v>487</v>
      </c>
      <c r="H59" s="57" t="s">
        <v>650</v>
      </c>
      <c r="I59" s="59">
        <v>9.004252646E9</v>
      </c>
      <c r="J59" s="60" t="s">
        <v>651</v>
      </c>
      <c r="K59" s="57" t="s">
        <v>444</v>
      </c>
      <c r="L59" s="61"/>
      <c r="M59" s="49"/>
      <c r="N59" s="49"/>
      <c r="O59" s="49"/>
      <c r="P59" s="49"/>
      <c r="Q59" s="49"/>
      <c r="R59" s="49"/>
      <c r="S59" s="49"/>
      <c r="T59" s="49"/>
      <c r="U59" s="49"/>
      <c r="V59" s="49"/>
      <c r="W59" s="49"/>
      <c r="X59" s="49"/>
      <c r="Y59" s="49"/>
      <c r="Z59" s="49"/>
    </row>
    <row r="60" ht="22.5" customHeight="1">
      <c r="A60" s="50">
        <v>46013.41432740741</v>
      </c>
      <c r="B60" s="51" t="s">
        <v>652</v>
      </c>
      <c r="C60" s="62" t="s">
        <v>653</v>
      </c>
      <c r="D60" s="51" t="s">
        <v>5</v>
      </c>
      <c r="E60" s="53">
        <v>438.0</v>
      </c>
      <c r="F60" s="53">
        <v>49.0</v>
      </c>
      <c r="G60" s="51" t="s">
        <v>447</v>
      </c>
      <c r="H60" s="51" t="s">
        <v>654</v>
      </c>
      <c r="I60" s="53">
        <v>9.769563099E9</v>
      </c>
      <c r="J60" s="54" t="s">
        <v>655</v>
      </c>
      <c r="K60" s="51" t="s">
        <v>444</v>
      </c>
      <c r="L60" s="55"/>
      <c r="M60" s="49"/>
      <c r="N60" s="49"/>
      <c r="O60" s="49"/>
      <c r="P60" s="49"/>
      <c r="Q60" s="49"/>
      <c r="R60" s="49"/>
      <c r="S60" s="49"/>
      <c r="T60" s="49"/>
      <c r="U60" s="49"/>
      <c r="V60" s="49"/>
      <c r="W60" s="49"/>
      <c r="X60" s="49"/>
      <c r="Y60" s="49"/>
      <c r="Z60" s="49"/>
    </row>
    <row r="61" ht="22.5" customHeight="1">
      <c r="A61" s="56">
        <v>45999.603644953706</v>
      </c>
      <c r="B61" s="57" t="s">
        <v>656</v>
      </c>
      <c r="C61" s="63" t="s">
        <v>657</v>
      </c>
      <c r="D61" s="57" t="s">
        <v>5</v>
      </c>
      <c r="E61" s="59">
        <v>61.0</v>
      </c>
      <c r="F61" s="59">
        <v>34.0</v>
      </c>
      <c r="G61" s="57" t="s">
        <v>458</v>
      </c>
      <c r="H61" s="57" t="s">
        <v>658</v>
      </c>
      <c r="I61" s="59">
        <v>9.986521644E9</v>
      </c>
      <c r="J61" s="60" t="s">
        <v>659</v>
      </c>
      <c r="K61" s="57" t="s">
        <v>444</v>
      </c>
      <c r="L61" s="61"/>
      <c r="M61" s="49"/>
      <c r="N61" s="49"/>
      <c r="O61" s="49"/>
      <c r="P61" s="49"/>
      <c r="Q61" s="49"/>
      <c r="R61" s="49"/>
      <c r="S61" s="49"/>
      <c r="T61" s="49"/>
      <c r="U61" s="49"/>
      <c r="V61" s="49"/>
      <c r="W61" s="49"/>
      <c r="X61" s="49"/>
      <c r="Y61" s="49"/>
      <c r="Z61" s="49"/>
    </row>
    <row r="62" ht="22.5" customHeight="1">
      <c r="A62" s="50">
        <v>45996.540300740744</v>
      </c>
      <c r="B62" s="51" t="s">
        <v>660</v>
      </c>
      <c r="C62" s="62" t="s">
        <v>661</v>
      </c>
      <c r="D62" s="51" t="s">
        <v>7</v>
      </c>
      <c r="E62" s="53">
        <v>62.0</v>
      </c>
      <c r="F62" s="53">
        <v>30.0</v>
      </c>
      <c r="G62" s="51" t="s">
        <v>447</v>
      </c>
      <c r="H62" s="51" t="s">
        <v>662</v>
      </c>
      <c r="I62" s="53">
        <v>9.512447281E9</v>
      </c>
      <c r="J62" s="54" t="s">
        <v>663</v>
      </c>
      <c r="K62" s="51" t="s">
        <v>444</v>
      </c>
      <c r="L62" s="55"/>
      <c r="M62" s="49"/>
      <c r="N62" s="49"/>
      <c r="O62" s="49"/>
      <c r="P62" s="49"/>
      <c r="Q62" s="49"/>
      <c r="R62" s="49"/>
      <c r="S62" s="49"/>
      <c r="T62" s="49"/>
      <c r="U62" s="49"/>
      <c r="V62" s="49"/>
      <c r="W62" s="49"/>
      <c r="X62" s="49"/>
      <c r="Y62" s="49"/>
      <c r="Z62" s="49"/>
    </row>
    <row r="63" ht="22.5" customHeight="1">
      <c r="A63" s="56">
        <v>46001.51484258102</v>
      </c>
      <c r="B63" s="57" t="s">
        <v>664</v>
      </c>
      <c r="C63" s="63" t="s">
        <v>64</v>
      </c>
      <c r="D63" s="57" t="s">
        <v>9</v>
      </c>
      <c r="E63" s="59">
        <v>63.0</v>
      </c>
      <c r="F63" s="59">
        <v>21.0</v>
      </c>
      <c r="G63" s="57" t="s">
        <v>447</v>
      </c>
      <c r="H63" s="57" t="s">
        <v>665</v>
      </c>
      <c r="I63" s="59">
        <v>9.590313474E9</v>
      </c>
      <c r="J63" s="60" t="s">
        <v>666</v>
      </c>
      <c r="K63" s="57" t="s">
        <v>444</v>
      </c>
      <c r="L63" s="61"/>
      <c r="M63" s="49"/>
      <c r="N63" s="49"/>
      <c r="O63" s="49"/>
      <c r="P63" s="49"/>
      <c r="Q63" s="49"/>
      <c r="R63" s="49"/>
      <c r="S63" s="49"/>
      <c r="T63" s="49"/>
      <c r="U63" s="49"/>
      <c r="V63" s="49"/>
      <c r="W63" s="49"/>
      <c r="X63" s="49"/>
      <c r="Y63" s="49"/>
      <c r="Z63" s="49"/>
    </row>
    <row r="64" ht="22.5" customHeight="1">
      <c r="A64" s="50">
        <v>46007.74549037037</v>
      </c>
      <c r="B64" s="51" t="s">
        <v>667</v>
      </c>
      <c r="C64" s="62" t="s">
        <v>668</v>
      </c>
      <c r="D64" s="51" t="s">
        <v>11</v>
      </c>
      <c r="E64" s="53">
        <v>64.0</v>
      </c>
      <c r="F64" s="53">
        <v>27.0</v>
      </c>
      <c r="G64" s="51" t="s">
        <v>447</v>
      </c>
      <c r="H64" s="51" t="s">
        <v>669</v>
      </c>
      <c r="I64" s="53">
        <v>9.26036368E9</v>
      </c>
      <c r="J64" s="54" t="s">
        <v>670</v>
      </c>
      <c r="K64" s="51" t="s">
        <v>444</v>
      </c>
      <c r="L64" s="55"/>
      <c r="M64" s="49"/>
      <c r="N64" s="49"/>
      <c r="O64" s="49"/>
      <c r="P64" s="49"/>
      <c r="Q64" s="49"/>
      <c r="R64" s="49"/>
      <c r="S64" s="49"/>
      <c r="T64" s="49"/>
      <c r="U64" s="49"/>
      <c r="V64" s="49"/>
      <c r="W64" s="49"/>
      <c r="X64" s="49"/>
      <c r="Y64" s="49"/>
      <c r="Z64" s="49"/>
    </row>
    <row r="65" ht="22.5" customHeight="1">
      <c r="A65" s="56">
        <v>45998.97731126157</v>
      </c>
      <c r="B65" s="57" t="s">
        <v>671</v>
      </c>
      <c r="C65" s="63" t="s">
        <v>672</v>
      </c>
      <c r="D65" s="57" t="s">
        <v>13</v>
      </c>
      <c r="E65" s="59">
        <v>65.0</v>
      </c>
      <c r="F65" s="59">
        <v>14.0</v>
      </c>
      <c r="G65" s="57" t="s">
        <v>447</v>
      </c>
      <c r="H65" s="57" t="s">
        <v>673</v>
      </c>
      <c r="I65" s="59">
        <v>9.824379449E9</v>
      </c>
      <c r="J65" s="60" t="s">
        <v>674</v>
      </c>
      <c r="K65" s="57" t="s">
        <v>444</v>
      </c>
      <c r="L65" s="61"/>
      <c r="M65" s="49"/>
      <c r="N65" s="49"/>
      <c r="O65" s="49"/>
      <c r="P65" s="49"/>
      <c r="Q65" s="49"/>
      <c r="R65" s="49"/>
      <c r="S65" s="49"/>
      <c r="T65" s="49"/>
      <c r="U65" s="49"/>
      <c r="V65" s="49"/>
      <c r="W65" s="49"/>
      <c r="X65" s="49"/>
      <c r="Y65" s="49"/>
      <c r="Z65" s="49"/>
    </row>
    <row r="66" ht="22.5" customHeight="1">
      <c r="A66" s="50">
        <v>45997.452140381945</v>
      </c>
      <c r="B66" s="51" t="s">
        <v>675</v>
      </c>
      <c r="C66" s="62" t="s">
        <v>676</v>
      </c>
      <c r="D66" s="51" t="s">
        <v>5</v>
      </c>
      <c r="E66" s="53">
        <v>66.0</v>
      </c>
      <c r="F66" s="53">
        <v>20.0</v>
      </c>
      <c r="G66" s="51" t="s">
        <v>458</v>
      </c>
      <c r="H66" s="51" t="s">
        <v>677</v>
      </c>
      <c r="I66" s="53">
        <v>8.310278103E9</v>
      </c>
      <c r="J66" s="54" t="s">
        <v>678</v>
      </c>
      <c r="K66" s="51" t="s">
        <v>444</v>
      </c>
      <c r="L66" s="55"/>
      <c r="M66" s="49"/>
      <c r="N66" s="49"/>
      <c r="O66" s="49"/>
      <c r="P66" s="49"/>
      <c r="Q66" s="49"/>
      <c r="R66" s="49"/>
      <c r="S66" s="49"/>
      <c r="T66" s="49"/>
      <c r="U66" s="49"/>
      <c r="V66" s="49"/>
      <c r="W66" s="49"/>
      <c r="X66" s="49"/>
      <c r="Y66" s="49"/>
      <c r="Z66" s="49"/>
    </row>
    <row r="67" ht="22.5" customHeight="1">
      <c r="A67" s="56">
        <v>45999.59789986111</v>
      </c>
      <c r="B67" s="57" t="s">
        <v>679</v>
      </c>
      <c r="C67" s="63" t="s">
        <v>680</v>
      </c>
      <c r="D67" s="57" t="s">
        <v>13</v>
      </c>
      <c r="E67" s="59">
        <v>70.0</v>
      </c>
      <c r="F67" s="59">
        <v>19.0</v>
      </c>
      <c r="G67" s="57" t="s">
        <v>447</v>
      </c>
      <c r="H67" s="57" t="s">
        <v>641</v>
      </c>
      <c r="I67" s="59">
        <v>9.833648799E9</v>
      </c>
      <c r="J67" s="60" t="s">
        <v>681</v>
      </c>
      <c r="K67" s="57" t="s">
        <v>444</v>
      </c>
      <c r="L67" s="61"/>
      <c r="M67" s="49"/>
      <c r="N67" s="49"/>
      <c r="O67" s="49"/>
      <c r="P67" s="49"/>
      <c r="Q67" s="49"/>
      <c r="R67" s="49"/>
      <c r="S67" s="49"/>
      <c r="T67" s="49"/>
      <c r="U67" s="49"/>
      <c r="V67" s="49"/>
      <c r="W67" s="49"/>
      <c r="X67" s="49"/>
      <c r="Y67" s="49"/>
      <c r="Z67" s="49"/>
    </row>
    <row r="68" ht="22.5" customHeight="1">
      <c r="A68" s="50">
        <v>45996.510225011574</v>
      </c>
      <c r="B68" s="51" t="s">
        <v>682</v>
      </c>
      <c r="C68" s="62" t="s">
        <v>683</v>
      </c>
      <c r="D68" s="51" t="s">
        <v>7</v>
      </c>
      <c r="E68" s="53">
        <v>72.0</v>
      </c>
      <c r="F68" s="53">
        <v>19.0</v>
      </c>
      <c r="G68" s="51" t="s">
        <v>447</v>
      </c>
      <c r="H68" s="51" t="s">
        <v>684</v>
      </c>
      <c r="I68" s="53">
        <v>9.399918201E9</v>
      </c>
      <c r="J68" s="54" t="s">
        <v>685</v>
      </c>
      <c r="K68" s="51" t="s">
        <v>444</v>
      </c>
      <c r="L68" s="55"/>
      <c r="M68" s="49"/>
      <c r="N68" s="49"/>
      <c r="O68" s="49"/>
      <c r="P68" s="49"/>
      <c r="Q68" s="49"/>
      <c r="R68" s="49"/>
      <c r="S68" s="49"/>
      <c r="T68" s="49"/>
      <c r="U68" s="49"/>
      <c r="V68" s="49"/>
      <c r="W68" s="49"/>
      <c r="X68" s="49"/>
      <c r="Y68" s="49"/>
      <c r="Z68" s="49"/>
    </row>
    <row r="69" ht="22.5" customHeight="1">
      <c r="A69" s="56">
        <v>46011.666845381944</v>
      </c>
      <c r="B69" s="57" t="s">
        <v>686</v>
      </c>
      <c r="C69" s="63" t="s">
        <v>687</v>
      </c>
      <c r="D69" s="59">
        <v>388620.0</v>
      </c>
      <c r="E69" s="59">
        <v>75.0</v>
      </c>
      <c r="F69" s="59">
        <v>20.0</v>
      </c>
      <c r="G69" s="57" t="s">
        <v>458</v>
      </c>
      <c r="H69" s="57" t="s">
        <v>688</v>
      </c>
      <c r="I69" s="59">
        <v>9.265598308E9</v>
      </c>
      <c r="J69" s="60" t="s">
        <v>689</v>
      </c>
      <c r="K69" s="57" t="s">
        <v>444</v>
      </c>
      <c r="L69" s="61"/>
      <c r="M69" s="49"/>
      <c r="N69" s="49"/>
      <c r="O69" s="49"/>
      <c r="P69" s="49"/>
      <c r="Q69" s="49"/>
      <c r="R69" s="49"/>
      <c r="S69" s="49"/>
      <c r="T69" s="49"/>
      <c r="U69" s="49"/>
      <c r="V69" s="49"/>
      <c r="W69" s="49"/>
      <c r="X69" s="49"/>
      <c r="Y69" s="49"/>
      <c r="Z69" s="49"/>
    </row>
    <row r="70" ht="22.5" customHeight="1">
      <c r="A70" s="50">
        <v>45997.82380719908</v>
      </c>
      <c r="B70" s="51" t="s">
        <v>690</v>
      </c>
      <c r="C70" s="62" t="s">
        <v>78</v>
      </c>
      <c r="D70" s="51" t="s">
        <v>7</v>
      </c>
      <c r="E70" s="53">
        <v>77.0</v>
      </c>
      <c r="F70" s="53">
        <v>25.0</v>
      </c>
      <c r="G70" s="51" t="s">
        <v>441</v>
      </c>
      <c r="H70" s="51" t="s">
        <v>691</v>
      </c>
      <c r="I70" s="53">
        <v>9.974173115E9</v>
      </c>
      <c r="J70" s="54" t="s">
        <v>692</v>
      </c>
      <c r="K70" s="51" t="s">
        <v>444</v>
      </c>
      <c r="L70" s="55"/>
      <c r="M70" s="49"/>
      <c r="N70" s="49"/>
      <c r="O70" s="49"/>
      <c r="P70" s="49"/>
      <c r="Q70" s="49"/>
      <c r="R70" s="49"/>
      <c r="S70" s="49"/>
      <c r="T70" s="49"/>
      <c r="U70" s="49"/>
      <c r="V70" s="49"/>
      <c r="W70" s="49"/>
      <c r="X70" s="49"/>
      <c r="Y70" s="49"/>
      <c r="Z70" s="49"/>
    </row>
    <row r="71" ht="22.5" customHeight="1">
      <c r="A71" s="56">
        <v>46008.878101435184</v>
      </c>
      <c r="B71" s="57" t="s">
        <v>693</v>
      </c>
      <c r="C71" s="63" t="s">
        <v>694</v>
      </c>
      <c r="D71" s="57" t="s">
        <v>11</v>
      </c>
      <c r="E71" s="59">
        <v>79.0</v>
      </c>
      <c r="F71" s="59">
        <v>19.0</v>
      </c>
      <c r="G71" s="57" t="s">
        <v>487</v>
      </c>
      <c r="H71" s="57" t="s">
        <v>695</v>
      </c>
      <c r="I71" s="59">
        <v>9.825446981E9</v>
      </c>
      <c r="J71" s="60" t="s">
        <v>696</v>
      </c>
      <c r="K71" s="57" t="s">
        <v>444</v>
      </c>
      <c r="L71" s="61"/>
      <c r="M71" s="49"/>
      <c r="N71" s="49"/>
      <c r="O71" s="49"/>
      <c r="P71" s="49"/>
      <c r="Q71" s="49"/>
      <c r="R71" s="49"/>
      <c r="S71" s="49"/>
      <c r="T71" s="49"/>
      <c r="U71" s="49"/>
      <c r="V71" s="49"/>
      <c r="W71" s="49"/>
      <c r="X71" s="49"/>
      <c r="Y71" s="49"/>
      <c r="Z71" s="49"/>
    </row>
    <row r="72" ht="22.5" customHeight="1">
      <c r="A72" s="50">
        <v>45997.41089907408</v>
      </c>
      <c r="B72" s="51" t="s">
        <v>697</v>
      </c>
      <c r="C72" s="62" t="s">
        <v>81</v>
      </c>
      <c r="D72" s="51" t="s">
        <v>13</v>
      </c>
      <c r="E72" s="53">
        <v>80.0</v>
      </c>
      <c r="F72" s="53">
        <v>18.0</v>
      </c>
      <c r="G72" s="51" t="s">
        <v>447</v>
      </c>
      <c r="H72" s="51" t="s">
        <v>459</v>
      </c>
      <c r="I72" s="53">
        <v>9.426325854E9</v>
      </c>
      <c r="J72" s="54" t="s">
        <v>698</v>
      </c>
      <c r="K72" s="51" t="s">
        <v>444</v>
      </c>
      <c r="L72" s="55"/>
      <c r="M72" s="49"/>
      <c r="N72" s="49"/>
      <c r="O72" s="49"/>
      <c r="P72" s="49"/>
      <c r="Q72" s="49"/>
      <c r="R72" s="49"/>
      <c r="S72" s="49"/>
      <c r="T72" s="49"/>
      <c r="U72" s="49"/>
      <c r="V72" s="49"/>
      <c r="W72" s="49"/>
      <c r="X72" s="49"/>
      <c r="Y72" s="49"/>
      <c r="Z72" s="49"/>
    </row>
    <row r="73" ht="22.5" customHeight="1">
      <c r="A73" s="56">
        <v>45998.76210983796</v>
      </c>
      <c r="B73" s="57" t="s">
        <v>699</v>
      </c>
      <c r="C73" s="63" t="s">
        <v>700</v>
      </c>
      <c r="D73" s="57" t="s">
        <v>5</v>
      </c>
      <c r="E73" s="59">
        <v>81.0</v>
      </c>
      <c r="F73" s="59">
        <v>24.0</v>
      </c>
      <c r="G73" s="57" t="s">
        <v>447</v>
      </c>
      <c r="H73" s="57" t="s">
        <v>641</v>
      </c>
      <c r="I73" s="72">
        <v>9.423368067E9</v>
      </c>
      <c r="J73" s="60" t="s">
        <v>701</v>
      </c>
      <c r="K73" s="57" t="s">
        <v>444</v>
      </c>
      <c r="L73" s="61"/>
      <c r="M73" s="49"/>
      <c r="N73" s="49"/>
      <c r="O73" s="49"/>
      <c r="P73" s="49"/>
      <c r="Q73" s="49"/>
      <c r="R73" s="49"/>
      <c r="S73" s="49"/>
      <c r="T73" s="49"/>
      <c r="U73" s="49"/>
      <c r="V73" s="49"/>
      <c r="W73" s="49"/>
      <c r="X73" s="49"/>
      <c r="Y73" s="49"/>
      <c r="Z73" s="49"/>
    </row>
    <row r="74" ht="22.5" customHeight="1">
      <c r="A74" s="50">
        <v>46004.46000490741</v>
      </c>
      <c r="B74" s="51" t="s">
        <v>702</v>
      </c>
      <c r="C74" s="62" t="s">
        <v>703</v>
      </c>
      <c r="D74" s="51" t="s">
        <v>13</v>
      </c>
      <c r="E74" s="53">
        <v>390.0</v>
      </c>
      <c r="F74" s="53">
        <v>33.0</v>
      </c>
      <c r="G74" s="51" t="s">
        <v>458</v>
      </c>
      <c r="H74" s="51" t="s">
        <v>704</v>
      </c>
      <c r="I74" s="53">
        <v>9.619402561E9</v>
      </c>
      <c r="J74" s="54" t="s">
        <v>705</v>
      </c>
      <c r="K74" s="51" t="s">
        <v>444</v>
      </c>
      <c r="L74" s="55"/>
      <c r="M74" s="49"/>
      <c r="N74" s="49"/>
      <c r="O74" s="49"/>
      <c r="P74" s="49"/>
      <c r="Q74" s="49"/>
      <c r="R74" s="49"/>
      <c r="S74" s="49"/>
      <c r="T74" s="49"/>
      <c r="U74" s="49"/>
      <c r="V74" s="49"/>
      <c r="W74" s="49"/>
      <c r="X74" s="49"/>
      <c r="Y74" s="49"/>
      <c r="Z74" s="49"/>
    </row>
    <row r="75" ht="22.5" customHeight="1">
      <c r="A75" s="56">
        <v>46004.476570694445</v>
      </c>
      <c r="B75" s="57" t="s">
        <v>706</v>
      </c>
      <c r="C75" s="63" t="s">
        <v>707</v>
      </c>
      <c r="D75" s="57" t="s">
        <v>9</v>
      </c>
      <c r="E75" s="59">
        <v>393.0</v>
      </c>
      <c r="F75" s="59">
        <v>24.0</v>
      </c>
      <c r="G75" s="57" t="s">
        <v>487</v>
      </c>
      <c r="H75" s="57" t="s">
        <v>669</v>
      </c>
      <c r="I75" s="72">
        <v>9.226144134E9</v>
      </c>
      <c r="J75" s="60" t="s">
        <v>708</v>
      </c>
      <c r="K75" s="57" t="s">
        <v>444</v>
      </c>
      <c r="L75" s="61"/>
      <c r="M75" s="49"/>
      <c r="N75" s="49"/>
      <c r="O75" s="49"/>
      <c r="P75" s="49"/>
      <c r="Q75" s="49"/>
      <c r="R75" s="49"/>
      <c r="S75" s="49"/>
      <c r="T75" s="49"/>
      <c r="U75" s="49"/>
      <c r="V75" s="49"/>
      <c r="W75" s="49"/>
      <c r="X75" s="49"/>
      <c r="Y75" s="49"/>
      <c r="Z75" s="49"/>
    </row>
    <row r="76" ht="22.5" customHeight="1">
      <c r="A76" s="50">
        <v>46000.56250179398</v>
      </c>
      <c r="B76" s="51" t="s">
        <v>709</v>
      </c>
      <c r="C76" s="62" t="s">
        <v>710</v>
      </c>
      <c r="D76" s="51" t="s">
        <v>9</v>
      </c>
      <c r="E76" s="53">
        <v>83.0</v>
      </c>
      <c r="F76" s="53">
        <v>25.0</v>
      </c>
      <c r="G76" s="51" t="s">
        <v>447</v>
      </c>
      <c r="H76" s="51" t="s">
        <v>471</v>
      </c>
      <c r="I76" s="53">
        <v>8.850502382E9</v>
      </c>
      <c r="J76" s="54" t="s">
        <v>711</v>
      </c>
      <c r="K76" s="51" t="s">
        <v>444</v>
      </c>
      <c r="L76" s="55"/>
      <c r="M76" s="49"/>
      <c r="N76" s="49"/>
      <c r="O76" s="49"/>
      <c r="P76" s="49"/>
      <c r="Q76" s="49"/>
      <c r="R76" s="49"/>
      <c r="S76" s="49"/>
      <c r="T76" s="49"/>
      <c r="U76" s="49"/>
      <c r="V76" s="49"/>
      <c r="W76" s="49"/>
      <c r="X76" s="49"/>
      <c r="Y76" s="49"/>
      <c r="Z76" s="49"/>
    </row>
    <row r="77" ht="22.5" customHeight="1">
      <c r="A77" s="56">
        <v>46012.535276423616</v>
      </c>
      <c r="B77" s="57" t="s">
        <v>712</v>
      </c>
      <c r="C77" s="63" t="s">
        <v>713</v>
      </c>
      <c r="D77" s="57" t="s">
        <v>714</v>
      </c>
      <c r="E77" s="59">
        <v>421.0</v>
      </c>
      <c r="F77" s="59">
        <v>19.0</v>
      </c>
      <c r="G77" s="57" t="s">
        <v>487</v>
      </c>
      <c r="H77" s="57" t="s">
        <v>695</v>
      </c>
      <c r="I77" s="59">
        <v>9.327620328E9</v>
      </c>
      <c r="J77" s="60" t="s">
        <v>715</v>
      </c>
      <c r="K77" s="57" t="s">
        <v>444</v>
      </c>
      <c r="L77" s="61"/>
      <c r="M77" s="49"/>
      <c r="N77" s="49"/>
      <c r="O77" s="49"/>
      <c r="P77" s="49"/>
      <c r="Q77" s="49"/>
      <c r="R77" s="49"/>
      <c r="S77" s="49"/>
      <c r="T77" s="49"/>
      <c r="U77" s="49"/>
      <c r="V77" s="49"/>
      <c r="W77" s="49"/>
      <c r="X77" s="49"/>
      <c r="Y77" s="49"/>
      <c r="Z77" s="49"/>
    </row>
    <row r="78" ht="22.5" customHeight="1">
      <c r="A78" s="50">
        <v>45997.43240668981</v>
      </c>
      <c r="B78" s="51" t="s">
        <v>716</v>
      </c>
      <c r="C78" s="62" t="s">
        <v>85</v>
      </c>
      <c r="D78" s="51" t="s">
        <v>11</v>
      </c>
      <c r="E78" s="53">
        <v>84.0</v>
      </c>
      <c r="F78" s="53">
        <v>22.0</v>
      </c>
      <c r="G78" s="51" t="s">
        <v>447</v>
      </c>
      <c r="H78" s="51" t="s">
        <v>717</v>
      </c>
      <c r="I78" s="53">
        <v>9.699946077E9</v>
      </c>
      <c r="J78" s="54" t="s">
        <v>718</v>
      </c>
      <c r="K78" s="51" t="s">
        <v>444</v>
      </c>
      <c r="L78" s="55"/>
      <c r="M78" s="49"/>
      <c r="N78" s="49"/>
      <c r="O78" s="49"/>
      <c r="P78" s="49"/>
      <c r="Q78" s="49"/>
      <c r="R78" s="49"/>
      <c r="S78" s="49"/>
      <c r="T78" s="49"/>
      <c r="U78" s="49"/>
      <c r="V78" s="49"/>
      <c r="W78" s="49"/>
      <c r="X78" s="49"/>
      <c r="Y78" s="49"/>
      <c r="Z78" s="49"/>
    </row>
    <row r="79" ht="22.5" customHeight="1">
      <c r="A79" s="56">
        <v>45996.5156320949</v>
      </c>
      <c r="B79" s="57" t="s">
        <v>719</v>
      </c>
      <c r="C79" s="63" t="s">
        <v>720</v>
      </c>
      <c r="D79" s="57" t="s">
        <v>13</v>
      </c>
      <c r="E79" s="59">
        <v>40.0</v>
      </c>
      <c r="F79" s="59">
        <v>18.0</v>
      </c>
      <c r="G79" s="57" t="s">
        <v>458</v>
      </c>
      <c r="H79" s="57" t="s">
        <v>721</v>
      </c>
      <c r="I79" s="59">
        <v>7.620396824E9</v>
      </c>
      <c r="J79" s="60" t="s">
        <v>722</v>
      </c>
      <c r="K79" s="57" t="s">
        <v>444</v>
      </c>
      <c r="L79" s="61"/>
      <c r="M79" s="49"/>
      <c r="N79" s="49"/>
      <c r="O79" s="49"/>
      <c r="P79" s="49"/>
      <c r="Q79" s="49"/>
      <c r="R79" s="49"/>
      <c r="S79" s="49"/>
      <c r="T79" s="49"/>
      <c r="U79" s="49"/>
      <c r="V79" s="49"/>
      <c r="W79" s="49"/>
      <c r="X79" s="49"/>
      <c r="Y79" s="49"/>
      <c r="Z79" s="49"/>
    </row>
    <row r="80" ht="22.5" customHeight="1">
      <c r="A80" s="50">
        <v>45999.69112336806</v>
      </c>
      <c r="B80" s="51" t="s">
        <v>723</v>
      </c>
      <c r="C80" s="62" t="s">
        <v>724</v>
      </c>
      <c r="D80" s="53">
        <v>414001.0</v>
      </c>
      <c r="E80" s="53">
        <v>87.0</v>
      </c>
      <c r="F80" s="53">
        <v>27.0</v>
      </c>
      <c r="G80" s="51" t="s">
        <v>447</v>
      </c>
      <c r="H80" s="51" t="s">
        <v>725</v>
      </c>
      <c r="I80" s="53">
        <v>9.923604321E9</v>
      </c>
      <c r="J80" s="54" t="s">
        <v>726</v>
      </c>
      <c r="K80" s="51" t="s">
        <v>444</v>
      </c>
      <c r="L80" s="55"/>
      <c r="M80" s="49"/>
      <c r="N80" s="49"/>
      <c r="O80" s="49"/>
      <c r="P80" s="49"/>
      <c r="Q80" s="49"/>
      <c r="R80" s="49"/>
      <c r="S80" s="49"/>
      <c r="T80" s="49"/>
      <c r="U80" s="49"/>
      <c r="V80" s="49"/>
      <c r="W80" s="49"/>
      <c r="X80" s="49"/>
      <c r="Y80" s="49"/>
      <c r="Z80" s="49"/>
    </row>
    <row r="81" ht="22.5" customHeight="1">
      <c r="A81" s="56">
        <v>46000.42062105324</v>
      </c>
      <c r="B81" s="57" t="s">
        <v>727</v>
      </c>
      <c r="C81" s="63" t="s">
        <v>89</v>
      </c>
      <c r="D81" s="57" t="s">
        <v>11</v>
      </c>
      <c r="E81" s="59">
        <v>89.0</v>
      </c>
      <c r="F81" s="59">
        <v>22.0</v>
      </c>
      <c r="G81" s="57" t="s">
        <v>447</v>
      </c>
      <c r="H81" s="57" t="s">
        <v>728</v>
      </c>
      <c r="I81" s="59">
        <v>9.821355636E9</v>
      </c>
      <c r="J81" s="60" t="s">
        <v>729</v>
      </c>
      <c r="K81" s="57" t="s">
        <v>444</v>
      </c>
      <c r="L81" s="61"/>
      <c r="M81" s="49"/>
      <c r="N81" s="49"/>
      <c r="O81" s="49"/>
      <c r="P81" s="49"/>
      <c r="Q81" s="49"/>
      <c r="R81" s="49"/>
      <c r="S81" s="49"/>
      <c r="T81" s="49"/>
      <c r="U81" s="49"/>
      <c r="V81" s="49"/>
      <c r="W81" s="49"/>
      <c r="X81" s="49"/>
      <c r="Y81" s="49"/>
      <c r="Z81" s="49"/>
    </row>
    <row r="82" ht="22.5" customHeight="1">
      <c r="A82" s="73">
        <v>46006.845022974536</v>
      </c>
      <c r="B82" s="74" t="s">
        <v>730</v>
      </c>
      <c r="C82" s="75" t="s">
        <v>731</v>
      </c>
      <c r="D82" s="74">
        <v>90.0</v>
      </c>
      <c r="E82" s="76">
        <v>90.0</v>
      </c>
      <c r="F82" s="74">
        <v>18.0</v>
      </c>
      <c r="G82" s="77" t="s">
        <v>487</v>
      </c>
      <c r="H82" s="77" t="s">
        <v>669</v>
      </c>
      <c r="I82" s="74">
        <v>9.653151546E9</v>
      </c>
      <c r="J82" s="77" t="s">
        <v>732</v>
      </c>
      <c r="K82" s="77" t="s">
        <v>444</v>
      </c>
      <c r="L82" s="55"/>
      <c r="M82" s="49"/>
      <c r="N82" s="49"/>
      <c r="O82" s="49"/>
      <c r="P82" s="49"/>
      <c r="Q82" s="49"/>
      <c r="R82" s="49"/>
      <c r="S82" s="49"/>
      <c r="T82" s="49"/>
      <c r="U82" s="49"/>
      <c r="V82" s="49"/>
      <c r="W82" s="49"/>
      <c r="X82" s="49"/>
      <c r="Y82" s="49"/>
      <c r="Z82" s="49"/>
    </row>
    <row r="83" ht="22.5" customHeight="1">
      <c r="A83" s="56">
        <v>45999.908896747686</v>
      </c>
      <c r="B83" s="57" t="s">
        <v>733</v>
      </c>
      <c r="C83" s="63" t="s">
        <v>734</v>
      </c>
      <c r="D83" s="57" t="s">
        <v>5</v>
      </c>
      <c r="E83" s="59">
        <v>386.0</v>
      </c>
      <c r="F83" s="59">
        <v>37.0</v>
      </c>
      <c r="G83" s="57" t="s">
        <v>447</v>
      </c>
      <c r="H83" s="57" t="s">
        <v>506</v>
      </c>
      <c r="I83" s="59">
        <v>9.960840282E9</v>
      </c>
      <c r="J83" s="60" t="s">
        <v>735</v>
      </c>
      <c r="K83" s="57" t="s">
        <v>444</v>
      </c>
      <c r="L83" s="61"/>
      <c r="M83" s="49"/>
      <c r="N83" s="49"/>
      <c r="O83" s="49"/>
      <c r="P83" s="49"/>
      <c r="Q83" s="49"/>
      <c r="R83" s="49"/>
      <c r="S83" s="49"/>
      <c r="T83" s="49"/>
      <c r="U83" s="49"/>
      <c r="V83" s="49"/>
      <c r="W83" s="49"/>
      <c r="X83" s="49"/>
      <c r="Y83" s="49"/>
      <c r="Z83" s="49"/>
    </row>
    <row r="84" ht="22.5" customHeight="1">
      <c r="A84" s="50">
        <v>46005.971283645835</v>
      </c>
      <c r="B84" s="51" t="s">
        <v>736</v>
      </c>
      <c r="C84" s="62" t="s">
        <v>91</v>
      </c>
      <c r="D84" s="51" t="s">
        <v>5</v>
      </c>
      <c r="E84" s="53">
        <v>91.0</v>
      </c>
      <c r="F84" s="53">
        <v>50.0</v>
      </c>
      <c r="G84" s="51" t="s">
        <v>458</v>
      </c>
      <c r="H84" s="51" t="s">
        <v>448</v>
      </c>
      <c r="I84" s="53">
        <v>9.820183544E9</v>
      </c>
      <c r="J84" s="54" t="s">
        <v>737</v>
      </c>
      <c r="K84" s="51" t="s">
        <v>444</v>
      </c>
      <c r="L84" s="55"/>
      <c r="M84" s="49"/>
      <c r="N84" s="49"/>
      <c r="O84" s="49"/>
      <c r="P84" s="49"/>
      <c r="Q84" s="49"/>
      <c r="R84" s="49"/>
      <c r="S84" s="49"/>
      <c r="T84" s="49"/>
      <c r="U84" s="49"/>
      <c r="V84" s="49"/>
      <c r="W84" s="49"/>
      <c r="X84" s="49"/>
      <c r="Y84" s="49"/>
      <c r="Z84" s="49"/>
    </row>
    <row r="85" ht="22.5" customHeight="1">
      <c r="A85" s="56">
        <v>46001.65832081018</v>
      </c>
      <c r="B85" s="57" t="s">
        <v>738</v>
      </c>
      <c r="C85" s="63" t="s">
        <v>92</v>
      </c>
      <c r="D85" s="57" t="s">
        <v>7</v>
      </c>
      <c r="E85" s="59">
        <v>92.0</v>
      </c>
      <c r="F85" s="59">
        <v>12.0</v>
      </c>
      <c r="G85" s="57" t="s">
        <v>447</v>
      </c>
      <c r="H85" s="57" t="s">
        <v>739</v>
      </c>
      <c r="I85" s="59">
        <v>7.977736076E9</v>
      </c>
      <c r="J85" s="60" t="s">
        <v>740</v>
      </c>
      <c r="K85" s="57" t="s">
        <v>444</v>
      </c>
      <c r="L85" s="61"/>
      <c r="M85" s="49"/>
      <c r="N85" s="49"/>
      <c r="O85" s="49"/>
      <c r="P85" s="49"/>
      <c r="Q85" s="49"/>
      <c r="R85" s="49"/>
      <c r="S85" s="49"/>
      <c r="T85" s="49"/>
      <c r="U85" s="49"/>
      <c r="V85" s="49"/>
      <c r="W85" s="49"/>
      <c r="X85" s="49"/>
      <c r="Y85" s="49"/>
      <c r="Z85" s="49"/>
    </row>
    <row r="86" ht="22.5" customHeight="1">
      <c r="A86" s="50">
        <v>45996.5194312963</v>
      </c>
      <c r="B86" s="51" t="s">
        <v>741</v>
      </c>
      <c r="C86" s="62" t="s">
        <v>742</v>
      </c>
      <c r="D86" s="51" t="s">
        <v>743</v>
      </c>
      <c r="E86" s="53">
        <v>95.0</v>
      </c>
      <c r="F86" s="53">
        <v>21.0</v>
      </c>
      <c r="G86" s="51" t="s">
        <v>441</v>
      </c>
      <c r="H86" s="51" t="s">
        <v>471</v>
      </c>
      <c r="I86" s="53">
        <v>9.324842615E9</v>
      </c>
      <c r="J86" s="54" t="s">
        <v>744</v>
      </c>
      <c r="K86" s="51" t="s">
        <v>444</v>
      </c>
      <c r="L86" s="55"/>
      <c r="M86" s="49"/>
      <c r="N86" s="49"/>
      <c r="O86" s="49"/>
      <c r="P86" s="49"/>
      <c r="Q86" s="49"/>
      <c r="R86" s="49"/>
      <c r="S86" s="49"/>
      <c r="T86" s="49"/>
      <c r="U86" s="49"/>
      <c r="V86" s="49"/>
      <c r="W86" s="49"/>
      <c r="X86" s="49"/>
      <c r="Y86" s="49"/>
      <c r="Z86" s="49"/>
    </row>
    <row r="87" ht="22.5" customHeight="1">
      <c r="A87" s="56">
        <v>46012.464197106485</v>
      </c>
      <c r="B87" s="57" t="s">
        <v>745</v>
      </c>
      <c r="C87" s="63" t="s">
        <v>746</v>
      </c>
      <c r="D87" s="57" t="s">
        <v>7</v>
      </c>
      <c r="E87" s="59">
        <v>439.0</v>
      </c>
      <c r="F87" s="59">
        <v>37.0</v>
      </c>
      <c r="G87" s="57" t="s">
        <v>458</v>
      </c>
      <c r="H87" s="57" t="s">
        <v>669</v>
      </c>
      <c r="I87" s="59">
        <v>9.867353355E9</v>
      </c>
      <c r="J87" s="60" t="s">
        <v>747</v>
      </c>
      <c r="K87" s="57" t="s">
        <v>444</v>
      </c>
      <c r="L87" s="61"/>
      <c r="M87" s="49"/>
      <c r="N87" s="49"/>
      <c r="O87" s="49"/>
      <c r="P87" s="49"/>
      <c r="Q87" s="49"/>
      <c r="R87" s="49"/>
      <c r="S87" s="49"/>
      <c r="T87" s="49"/>
      <c r="U87" s="49"/>
      <c r="V87" s="49"/>
      <c r="W87" s="49"/>
      <c r="X87" s="49"/>
      <c r="Y87" s="49"/>
      <c r="Z87" s="49"/>
    </row>
    <row r="88" ht="22.5" customHeight="1">
      <c r="A88" s="50">
        <v>45997.60880375</v>
      </c>
      <c r="B88" s="51" t="s">
        <v>748</v>
      </c>
      <c r="C88" s="62" t="s">
        <v>94</v>
      </c>
      <c r="D88" s="51" t="s">
        <v>7</v>
      </c>
      <c r="E88" s="53">
        <v>97.0</v>
      </c>
      <c r="F88" s="53">
        <v>25.0</v>
      </c>
      <c r="G88" s="51" t="s">
        <v>487</v>
      </c>
      <c r="H88" s="51" t="s">
        <v>749</v>
      </c>
      <c r="I88" s="53">
        <v>9.821273773E9</v>
      </c>
      <c r="J88" s="54" t="s">
        <v>750</v>
      </c>
      <c r="K88" s="51" t="s">
        <v>444</v>
      </c>
      <c r="L88" s="55"/>
      <c r="M88" s="49"/>
      <c r="N88" s="49"/>
      <c r="O88" s="49"/>
      <c r="P88" s="49"/>
      <c r="Q88" s="49"/>
      <c r="R88" s="49"/>
      <c r="S88" s="49"/>
      <c r="T88" s="49"/>
      <c r="U88" s="49"/>
      <c r="V88" s="49"/>
      <c r="W88" s="49"/>
      <c r="X88" s="49"/>
      <c r="Y88" s="49"/>
      <c r="Z88" s="49"/>
    </row>
    <row r="89" ht="22.5" customHeight="1">
      <c r="A89" s="56">
        <v>46001.475854178236</v>
      </c>
      <c r="B89" s="57" t="s">
        <v>751</v>
      </c>
      <c r="C89" s="63" t="s">
        <v>96</v>
      </c>
      <c r="D89" s="57" t="s">
        <v>11</v>
      </c>
      <c r="E89" s="59">
        <v>99.0</v>
      </c>
      <c r="F89" s="59">
        <v>22.0</v>
      </c>
      <c r="G89" s="57" t="s">
        <v>447</v>
      </c>
      <c r="H89" s="57" t="s">
        <v>752</v>
      </c>
      <c r="I89" s="59">
        <v>9.821116177E9</v>
      </c>
      <c r="J89" s="60" t="s">
        <v>753</v>
      </c>
      <c r="K89" s="57" t="s">
        <v>444</v>
      </c>
      <c r="L89" s="61"/>
      <c r="M89" s="49"/>
      <c r="N89" s="49"/>
      <c r="O89" s="49"/>
      <c r="P89" s="49"/>
      <c r="Q89" s="49"/>
      <c r="R89" s="49"/>
      <c r="S89" s="49"/>
      <c r="T89" s="49"/>
      <c r="U89" s="49"/>
      <c r="V89" s="49"/>
      <c r="W89" s="49"/>
      <c r="X89" s="49"/>
      <c r="Y89" s="49"/>
      <c r="Z89" s="49"/>
    </row>
    <row r="90" ht="22.5" customHeight="1">
      <c r="A90" s="50">
        <v>45996.55148605324</v>
      </c>
      <c r="B90" s="51" t="s">
        <v>754</v>
      </c>
      <c r="C90" s="62" t="s">
        <v>755</v>
      </c>
      <c r="D90" s="51" t="s">
        <v>13</v>
      </c>
      <c r="E90" s="53">
        <v>100.0</v>
      </c>
      <c r="F90" s="53">
        <v>21.0</v>
      </c>
      <c r="G90" s="51" t="s">
        <v>487</v>
      </c>
      <c r="H90" s="51" t="s">
        <v>704</v>
      </c>
      <c r="I90" s="53">
        <v>7.977757478E9</v>
      </c>
      <c r="J90" s="54" t="s">
        <v>756</v>
      </c>
      <c r="K90" s="51" t="s">
        <v>444</v>
      </c>
      <c r="L90" s="55"/>
      <c r="M90" s="49"/>
      <c r="N90" s="49"/>
      <c r="O90" s="49"/>
      <c r="P90" s="49"/>
      <c r="Q90" s="49"/>
      <c r="R90" s="49"/>
      <c r="S90" s="49"/>
      <c r="T90" s="49"/>
      <c r="U90" s="49"/>
      <c r="V90" s="49"/>
      <c r="W90" s="49"/>
      <c r="X90" s="49"/>
      <c r="Y90" s="49"/>
      <c r="Z90" s="49"/>
    </row>
    <row r="91" ht="22.5" customHeight="1">
      <c r="A91" s="56">
        <v>45997.73335013889</v>
      </c>
      <c r="B91" s="57" t="s">
        <v>757</v>
      </c>
      <c r="C91" s="63" t="s">
        <v>758</v>
      </c>
      <c r="D91" s="57" t="s">
        <v>5</v>
      </c>
      <c r="E91" s="59">
        <v>101.0</v>
      </c>
      <c r="F91" s="59">
        <v>42.0</v>
      </c>
      <c r="G91" s="57" t="s">
        <v>447</v>
      </c>
      <c r="H91" s="57" t="s">
        <v>759</v>
      </c>
      <c r="I91" s="59">
        <v>8.097675227E9</v>
      </c>
      <c r="J91" s="60" t="s">
        <v>760</v>
      </c>
      <c r="K91" s="57" t="s">
        <v>444</v>
      </c>
      <c r="L91" s="61"/>
      <c r="M91" s="49"/>
      <c r="N91" s="49"/>
      <c r="O91" s="49"/>
      <c r="P91" s="49"/>
      <c r="Q91" s="49"/>
      <c r="R91" s="49"/>
      <c r="S91" s="49"/>
      <c r="T91" s="49"/>
      <c r="U91" s="49"/>
      <c r="V91" s="49"/>
      <c r="W91" s="49"/>
      <c r="X91" s="49"/>
      <c r="Y91" s="49"/>
      <c r="Z91" s="49"/>
    </row>
    <row r="92" ht="22.5" customHeight="1">
      <c r="A92" s="50">
        <v>46016.984658217596</v>
      </c>
      <c r="B92" s="51" t="s">
        <v>761</v>
      </c>
      <c r="C92" s="62" t="s">
        <v>762</v>
      </c>
      <c r="D92" s="51" t="s">
        <v>7</v>
      </c>
      <c r="E92" s="53">
        <v>102.0</v>
      </c>
      <c r="F92" s="53">
        <v>18.0</v>
      </c>
      <c r="G92" s="51" t="s">
        <v>441</v>
      </c>
      <c r="H92" s="51" t="s">
        <v>763</v>
      </c>
      <c r="I92" s="53">
        <v>8.976230296E9</v>
      </c>
      <c r="J92" s="54" t="s">
        <v>764</v>
      </c>
      <c r="K92" s="51" t="s">
        <v>444</v>
      </c>
      <c r="L92" s="55"/>
      <c r="M92" s="49"/>
      <c r="N92" s="49"/>
      <c r="O92" s="49"/>
      <c r="P92" s="49"/>
      <c r="Q92" s="49"/>
      <c r="R92" s="49"/>
      <c r="S92" s="49"/>
      <c r="T92" s="49"/>
      <c r="U92" s="49"/>
      <c r="V92" s="49"/>
      <c r="W92" s="49"/>
      <c r="X92" s="49"/>
      <c r="Y92" s="49"/>
      <c r="Z92" s="49"/>
    </row>
    <row r="93" ht="22.5" customHeight="1">
      <c r="A93" s="56">
        <v>46016.54519725694</v>
      </c>
      <c r="B93" s="57" t="s">
        <v>765</v>
      </c>
      <c r="C93" s="63" t="s">
        <v>766</v>
      </c>
      <c r="D93" s="57" t="s">
        <v>5</v>
      </c>
      <c r="E93" s="59">
        <v>448.0</v>
      </c>
      <c r="F93" s="59">
        <v>16.0</v>
      </c>
      <c r="G93" s="57" t="s">
        <v>447</v>
      </c>
      <c r="H93" s="57" t="s">
        <v>767</v>
      </c>
      <c r="I93" s="59">
        <v>7.898717647E9</v>
      </c>
      <c r="J93" s="60" t="s">
        <v>768</v>
      </c>
      <c r="K93" s="57" t="s">
        <v>444</v>
      </c>
      <c r="L93" s="61"/>
      <c r="M93" s="49"/>
      <c r="N93" s="49"/>
      <c r="O93" s="49"/>
      <c r="P93" s="49"/>
      <c r="Q93" s="49"/>
      <c r="R93" s="49"/>
      <c r="S93" s="49"/>
      <c r="T93" s="49"/>
      <c r="U93" s="49"/>
      <c r="V93" s="49"/>
      <c r="W93" s="49"/>
      <c r="X93" s="49"/>
      <c r="Y93" s="49"/>
      <c r="Z93" s="49"/>
    </row>
    <row r="94" ht="22.5" customHeight="1">
      <c r="A94" s="50">
        <v>45996.828677060184</v>
      </c>
      <c r="B94" s="51" t="s">
        <v>769</v>
      </c>
      <c r="C94" s="62" t="s">
        <v>100</v>
      </c>
      <c r="D94" s="51" t="s">
        <v>9</v>
      </c>
      <c r="E94" s="53">
        <v>103.0</v>
      </c>
      <c r="F94" s="53">
        <v>17.0</v>
      </c>
      <c r="G94" s="51" t="s">
        <v>447</v>
      </c>
      <c r="H94" s="51" t="s">
        <v>749</v>
      </c>
      <c r="I94" s="53">
        <v>9.372446603E9</v>
      </c>
      <c r="J94" s="54" t="s">
        <v>770</v>
      </c>
      <c r="K94" s="51" t="s">
        <v>444</v>
      </c>
      <c r="L94" s="55"/>
      <c r="M94" s="49"/>
      <c r="N94" s="49"/>
      <c r="O94" s="49"/>
      <c r="P94" s="49"/>
      <c r="Q94" s="49"/>
      <c r="R94" s="49"/>
      <c r="S94" s="49"/>
      <c r="T94" s="49"/>
      <c r="U94" s="49"/>
      <c r="V94" s="49"/>
      <c r="W94" s="49"/>
      <c r="X94" s="49"/>
      <c r="Y94" s="49"/>
      <c r="Z94" s="49"/>
    </row>
    <row r="95" ht="22.5" customHeight="1">
      <c r="A95" s="56">
        <v>45996.63449549768</v>
      </c>
      <c r="B95" s="57" t="s">
        <v>771</v>
      </c>
      <c r="C95" s="63" t="s">
        <v>101</v>
      </c>
      <c r="D95" s="57" t="s">
        <v>11</v>
      </c>
      <c r="E95" s="59">
        <v>104.0</v>
      </c>
      <c r="F95" s="59">
        <v>21.0</v>
      </c>
      <c r="G95" s="57" t="s">
        <v>458</v>
      </c>
      <c r="H95" s="57" t="s">
        <v>471</v>
      </c>
      <c r="I95" s="59">
        <v>9.820211078E9</v>
      </c>
      <c r="J95" s="60" t="s">
        <v>772</v>
      </c>
      <c r="K95" s="57" t="s">
        <v>444</v>
      </c>
      <c r="L95" s="61"/>
      <c r="M95" s="49"/>
      <c r="N95" s="49"/>
      <c r="O95" s="49"/>
      <c r="P95" s="49"/>
      <c r="Q95" s="49"/>
      <c r="R95" s="49"/>
      <c r="S95" s="49"/>
      <c r="T95" s="49"/>
      <c r="U95" s="49"/>
      <c r="V95" s="49"/>
      <c r="W95" s="49"/>
      <c r="X95" s="49"/>
      <c r="Y95" s="49"/>
      <c r="Z95" s="49"/>
    </row>
    <row r="96" ht="22.5" customHeight="1">
      <c r="A96" s="50">
        <v>45999.3125469213</v>
      </c>
      <c r="B96" s="51" t="s">
        <v>773</v>
      </c>
      <c r="C96" s="62" t="s">
        <v>102</v>
      </c>
      <c r="D96" s="51" t="s">
        <v>5</v>
      </c>
      <c r="E96" s="53">
        <v>106.0</v>
      </c>
      <c r="F96" s="53">
        <v>22.0</v>
      </c>
      <c r="G96" s="51" t="s">
        <v>458</v>
      </c>
      <c r="H96" s="51" t="s">
        <v>669</v>
      </c>
      <c r="I96" s="53">
        <v>7.666444892E9</v>
      </c>
      <c r="J96" s="54" t="s">
        <v>774</v>
      </c>
      <c r="K96" s="51" t="s">
        <v>444</v>
      </c>
      <c r="L96" s="55"/>
      <c r="M96" s="49"/>
      <c r="N96" s="49"/>
      <c r="O96" s="49"/>
      <c r="P96" s="49"/>
      <c r="Q96" s="49"/>
      <c r="R96" s="49"/>
      <c r="S96" s="49"/>
      <c r="T96" s="49"/>
      <c r="U96" s="49"/>
      <c r="V96" s="49"/>
      <c r="W96" s="49"/>
      <c r="X96" s="49"/>
      <c r="Y96" s="49"/>
      <c r="Z96" s="49"/>
    </row>
    <row r="97" ht="22.5" customHeight="1">
      <c r="A97" s="56">
        <v>46001.497337673616</v>
      </c>
      <c r="B97" s="57" t="s">
        <v>775</v>
      </c>
      <c r="C97" s="63" t="s">
        <v>776</v>
      </c>
      <c r="D97" s="57" t="s">
        <v>7</v>
      </c>
      <c r="E97" s="59">
        <v>107.0</v>
      </c>
      <c r="F97" s="59">
        <v>25.0</v>
      </c>
      <c r="G97" s="57" t="s">
        <v>458</v>
      </c>
      <c r="H97" s="57" t="s">
        <v>777</v>
      </c>
      <c r="I97" s="59">
        <v>7.665555146E9</v>
      </c>
      <c r="J97" s="60" t="s">
        <v>778</v>
      </c>
      <c r="K97" s="57" t="s">
        <v>444</v>
      </c>
      <c r="L97" s="61"/>
      <c r="M97" s="49"/>
      <c r="N97" s="49"/>
      <c r="O97" s="49"/>
      <c r="P97" s="49"/>
      <c r="Q97" s="49"/>
      <c r="R97" s="49"/>
      <c r="S97" s="49"/>
      <c r="T97" s="49"/>
      <c r="U97" s="49"/>
      <c r="V97" s="49"/>
      <c r="W97" s="49"/>
      <c r="X97" s="49"/>
      <c r="Y97" s="49"/>
      <c r="Z97" s="49"/>
    </row>
    <row r="98" ht="22.5" customHeight="1">
      <c r="A98" s="50">
        <v>45996.51467172454</v>
      </c>
      <c r="B98" s="51" t="s">
        <v>779</v>
      </c>
      <c r="C98" s="62" t="s">
        <v>105</v>
      </c>
      <c r="D98" s="51" t="s">
        <v>11</v>
      </c>
      <c r="E98" s="53">
        <v>109.0</v>
      </c>
      <c r="F98" s="53">
        <v>20.0</v>
      </c>
      <c r="G98" s="51" t="s">
        <v>487</v>
      </c>
      <c r="H98" s="51" t="s">
        <v>780</v>
      </c>
      <c r="I98" s="53">
        <v>9.1311541E9</v>
      </c>
      <c r="J98" s="54" t="s">
        <v>781</v>
      </c>
      <c r="K98" s="51" t="s">
        <v>444</v>
      </c>
      <c r="L98" s="55"/>
      <c r="M98" s="49"/>
      <c r="N98" s="49"/>
      <c r="O98" s="49"/>
      <c r="P98" s="49"/>
      <c r="Q98" s="49"/>
      <c r="R98" s="49"/>
      <c r="S98" s="49"/>
      <c r="T98" s="49"/>
      <c r="U98" s="49"/>
      <c r="V98" s="49"/>
      <c r="W98" s="49"/>
      <c r="X98" s="49"/>
      <c r="Y98" s="49"/>
      <c r="Z98" s="49"/>
    </row>
    <row r="99" ht="22.5" customHeight="1">
      <c r="A99" s="56">
        <v>45997.837981041666</v>
      </c>
      <c r="B99" s="57" t="s">
        <v>782</v>
      </c>
      <c r="C99" s="63" t="s">
        <v>783</v>
      </c>
      <c r="D99" s="57" t="s">
        <v>13</v>
      </c>
      <c r="E99" s="59">
        <v>110.0</v>
      </c>
      <c r="F99" s="59">
        <v>40.0</v>
      </c>
      <c r="G99" s="57" t="s">
        <v>447</v>
      </c>
      <c r="H99" s="57" t="s">
        <v>691</v>
      </c>
      <c r="I99" s="59">
        <v>7.874182849E9</v>
      </c>
      <c r="J99" s="60" t="s">
        <v>784</v>
      </c>
      <c r="K99" s="57" t="s">
        <v>444</v>
      </c>
      <c r="L99" s="61"/>
      <c r="M99" s="49"/>
      <c r="N99" s="49"/>
      <c r="O99" s="49"/>
      <c r="P99" s="49"/>
      <c r="Q99" s="49"/>
      <c r="R99" s="49"/>
      <c r="S99" s="49"/>
      <c r="T99" s="49"/>
      <c r="U99" s="49"/>
      <c r="V99" s="49"/>
      <c r="W99" s="49"/>
      <c r="X99" s="49"/>
      <c r="Y99" s="49"/>
      <c r="Z99" s="49"/>
    </row>
    <row r="100" ht="22.5" customHeight="1">
      <c r="A100" s="50">
        <v>46006.039525520835</v>
      </c>
      <c r="B100" s="51" t="s">
        <v>785</v>
      </c>
      <c r="C100" s="62" t="s">
        <v>786</v>
      </c>
      <c r="D100" s="51" t="s">
        <v>787</v>
      </c>
      <c r="E100" s="53">
        <v>149.0</v>
      </c>
      <c r="F100" s="53">
        <v>25.0</v>
      </c>
      <c r="G100" s="51" t="s">
        <v>487</v>
      </c>
      <c r="H100" s="51" t="s">
        <v>788</v>
      </c>
      <c r="I100" s="53">
        <v>9.099469777E9</v>
      </c>
      <c r="J100" s="54" t="s">
        <v>789</v>
      </c>
      <c r="K100" s="51" t="s">
        <v>444</v>
      </c>
      <c r="L100" s="55"/>
      <c r="M100" s="49"/>
      <c r="N100" s="49"/>
      <c r="O100" s="49"/>
      <c r="P100" s="49"/>
      <c r="Q100" s="49"/>
      <c r="R100" s="49"/>
      <c r="S100" s="49"/>
      <c r="T100" s="49"/>
      <c r="U100" s="49"/>
      <c r="V100" s="49"/>
      <c r="W100" s="49"/>
      <c r="X100" s="49"/>
      <c r="Y100" s="49"/>
      <c r="Z100" s="49"/>
    </row>
    <row r="101" ht="22.5" customHeight="1">
      <c r="A101" s="56">
        <v>45996.74019267361</v>
      </c>
      <c r="B101" s="57" t="s">
        <v>790</v>
      </c>
      <c r="C101" s="63" t="s">
        <v>791</v>
      </c>
      <c r="D101" s="57" t="s">
        <v>9</v>
      </c>
      <c r="E101" s="59">
        <v>113.0</v>
      </c>
      <c r="F101" s="59">
        <v>35.0</v>
      </c>
      <c r="G101" s="57" t="s">
        <v>447</v>
      </c>
      <c r="H101" s="57" t="s">
        <v>792</v>
      </c>
      <c r="I101" s="59">
        <v>7.600032535E9</v>
      </c>
      <c r="J101" s="60" t="s">
        <v>793</v>
      </c>
      <c r="K101" s="57" t="s">
        <v>444</v>
      </c>
      <c r="L101" s="61"/>
      <c r="M101" s="49"/>
      <c r="N101" s="49"/>
      <c r="O101" s="49"/>
      <c r="P101" s="49"/>
      <c r="Q101" s="49"/>
      <c r="R101" s="49"/>
      <c r="S101" s="49"/>
      <c r="T101" s="49"/>
      <c r="U101" s="49"/>
      <c r="V101" s="49"/>
      <c r="W101" s="49"/>
      <c r="X101" s="49"/>
      <c r="Y101" s="49"/>
      <c r="Z101" s="49"/>
    </row>
    <row r="102" ht="22.5" customHeight="1">
      <c r="A102" s="50">
        <v>46017.74829131944</v>
      </c>
      <c r="B102" s="51" t="s">
        <v>794</v>
      </c>
      <c r="C102" s="62" t="s">
        <v>795</v>
      </c>
      <c r="D102" s="51" t="s">
        <v>13</v>
      </c>
      <c r="E102" s="53">
        <v>415.0</v>
      </c>
      <c r="F102" s="53">
        <v>23.0</v>
      </c>
      <c r="G102" s="51" t="s">
        <v>447</v>
      </c>
      <c r="H102" s="51" t="s">
        <v>796</v>
      </c>
      <c r="I102" s="53">
        <v>9.374732037E9</v>
      </c>
      <c r="J102" s="54" t="s">
        <v>797</v>
      </c>
      <c r="K102" s="51" t="s">
        <v>444</v>
      </c>
      <c r="L102" s="55"/>
      <c r="M102" s="49"/>
      <c r="N102" s="49"/>
      <c r="O102" s="49"/>
      <c r="P102" s="49"/>
      <c r="Q102" s="49"/>
      <c r="R102" s="49"/>
      <c r="S102" s="49"/>
      <c r="T102" s="49"/>
      <c r="U102" s="49"/>
      <c r="V102" s="49"/>
      <c r="W102" s="49"/>
      <c r="X102" s="49"/>
      <c r="Y102" s="49"/>
      <c r="Z102" s="49"/>
    </row>
    <row r="103" ht="22.5" customHeight="1">
      <c r="A103" s="56">
        <v>46009.44895142361</v>
      </c>
      <c r="B103" s="57" t="s">
        <v>798</v>
      </c>
      <c r="C103" s="63" t="s">
        <v>799</v>
      </c>
      <c r="D103" s="57" t="s">
        <v>11</v>
      </c>
      <c r="E103" s="59">
        <v>404.0</v>
      </c>
      <c r="F103" s="59">
        <v>19.0</v>
      </c>
      <c r="G103" s="57" t="s">
        <v>458</v>
      </c>
      <c r="H103" s="57" t="s">
        <v>459</v>
      </c>
      <c r="I103" s="59">
        <v>6.353246842E9</v>
      </c>
      <c r="J103" s="60" t="s">
        <v>800</v>
      </c>
      <c r="K103" s="57" t="s">
        <v>444</v>
      </c>
      <c r="L103" s="61"/>
      <c r="M103" s="49"/>
      <c r="N103" s="49"/>
      <c r="O103" s="49"/>
      <c r="P103" s="49"/>
      <c r="Q103" s="49"/>
      <c r="R103" s="49"/>
      <c r="S103" s="49"/>
      <c r="T103" s="49"/>
      <c r="U103" s="49"/>
      <c r="V103" s="49"/>
      <c r="W103" s="49"/>
      <c r="X103" s="49"/>
      <c r="Y103" s="49"/>
      <c r="Z103" s="49"/>
    </row>
    <row r="104" ht="22.5" customHeight="1">
      <c r="A104" s="50">
        <v>46000.93291053241</v>
      </c>
      <c r="B104" s="51" t="s">
        <v>801</v>
      </c>
      <c r="C104" s="62" t="s">
        <v>802</v>
      </c>
      <c r="D104" s="51" t="s">
        <v>13</v>
      </c>
      <c r="E104" s="53">
        <v>115.0</v>
      </c>
      <c r="F104" s="53">
        <v>25.0</v>
      </c>
      <c r="G104" s="51" t="s">
        <v>458</v>
      </c>
      <c r="H104" s="51" t="s">
        <v>641</v>
      </c>
      <c r="I104" s="53">
        <v>9.32242988E9</v>
      </c>
      <c r="J104" s="54" t="s">
        <v>803</v>
      </c>
      <c r="K104" s="51" t="s">
        <v>444</v>
      </c>
      <c r="L104" s="55"/>
      <c r="M104" s="49"/>
      <c r="N104" s="49"/>
      <c r="O104" s="49"/>
      <c r="P104" s="49"/>
      <c r="Q104" s="49"/>
      <c r="R104" s="49"/>
      <c r="S104" s="49"/>
      <c r="T104" s="49"/>
      <c r="U104" s="49"/>
      <c r="V104" s="49"/>
      <c r="W104" s="49"/>
      <c r="X104" s="49"/>
      <c r="Y104" s="49"/>
      <c r="Z104" s="49"/>
    </row>
    <row r="105" ht="22.5" customHeight="1">
      <c r="A105" s="56">
        <v>46010.57799322916</v>
      </c>
      <c r="B105" s="57" t="s">
        <v>804</v>
      </c>
      <c r="C105" s="63" t="s">
        <v>805</v>
      </c>
      <c r="D105" s="57" t="s">
        <v>7</v>
      </c>
      <c r="E105" s="59">
        <v>422.0</v>
      </c>
      <c r="F105" s="59">
        <v>20.0</v>
      </c>
      <c r="G105" s="57" t="s">
        <v>487</v>
      </c>
      <c r="H105" s="57" t="s">
        <v>669</v>
      </c>
      <c r="I105" s="59">
        <v>9.029907634E9</v>
      </c>
      <c r="J105" s="60" t="s">
        <v>806</v>
      </c>
      <c r="K105" s="57" t="s">
        <v>444</v>
      </c>
      <c r="L105" s="61"/>
      <c r="M105" s="49"/>
      <c r="N105" s="49"/>
      <c r="O105" s="49"/>
      <c r="P105" s="49"/>
      <c r="Q105" s="49"/>
      <c r="R105" s="49"/>
      <c r="S105" s="49"/>
      <c r="T105" s="49"/>
      <c r="U105" s="49"/>
      <c r="V105" s="49"/>
      <c r="W105" s="49"/>
      <c r="X105" s="49"/>
      <c r="Y105" s="49"/>
      <c r="Z105" s="49"/>
    </row>
    <row r="106" ht="22.5" customHeight="1">
      <c r="A106" s="50">
        <v>46000.60872039352</v>
      </c>
      <c r="B106" s="51" t="s">
        <v>807</v>
      </c>
      <c r="C106" s="62" t="s">
        <v>111</v>
      </c>
      <c r="D106" s="51" t="s">
        <v>808</v>
      </c>
      <c r="E106" s="53">
        <v>116.0</v>
      </c>
      <c r="F106" s="53">
        <v>17.0</v>
      </c>
      <c r="G106" s="51" t="s">
        <v>447</v>
      </c>
      <c r="H106" s="51" t="s">
        <v>809</v>
      </c>
      <c r="I106" s="53">
        <v>9.588089135E9</v>
      </c>
      <c r="J106" s="54" t="s">
        <v>810</v>
      </c>
      <c r="K106" s="51" t="s">
        <v>444</v>
      </c>
      <c r="L106" s="55"/>
      <c r="M106" s="49"/>
      <c r="N106" s="49"/>
      <c r="O106" s="49"/>
      <c r="P106" s="49"/>
      <c r="Q106" s="49"/>
      <c r="R106" s="49"/>
      <c r="S106" s="49"/>
      <c r="T106" s="49"/>
      <c r="U106" s="49"/>
      <c r="V106" s="49"/>
      <c r="W106" s="49"/>
      <c r="X106" s="49"/>
      <c r="Y106" s="49"/>
      <c r="Z106" s="49"/>
    </row>
    <row r="107" ht="22.5" customHeight="1">
      <c r="A107" s="56">
        <v>45999.86545722222</v>
      </c>
      <c r="B107" s="57" t="s">
        <v>811</v>
      </c>
      <c r="C107" s="63" t="s">
        <v>812</v>
      </c>
      <c r="D107" s="57" t="s">
        <v>813</v>
      </c>
      <c r="E107" s="59">
        <v>117.0</v>
      </c>
      <c r="F107" s="59">
        <v>23.0</v>
      </c>
      <c r="G107" s="57" t="s">
        <v>458</v>
      </c>
      <c r="H107" s="57" t="s">
        <v>814</v>
      </c>
      <c r="I107" s="59">
        <v>8.970361972E9</v>
      </c>
      <c r="J107" s="60" t="s">
        <v>815</v>
      </c>
      <c r="K107" s="57" t="s">
        <v>444</v>
      </c>
      <c r="L107" s="61"/>
      <c r="M107" s="49"/>
      <c r="N107" s="49"/>
      <c r="O107" s="49"/>
      <c r="P107" s="49"/>
      <c r="Q107" s="49"/>
      <c r="R107" s="49"/>
      <c r="S107" s="49"/>
      <c r="T107" s="49"/>
      <c r="U107" s="49"/>
      <c r="V107" s="49"/>
      <c r="W107" s="49"/>
      <c r="X107" s="49"/>
      <c r="Y107" s="49"/>
      <c r="Z107" s="49"/>
    </row>
    <row r="108" ht="22.5" customHeight="1">
      <c r="A108" s="50">
        <v>46001.88180344907</v>
      </c>
      <c r="B108" s="51" t="s">
        <v>816</v>
      </c>
      <c r="C108" s="62" t="s">
        <v>113</v>
      </c>
      <c r="D108" s="51" t="s">
        <v>9</v>
      </c>
      <c r="E108" s="53">
        <v>118.0</v>
      </c>
      <c r="F108" s="53">
        <v>35.0</v>
      </c>
      <c r="G108" s="51" t="s">
        <v>447</v>
      </c>
      <c r="H108" s="51" t="s">
        <v>817</v>
      </c>
      <c r="I108" s="53">
        <v>7.50730445E9</v>
      </c>
      <c r="J108" s="54" t="s">
        <v>818</v>
      </c>
      <c r="K108" s="51" t="s">
        <v>444</v>
      </c>
      <c r="L108" s="55"/>
      <c r="M108" s="49"/>
      <c r="N108" s="49"/>
      <c r="O108" s="49"/>
      <c r="P108" s="49"/>
      <c r="Q108" s="49"/>
      <c r="R108" s="49"/>
      <c r="S108" s="49"/>
      <c r="T108" s="49"/>
      <c r="U108" s="49"/>
      <c r="V108" s="49"/>
      <c r="W108" s="49"/>
      <c r="X108" s="49"/>
      <c r="Y108" s="49"/>
      <c r="Z108" s="49"/>
    </row>
    <row r="109" ht="22.5" customHeight="1">
      <c r="A109" s="56">
        <v>45996.51337863426</v>
      </c>
      <c r="B109" s="57" t="s">
        <v>819</v>
      </c>
      <c r="C109" s="63" t="s">
        <v>820</v>
      </c>
      <c r="D109" s="57" t="s">
        <v>11</v>
      </c>
      <c r="E109" s="59">
        <v>119.0</v>
      </c>
      <c r="F109" s="59">
        <v>21.0</v>
      </c>
      <c r="G109" s="57" t="s">
        <v>458</v>
      </c>
      <c r="H109" s="57" t="s">
        <v>821</v>
      </c>
      <c r="I109" s="59">
        <v>9.307688441E9</v>
      </c>
      <c r="J109" s="60" t="s">
        <v>822</v>
      </c>
      <c r="K109" s="57" t="s">
        <v>444</v>
      </c>
      <c r="L109" s="61"/>
      <c r="M109" s="49"/>
      <c r="N109" s="49"/>
      <c r="O109" s="49"/>
      <c r="P109" s="49"/>
      <c r="Q109" s="49"/>
      <c r="R109" s="49"/>
      <c r="S109" s="49"/>
      <c r="T109" s="49"/>
      <c r="U109" s="49"/>
      <c r="V109" s="49"/>
      <c r="W109" s="49"/>
      <c r="X109" s="49"/>
      <c r="Y109" s="49"/>
      <c r="Z109" s="49"/>
    </row>
    <row r="110" ht="22.5" customHeight="1">
      <c r="A110" s="50">
        <v>45999.915812164356</v>
      </c>
      <c r="B110" s="51" t="s">
        <v>823</v>
      </c>
      <c r="C110" s="62" t="s">
        <v>824</v>
      </c>
      <c r="D110" s="51" t="s">
        <v>5</v>
      </c>
      <c r="E110" s="53">
        <v>121.0</v>
      </c>
      <c r="F110" s="53">
        <v>18.0</v>
      </c>
      <c r="G110" s="51" t="s">
        <v>458</v>
      </c>
      <c r="H110" s="51" t="s">
        <v>825</v>
      </c>
      <c r="I110" s="53">
        <v>9.284913366E9</v>
      </c>
      <c r="J110" s="54" t="s">
        <v>826</v>
      </c>
      <c r="K110" s="51" t="s">
        <v>444</v>
      </c>
      <c r="L110" s="55"/>
      <c r="M110" s="49"/>
      <c r="N110" s="49"/>
      <c r="O110" s="49"/>
      <c r="P110" s="49"/>
      <c r="Q110" s="49"/>
      <c r="R110" s="49"/>
      <c r="S110" s="49"/>
      <c r="T110" s="49"/>
      <c r="U110" s="49"/>
      <c r="V110" s="49"/>
      <c r="W110" s="49"/>
      <c r="X110" s="49"/>
      <c r="Y110" s="49"/>
      <c r="Z110" s="49"/>
    </row>
    <row r="111" ht="22.5" customHeight="1">
      <c r="A111" s="56">
        <v>45999.87113859954</v>
      </c>
      <c r="B111" s="57" t="s">
        <v>827</v>
      </c>
      <c r="C111" s="63" t="s">
        <v>828</v>
      </c>
      <c r="D111" s="57" t="s">
        <v>7</v>
      </c>
      <c r="E111" s="59">
        <v>122.0</v>
      </c>
      <c r="F111" s="59">
        <v>12.0</v>
      </c>
      <c r="G111" s="57" t="s">
        <v>447</v>
      </c>
      <c r="H111" s="57" t="s">
        <v>829</v>
      </c>
      <c r="I111" s="59">
        <v>8.9895532E9</v>
      </c>
      <c r="J111" s="60" t="s">
        <v>830</v>
      </c>
      <c r="K111" s="57" t="s">
        <v>444</v>
      </c>
      <c r="L111" s="61"/>
      <c r="M111" s="49"/>
      <c r="N111" s="49"/>
      <c r="O111" s="49"/>
      <c r="P111" s="49"/>
      <c r="Q111" s="49"/>
      <c r="R111" s="49"/>
      <c r="S111" s="49"/>
      <c r="T111" s="49"/>
      <c r="U111" s="49"/>
      <c r="V111" s="49"/>
      <c r="W111" s="49"/>
      <c r="X111" s="49"/>
      <c r="Y111" s="49"/>
      <c r="Z111" s="49"/>
    </row>
    <row r="112" ht="22.5" customHeight="1">
      <c r="A112" s="50">
        <v>45999.730551678236</v>
      </c>
      <c r="B112" s="51" t="s">
        <v>831</v>
      </c>
      <c r="C112" s="62" t="s">
        <v>832</v>
      </c>
      <c r="D112" s="51" t="s">
        <v>9</v>
      </c>
      <c r="E112" s="53">
        <v>123.0</v>
      </c>
      <c r="F112" s="53">
        <v>25.0</v>
      </c>
      <c r="G112" s="51" t="s">
        <v>441</v>
      </c>
      <c r="H112" s="51" t="s">
        <v>641</v>
      </c>
      <c r="I112" s="53">
        <v>9.81955033E9</v>
      </c>
      <c r="J112" s="54" t="s">
        <v>833</v>
      </c>
      <c r="K112" s="51" t="s">
        <v>444</v>
      </c>
      <c r="L112" s="55"/>
      <c r="M112" s="49"/>
      <c r="N112" s="49"/>
      <c r="O112" s="49"/>
      <c r="P112" s="49"/>
      <c r="Q112" s="49"/>
      <c r="R112" s="49"/>
      <c r="S112" s="49"/>
      <c r="T112" s="49"/>
      <c r="U112" s="49"/>
      <c r="V112" s="49"/>
      <c r="W112" s="49"/>
      <c r="X112" s="49"/>
      <c r="Y112" s="49"/>
      <c r="Z112" s="49"/>
    </row>
    <row r="113" ht="22.5" customHeight="1">
      <c r="A113" s="56">
        <v>45999.722001111106</v>
      </c>
      <c r="B113" s="57" t="s">
        <v>834</v>
      </c>
      <c r="C113" s="63" t="s">
        <v>835</v>
      </c>
      <c r="D113" s="57" t="s">
        <v>11</v>
      </c>
      <c r="E113" s="59">
        <v>124.0</v>
      </c>
      <c r="F113" s="59">
        <v>27.0</v>
      </c>
      <c r="G113" s="57" t="s">
        <v>458</v>
      </c>
      <c r="H113" s="57" t="s">
        <v>471</v>
      </c>
      <c r="I113" s="59">
        <v>9.428631954E9</v>
      </c>
      <c r="J113" s="60" t="s">
        <v>836</v>
      </c>
      <c r="K113" s="57" t="s">
        <v>444</v>
      </c>
      <c r="L113" s="61"/>
      <c r="M113" s="49"/>
      <c r="N113" s="49"/>
      <c r="O113" s="49"/>
      <c r="P113" s="49"/>
      <c r="Q113" s="49"/>
      <c r="R113" s="49"/>
      <c r="S113" s="49"/>
      <c r="T113" s="49"/>
      <c r="U113" s="49"/>
      <c r="V113" s="49"/>
      <c r="W113" s="49"/>
      <c r="X113" s="49"/>
      <c r="Y113" s="49"/>
      <c r="Z113" s="49"/>
    </row>
    <row r="114" ht="22.5" customHeight="1">
      <c r="A114" s="50">
        <v>45996.545770173616</v>
      </c>
      <c r="B114" s="51" t="s">
        <v>837</v>
      </c>
      <c r="C114" s="62" t="s">
        <v>838</v>
      </c>
      <c r="D114" s="51" t="s">
        <v>5</v>
      </c>
      <c r="E114" s="53">
        <v>126.0</v>
      </c>
      <c r="F114" s="53">
        <v>21.0</v>
      </c>
      <c r="G114" s="51" t="s">
        <v>447</v>
      </c>
      <c r="H114" s="51" t="s">
        <v>839</v>
      </c>
      <c r="I114" s="53">
        <v>9.826553422E9</v>
      </c>
      <c r="J114" s="54" t="s">
        <v>840</v>
      </c>
      <c r="K114" s="51" t="s">
        <v>444</v>
      </c>
      <c r="L114" s="55"/>
      <c r="M114" s="49"/>
      <c r="N114" s="49"/>
      <c r="O114" s="49"/>
      <c r="P114" s="49"/>
      <c r="Q114" s="49"/>
      <c r="R114" s="49"/>
      <c r="S114" s="49"/>
      <c r="T114" s="49"/>
      <c r="U114" s="49"/>
      <c r="V114" s="49"/>
      <c r="W114" s="49"/>
      <c r="X114" s="49"/>
      <c r="Y114" s="49"/>
      <c r="Z114" s="49"/>
    </row>
    <row r="115" ht="22.5" customHeight="1">
      <c r="A115" s="56">
        <v>46011.01774255787</v>
      </c>
      <c r="B115" s="57" t="s">
        <v>841</v>
      </c>
      <c r="C115" s="63" t="s">
        <v>842</v>
      </c>
      <c r="D115" s="57" t="s">
        <v>7</v>
      </c>
      <c r="E115" s="59">
        <v>417.0</v>
      </c>
      <c r="F115" s="59">
        <v>45.0</v>
      </c>
      <c r="G115" s="57" t="s">
        <v>441</v>
      </c>
      <c r="H115" s="57" t="s">
        <v>843</v>
      </c>
      <c r="I115" s="59">
        <v>9.890196748E9</v>
      </c>
      <c r="J115" s="60" t="s">
        <v>844</v>
      </c>
      <c r="K115" s="57" t="s">
        <v>444</v>
      </c>
      <c r="L115" s="61"/>
      <c r="M115" s="49"/>
      <c r="N115" s="49"/>
      <c r="O115" s="49"/>
      <c r="P115" s="49"/>
      <c r="Q115" s="49"/>
      <c r="R115" s="49"/>
      <c r="S115" s="49"/>
      <c r="T115" s="49"/>
      <c r="U115" s="49"/>
      <c r="V115" s="49"/>
      <c r="W115" s="49"/>
      <c r="X115" s="49"/>
      <c r="Y115" s="49"/>
      <c r="Z115" s="49"/>
    </row>
    <row r="116" ht="22.5" customHeight="1">
      <c r="A116" s="50">
        <v>46013.64103460648</v>
      </c>
      <c r="B116" s="51" t="s">
        <v>845</v>
      </c>
      <c r="C116" s="62" t="s">
        <v>846</v>
      </c>
      <c r="D116" s="51" t="s">
        <v>847</v>
      </c>
      <c r="E116" s="53">
        <v>127.0</v>
      </c>
      <c r="F116" s="53">
        <v>20.0</v>
      </c>
      <c r="G116" s="51" t="s">
        <v>458</v>
      </c>
      <c r="H116" s="51" t="s">
        <v>848</v>
      </c>
      <c r="I116" s="53">
        <v>9.423987099E9</v>
      </c>
      <c r="J116" s="54" t="s">
        <v>849</v>
      </c>
      <c r="K116" s="51" t="s">
        <v>444</v>
      </c>
      <c r="L116" s="55"/>
      <c r="M116" s="49"/>
      <c r="N116" s="49"/>
      <c r="O116" s="49"/>
      <c r="P116" s="49"/>
      <c r="Q116" s="49"/>
      <c r="R116" s="49"/>
      <c r="S116" s="49"/>
      <c r="T116" s="49"/>
      <c r="U116" s="49"/>
      <c r="V116" s="49"/>
      <c r="W116" s="49"/>
      <c r="X116" s="49"/>
      <c r="Y116" s="49"/>
      <c r="Z116" s="49"/>
    </row>
    <row r="117" ht="22.5" customHeight="1">
      <c r="A117" s="56">
        <v>46001.46513300926</v>
      </c>
      <c r="B117" s="57" t="s">
        <v>850</v>
      </c>
      <c r="C117" s="63" t="s">
        <v>123</v>
      </c>
      <c r="D117" s="57" t="s">
        <v>9</v>
      </c>
      <c r="E117" s="59">
        <v>128.0</v>
      </c>
      <c r="F117" s="59">
        <v>28.0</v>
      </c>
      <c r="G117" s="57" t="s">
        <v>447</v>
      </c>
      <c r="H117" s="57" t="s">
        <v>506</v>
      </c>
      <c r="I117" s="59">
        <v>8.08760057E9</v>
      </c>
      <c r="J117" s="60" t="s">
        <v>851</v>
      </c>
      <c r="K117" s="57" t="s">
        <v>444</v>
      </c>
      <c r="L117" s="61"/>
      <c r="M117" s="49"/>
      <c r="N117" s="49"/>
      <c r="O117" s="49"/>
      <c r="P117" s="49"/>
      <c r="Q117" s="49"/>
      <c r="R117" s="49"/>
      <c r="S117" s="49"/>
      <c r="T117" s="49"/>
      <c r="U117" s="49"/>
      <c r="V117" s="49"/>
      <c r="W117" s="49"/>
      <c r="X117" s="49"/>
      <c r="Y117" s="49"/>
      <c r="Z117" s="49"/>
    </row>
    <row r="118" ht="22.5" customHeight="1">
      <c r="A118" s="50">
        <v>46008.92793502315</v>
      </c>
      <c r="B118" s="51" t="s">
        <v>852</v>
      </c>
      <c r="C118" s="62" t="s">
        <v>341</v>
      </c>
      <c r="D118" s="51" t="s">
        <v>11</v>
      </c>
      <c r="E118" s="53">
        <v>388.0</v>
      </c>
      <c r="F118" s="53">
        <v>33.0</v>
      </c>
      <c r="G118" s="51" t="s">
        <v>447</v>
      </c>
      <c r="H118" s="51" t="s">
        <v>853</v>
      </c>
      <c r="I118" s="53">
        <v>9.893285655E9</v>
      </c>
      <c r="J118" s="54" t="s">
        <v>854</v>
      </c>
      <c r="K118" s="51" t="s">
        <v>444</v>
      </c>
      <c r="L118" s="55"/>
      <c r="M118" s="49"/>
      <c r="N118" s="49"/>
      <c r="O118" s="49"/>
      <c r="P118" s="49"/>
      <c r="Q118" s="49"/>
      <c r="R118" s="49"/>
      <c r="S118" s="49"/>
      <c r="T118" s="49"/>
      <c r="U118" s="49"/>
      <c r="V118" s="49"/>
      <c r="W118" s="49"/>
      <c r="X118" s="49"/>
      <c r="Y118" s="49"/>
      <c r="Z118" s="49"/>
    </row>
    <row r="119" ht="22.5" customHeight="1">
      <c r="A119" s="66">
        <v>46001.77357013889</v>
      </c>
      <c r="B119" s="67" t="s">
        <v>855</v>
      </c>
      <c r="C119" s="68" t="s">
        <v>126</v>
      </c>
      <c r="D119" s="67">
        <v>131.0</v>
      </c>
      <c r="E119" s="69">
        <v>131.0</v>
      </c>
      <c r="F119" s="67">
        <v>21.0</v>
      </c>
      <c r="G119" s="70" t="s">
        <v>487</v>
      </c>
      <c r="H119" s="70" t="s">
        <v>856</v>
      </c>
      <c r="I119" s="67">
        <v>9.028983546E9</v>
      </c>
      <c r="J119" s="70" t="s">
        <v>857</v>
      </c>
      <c r="K119" s="70" t="s">
        <v>444</v>
      </c>
      <c r="L119" s="61"/>
      <c r="M119" s="49"/>
      <c r="N119" s="49"/>
      <c r="O119" s="49"/>
      <c r="P119" s="49"/>
      <c r="Q119" s="49"/>
      <c r="R119" s="49"/>
      <c r="S119" s="49"/>
      <c r="T119" s="49"/>
      <c r="U119" s="49"/>
      <c r="V119" s="49"/>
      <c r="W119" s="49"/>
      <c r="X119" s="49"/>
      <c r="Y119" s="49"/>
      <c r="Z119" s="49"/>
    </row>
    <row r="120" ht="22.5" customHeight="1">
      <c r="A120" s="50">
        <v>45997.78393089121</v>
      </c>
      <c r="B120" s="51" t="s">
        <v>858</v>
      </c>
      <c r="C120" s="62" t="s">
        <v>859</v>
      </c>
      <c r="D120" s="51" t="s">
        <v>813</v>
      </c>
      <c r="E120" s="53">
        <v>132.0</v>
      </c>
      <c r="F120" s="53">
        <v>34.0</v>
      </c>
      <c r="G120" s="51" t="s">
        <v>458</v>
      </c>
      <c r="H120" s="51" t="s">
        <v>860</v>
      </c>
      <c r="I120" s="53">
        <v>7.796132865E9</v>
      </c>
      <c r="J120" s="54" t="s">
        <v>861</v>
      </c>
      <c r="K120" s="51" t="s">
        <v>444</v>
      </c>
      <c r="L120" s="55"/>
      <c r="M120" s="49"/>
      <c r="N120" s="49"/>
      <c r="O120" s="49"/>
      <c r="P120" s="49"/>
      <c r="Q120" s="49"/>
      <c r="R120" s="49"/>
      <c r="S120" s="49"/>
      <c r="T120" s="49"/>
      <c r="U120" s="49"/>
      <c r="V120" s="49"/>
      <c r="W120" s="49"/>
      <c r="X120" s="49"/>
      <c r="Y120" s="49"/>
      <c r="Z120" s="49"/>
    </row>
    <row r="121" ht="22.5" customHeight="1">
      <c r="A121" s="56">
        <v>45996.59218908565</v>
      </c>
      <c r="B121" s="57" t="s">
        <v>862</v>
      </c>
      <c r="C121" s="63" t="s">
        <v>128</v>
      </c>
      <c r="D121" s="57" t="s">
        <v>9</v>
      </c>
      <c r="E121" s="59">
        <v>133.0</v>
      </c>
      <c r="F121" s="59">
        <v>20.0</v>
      </c>
      <c r="G121" s="57" t="s">
        <v>487</v>
      </c>
      <c r="H121" s="57" t="s">
        <v>641</v>
      </c>
      <c r="I121" s="72">
        <v>9.892089244E9</v>
      </c>
      <c r="J121" s="60" t="s">
        <v>863</v>
      </c>
      <c r="K121" s="57" t="s">
        <v>444</v>
      </c>
      <c r="L121" s="61"/>
      <c r="M121" s="49"/>
      <c r="N121" s="49"/>
      <c r="O121" s="49"/>
      <c r="P121" s="49"/>
      <c r="Q121" s="49"/>
      <c r="R121" s="49"/>
      <c r="S121" s="49"/>
      <c r="T121" s="49"/>
      <c r="U121" s="49"/>
      <c r="V121" s="49"/>
      <c r="W121" s="49"/>
      <c r="X121" s="49"/>
      <c r="Y121" s="49"/>
      <c r="Z121" s="49"/>
    </row>
    <row r="122" ht="22.5" customHeight="1">
      <c r="A122" s="50">
        <v>46000.60509055556</v>
      </c>
      <c r="B122" s="51" t="s">
        <v>864</v>
      </c>
      <c r="C122" s="62" t="s">
        <v>865</v>
      </c>
      <c r="D122" s="51" t="s">
        <v>11</v>
      </c>
      <c r="E122" s="53">
        <v>134.0</v>
      </c>
      <c r="F122" s="53">
        <v>21.0</v>
      </c>
      <c r="G122" s="51" t="s">
        <v>487</v>
      </c>
      <c r="H122" s="51" t="s">
        <v>866</v>
      </c>
      <c r="I122" s="53">
        <v>7.977822575E9</v>
      </c>
      <c r="J122" s="54" t="s">
        <v>867</v>
      </c>
      <c r="K122" s="51" t="s">
        <v>444</v>
      </c>
      <c r="L122" s="55"/>
      <c r="M122" s="49"/>
      <c r="N122" s="49"/>
      <c r="O122" s="49"/>
      <c r="P122" s="49"/>
      <c r="Q122" s="49"/>
      <c r="R122" s="49"/>
      <c r="S122" s="49"/>
      <c r="T122" s="49"/>
      <c r="U122" s="49"/>
      <c r="V122" s="49"/>
      <c r="W122" s="49"/>
      <c r="X122" s="49"/>
      <c r="Y122" s="49"/>
      <c r="Z122" s="49"/>
    </row>
    <row r="123" ht="22.5" customHeight="1">
      <c r="A123" s="56">
        <v>46015.90708238426</v>
      </c>
      <c r="B123" s="57" t="s">
        <v>868</v>
      </c>
      <c r="C123" s="63" t="s">
        <v>869</v>
      </c>
      <c r="D123" s="59">
        <v>454001.0</v>
      </c>
      <c r="E123" s="59">
        <v>7.38976173E9</v>
      </c>
      <c r="F123" s="59">
        <v>20.0</v>
      </c>
      <c r="G123" s="57" t="s">
        <v>458</v>
      </c>
      <c r="H123" s="57" t="s">
        <v>870</v>
      </c>
      <c r="I123" s="59">
        <v>7.38976173E9</v>
      </c>
      <c r="J123" s="60" t="s">
        <v>871</v>
      </c>
      <c r="K123" s="57" t="s">
        <v>444</v>
      </c>
      <c r="L123" s="61"/>
      <c r="M123" s="49"/>
      <c r="N123" s="49"/>
      <c r="O123" s="49"/>
      <c r="P123" s="49"/>
      <c r="Q123" s="49"/>
      <c r="R123" s="49"/>
      <c r="S123" s="49"/>
      <c r="T123" s="49"/>
      <c r="U123" s="49"/>
      <c r="V123" s="49"/>
      <c r="W123" s="49"/>
      <c r="X123" s="49"/>
      <c r="Y123" s="49"/>
      <c r="Z123" s="49"/>
    </row>
    <row r="124" ht="22.5" customHeight="1">
      <c r="A124" s="50">
        <v>46000.603122615736</v>
      </c>
      <c r="B124" s="51" t="s">
        <v>872</v>
      </c>
      <c r="C124" s="62" t="s">
        <v>873</v>
      </c>
      <c r="D124" s="51" t="s">
        <v>5</v>
      </c>
      <c r="E124" s="53">
        <v>136.0</v>
      </c>
      <c r="F124" s="53">
        <v>32.0</v>
      </c>
      <c r="G124" s="51" t="s">
        <v>458</v>
      </c>
      <c r="H124" s="51" t="s">
        <v>874</v>
      </c>
      <c r="I124" s="53">
        <v>9.981099807E9</v>
      </c>
      <c r="J124" s="54" t="s">
        <v>875</v>
      </c>
      <c r="K124" s="51" t="s">
        <v>444</v>
      </c>
      <c r="L124" s="55"/>
      <c r="M124" s="49"/>
      <c r="N124" s="49"/>
      <c r="O124" s="49"/>
      <c r="P124" s="49"/>
      <c r="Q124" s="49"/>
      <c r="R124" s="49"/>
      <c r="S124" s="49"/>
      <c r="T124" s="49"/>
      <c r="U124" s="49"/>
      <c r="V124" s="49"/>
      <c r="W124" s="49"/>
      <c r="X124" s="49"/>
      <c r="Y124" s="49"/>
      <c r="Z124" s="49"/>
    </row>
    <row r="125" ht="22.5" customHeight="1">
      <c r="A125" s="56">
        <v>46011.030094201386</v>
      </c>
      <c r="B125" s="57" t="s">
        <v>876</v>
      </c>
      <c r="C125" s="63" t="s">
        <v>877</v>
      </c>
      <c r="D125" s="59">
        <v>458001.0</v>
      </c>
      <c r="E125" s="59">
        <v>2.0</v>
      </c>
      <c r="F125" s="59">
        <v>21.0</v>
      </c>
      <c r="G125" s="57" t="s">
        <v>447</v>
      </c>
      <c r="H125" s="57" t="s">
        <v>878</v>
      </c>
      <c r="I125" s="59">
        <v>7.999452717E9</v>
      </c>
      <c r="J125" s="60" t="s">
        <v>879</v>
      </c>
      <c r="K125" s="57" t="s">
        <v>444</v>
      </c>
      <c r="L125" s="61"/>
      <c r="M125" s="49"/>
      <c r="N125" s="49"/>
      <c r="O125" s="49"/>
      <c r="P125" s="49"/>
      <c r="Q125" s="49"/>
      <c r="R125" s="49"/>
      <c r="S125" s="49"/>
      <c r="T125" s="49"/>
      <c r="U125" s="49"/>
      <c r="V125" s="49"/>
      <c r="W125" s="49"/>
      <c r="X125" s="49"/>
      <c r="Y125" s="49"/>
      <c r="Z125" s="49"/>
    </row>
    <row r="126" ht="22.5" customHeight="1">
      <c r="A126" s="50">
        <v>45999.57790541666</v>
      </c>
      <c r="B126" s="51" t="s">
        <v>880</v>
      </c>
      <c r="C126" s="62" t="s">
        <v>881</v>
      </c>
      <c r="D126" s="51" t="s">
        <v>13</v>
      </c>
      <c r="E126" s="53">
        <v>140.0</v>
      </c>
      <c r="F126" s="53">
        <v>18.0</v>
      </c>
      <c r="G126" s="51" t="s">
        <v>458</v>
      </c>
      <c r="H126" s="51" t="s">
        <v>882</v>
      </c>
      <c r="I126" s="53">
        <v>9.821326788E9</v>
      </c>
      <c r="J126" s="54" t="s">
        <v>883</v>
      </c>
      <c r="K126" s="51" t="s">
        <v>444</v>
      </c>
      <c r="L126" s="55"/>
      <c r="M126" s="49"/>
      <c r="N126" s="49"/>
      <c r="O126" s="49"/>
      <c r="P126" s="49"/>
      <c r="Q126" s="49"/>
      <c r="R126" s="49"/>
      <c r="S126" s="49"/>
      <c r="T126" s="49"/>
      <c r="U126" s="49"/>
      <c r="V126" s="49"/>
      <c r="W126" s="49"/>
      <c r="X126" s="49"/>
      <c r="Y126" s="49"/>
      <c r="Z126" s="49"/>
    </row>
    <row r="127" ht="22.5" customHeight="1">
      <c r="A127" s="66">
        <v>45996.82383114583</v>
      </c>
      <c r="B127" s="67" t="s">
        <v>884</v>
      </c>
      <c r="C127" s="68" t="s">
        <v>133</v>
      </c>
      <c r="D127" s="67">
        <v>138.0</v>
      </c>
      <c r="E127" s="69">
        <v>138.0</v>
      </c>
      <c r="F127" s="67">
        <v>14.0</v>
      </c>
      <c r="G127" s="70" t="s">
        <v>447</v>
      </c>
      <c r="H127" s="70" t="s">
        <v>885</v>
      </c>
      <c r="I127" s="67">
        <v>7.97758999E9</v>
      </c>
      <c r="J127" s="70" t="s">
        <v>886</v>
      </c>
      <c r="K127" s="70" t="s">
        <v>444</v>
      </c>
      <c r="L127" s="61"/>
      <c r="M127" s="49"/>
      <c r="N127" s="49"/>
      <c r="O127" s="49"/>
      <c r="P127" s="49"/>
      <c r="Q127" s="49"/>
      <c r="R127" s="49"/>
      <c r="S127" s="49"/>
      <c r="T127" s="49"/>
      <c r="U127" s="49"/>
      <c r="V127" s="49"/>
      <c r="W127" s="49"/>
      <c r="X127" s="49"/>
      <c r="Y127" s="49"/>
      <c r="Z127" s="49"/>
    </row>
    <row r="128" ht="22.5" customHeight="1">
      <c r="A128" s="50">
        <v>46010.64873001157</v>
      </c>
      <c r="B128" s="51" t="s">
        <v>887</v>
      </c>
      <c r="C128" s="62" t="s">
        <v>888</v>
      </c>
      <c r="D128" s="51" t="s">
        <v>9</v>
      </c>
      <c r="E128" s="53">
        <v>425.0</v>
      </c>
      <c r="F128" s="53">
        <v>22.0</v>
      </c>
      <c r="G128" s="51" t="s">
        <v>458</v>
      </c>
      <c r="H128" s="51" t="s">
        <v>695</v>
      </c>
      <c r="I128" s="53">
        <v>9.376221223E9</v>
      </c>
      <c r="J128" s="54" t="s">
        <v>889</v>
      </c>
      <c r="K128" s="51" t="s">
        <v>444</v>
      </c>
      <c r="L128" s="55"/>
      <c r="M128" s="49"/>
      <c r="N128" s="49"/>
      <c r="O128" s="49"/>
      <c r="P128" s="49"/>
      <c r="Q128" s="49"/>
      <c r="R128" s="49"/>
      <c r="S128" s="49"/>
      <c r="T128" s="49"/>
      <c r="U128" s="49"/>
      <c r="V128" s="49"/>
      <c r="W128" s="49"/>
      <c r="X128" s="49"/>
      <c r="Y128" s="49"/>
      <c r="Z128" s="49"/>
    </row>
    <row r="129" ht="22.5" customHeight="1">
      <c r="A129" s="56">
        <v>45996.515512673606</v>
      </c>
      <c r="B129" s="57" t="s">
        <v>890</v>
      </c>
      <c r="C129" s="63" t="s">
        <v>136</v>
      </c>
      <c r="D129" s="57" t="s">
        <v>5</v>
      </c>
      <c r="E129" s="59">
        <v>141.0</v>
      </c>
      <c r="F129" s="59">
        <v>36.0</v>
      </c>
      <c r="G129" s="57" t="s">
        <v>487</v>
      </c>
      <c r="H129" s="57" t="s">
        <v>749</v>
      </c>
      <c r="I129" s="59">
        <v>9.819913128E9</v>
      </c>
      <c r="J129" s="60" t="s">
        <v>891</v>
      </c>
      <c r="K129" s="57" t="s">
        <v>444</v>
      </c>
      <c r="L129" s="61"/>
      <c r="M129" s="49"/>
      <c r="N129" s="49"/>
      <c r="O129" s="49"/>
      <c r="P129" s="49"/>
      <c r="Q129" s="49"/>
      <c r="R129" s="49"/>
      <c r="S129" s="49"/>
      <c r="T129" s="49"/>
      <c r="U129" s="49"/>
      <c r="V129" s="49"/>
      <c r="W129" s="49"/>
      <c r="X129" s="49"/>
      <c r="Y129" s="49"/>
      <c r="Z129" s="49"/>
    </row>
    <row r="130" ht="22.5" customHeight="1">
      <c r="A130" s="50">
        <v>46007.650275092594</v>
      </c>
      <c r="B130" s="51" t="s">
        <v>892</v>
      </c>
      <c r="C130" s="62" t="s">
        <v>137</v>
      </c>
      <c r="D130" s="51" t="s">
        <v>7</v>
      </c>
      <c r="E130" s="53">
        <v>142.0</v>
      </c>
      <c r="F130" s="53">
        <v>19.0</v>
      </c>
      <c r="G130" s="51" t="s">
        <v>447</v>
      </c>
      <c r="H130" s="51" t="s">
        <v>893</v>
      </c>
      <c r="I130" s="53">
        <v>9.511278842E9</v>
      </c>
      <c r="J130" s="54" t="s">
        <v>894</v>
      </c>
      <c r="K130" s="51" t="s">
        <v>444</v>
      </c>
      <c r="L130" s="55"/>
      <c r="M130" s="49"/>
      <c r="N130" s="49"/>
      <c r="O130" s="49"/>
      <c r="P130" s="49"/>
      <c r="Q130" s="49"/>
      <c r="R130" s="49"/>
      <c r="S130" s="49"/>
      <c r="T130" s="49"/>
      <c r="U130" s="49"/>
      <c r="V130" s="49"/>
      <c r="W130" s="49"/>
      <c r="X130" s="49"/>
      <c r="Y130" s="49"/>
      <c r="Z130" s="49"/>
    </row>
    <row r="131" ht="22.5" customHeight="1">
      <c r="A131" s="66">
        <v>45996.497752627314</v>
      </c>
      <c r="B131" s="67" t="s">
        <v>895</v>
      </c>
      <c r="C131" s="68" t="s">
        <v>139</v>
      </c>
      <c r="D131" s="67">
        <v>456335.0</v>
      </c>
      <c r="E131" s="69">
        <v>144.0</v>
      </c>
      <c r="F131" s="67">
        <v>17.0</v>
      </c>
      <c r="G131" s="70" t="s">
        <v>447</v>
      </c>
      <c r="H131" s="70" t="s">
        <v>896</v>
      </c>
      <c r="I131" s="67">
        <v>9.201499006E9</v>
      </c>
      <c r="J131" s="70" t="s">
        <v>897</v>
      </c>
      <c r="K131" s="70" t="s">
        <v>444</v>
      </c>
      <c r="L131" s="61"/>
      <c r="M131" s="49"/>
      <c r="N131" s="49"/>
      <c r="O131" s="49"/>
      <c r="P131" s="49"/>
      <c r="Q131" s="49"/>
      <c r="R131" s="49"/>
      <c r="S131" s="49"/>
      <c r="T131" s="49"/>
      <c r="U131" s="49"/>
      <c r="V131" s="49"/>
      <c r="W131" s="49"/>
      <c r="X131" s="49"/>
      <c r="Y131" s="49"/>
      <c r="Z131" s="49"/>
    </row>
    <row r="132" ht="22.5" customHeight="1">
      <c r="A132" s="50">
        <v>45996.58406635417</v>
      </c>
      <c r="B132" s="51" t="s">
        <v>898</v>
      </c>
      <c r="C132" s="62" t="s">
        <v>899</v>
      </c>
      <c r="D132" s="51" t="s">
        <v>13</v>
      </c>
      <c r="E132" s="53">
        <v>145.0</v>
      </c>
      <c r="F132" s="53">
        <v>20.0</v>
      </c>
      <c r="G132" s="51" t="s">
        <v>447</v>
      </c>
      <c r="H132" s="51" t="s">
        <v>900</v>
      </c>
      <c r="I132" s="53">
        <v>7.723013016E9</v>
      </c>
      <c r="J132" s="54" t="s">
        <v>901</v>
      </c>
      <c r="K132" s="51" t="s">
        <v>444</v>
      </c>
      <c r="L132" s="55"/>
      <c r="M132" s="49"/>
      <c r="N132" s="49"/>
      <c r="O132" s="49"/>
      <c r="P132" s="49"/>
      <c r="Q132" s="49"/>
      <c r="R132" s="49"/>
      <c r="S132" s="49"/>
      <c r="T132" s="49"/>
      <c r="U132" s="49"/>
      <c r="V132" s="49"/>
      <c r="W132" s="49"/>
      <c r="X132" s="49"/>
      <c r="Y132" s="49"/>
      <c r="Z132" s="49"/>
    </row>
    <row r="133" ht="22.5" customHeight="1">
      <c r="A133" s="56">
        <v>45999.64671224537</v>
      </c>
      <c r="B133" s="57" t="s">
        <v>902</v>
      </c>
      <c r="C133" s="63" t="s">
        <v>903</v>
      </c>
      <c r="D133" s="57" t="s">
        <v>7</v>
      </c>
      <c r="E133" s="59">
        <v>147.0</v>
      </c>
      <c r="F133" s="59">
        <v>18.0</v>
      </c>
      <c r="G133" s="57" t="s">
        <v>447</v>
      </c>
      <c r="H133" s="57" t="s">
        <v>904</v>
      </c>
      <c r="I133" s="59">
        <v>7.587676779E9</v>
      </c>
      <c r="J133" s="60" t="s">
        <v>905</v>
      </c>
      <c r="K133" s="57" t="s">
        <v>444</v>
      </c>
      <c r="L133" s="61"/>
      <c r="M133" s="49"/>
      <c r="N133" s="49"/>
      <c r="O133" s="49"/>
      <c r="P133" s="49"/>
      <c r="Q133" s="49"/>
      <c r="R133" s="49"/>
      <c r="S133" s="49"/>
      <c r="T133" s="49"/>
      <c r="U133" s="49"/>
      <c r="V133" s="49"/>
      <c r="W133" s="49"/>
      <c r="X133" s="49"/>
      <c r="Y133" s="49"/>
      <c r="Z133" s="49"/>
    </row>
    <row r="134" ht="22.5" customHeight="1">
      <c r="A134" s="50">
        <v>46009.59407792824</v>
      </c>
      <c r="B134" s="51" t="s">
        <v>906</v>
      </c>
      <c r="C134" s="62" t="s">
        <v>446</v>
      </c>
      <c r="D134" s="53">
        <v>394107.0</v>
      </c>
      <c r="E134" s="53">
        <v>433.0</v>
      </c>
      <c r="F134" s="53">
        <v>22.0</v>
      </c>
      <c r="G134" s="51" t="s">
        <v>458</v>
      </c>
      <c r="H134" s="51" t="s">
        <v>695</v>
      </c>
      <c r="I134" s="53">
        <v>9.023142212E9</v>
      </c>
      <c r="J134" s="54" t="s">
        <v>907</v>
      </c>
      <c r="K134" s="51" t="s">
        <v>444</v>
      </c>
      <c r="L134" s="55"/>
      <c r="M134" s="49"/>
      <c r="N134" s="49"/>
      <c r="O134" s="49"/>
      <c r="P134" s="49"/>
      <c r="Q134" s="49"/>
      <c r="R134" s="49"/>
      <c r="S134" s="49"/>
      <c r="T134" s="49"/>
      <c r="U134" s="49"/>
      <c r="V134" s="49"/>
      <c r="W134" s="49"/>
      <c r="X134" s="49"/>
      <c r="Y134" s="49"/>
      <c r="Z134" s="49"/>
    </row>
    <row r="135" ht="22.5" customHeight="1">
      <c r="A135" s="56">
        <v>45997.42594168981</v>
      </c>
      <c r="B135" s="57" t="s">
        <v>908</v>
      </c>
      <c r="C135" s="63" t="s">
        <v>909</v>
      </c>
      <c r="D135" s="57" t="s">
        <v>13</v>
      </c>
      <c r="E135" s="59">
        <v>150.0</v>
      </c>
      <c r="F135" s="59">
        <v>24.0</v>
      </c>
      <c r="G135" s="57" t="s">
        <v>458</v>
      </c>
      <c r="H135" s="57" t="s">
        <v>910</v>
      </c>
      <c r="I135" s="59">
        <v>7.378628919E9</v>
      </c>
      <c r="J135" s="60" t="s">
        <v>911</v>
      </c>
      <c r="K135" s="57" t="s">
        <v>444</v>
      </c>
      <c r="L135" s="61"/>
      <c r="M135" s="49"/>
      <c r="N135" s="49"/>
      <c r="O135" s="49"/>
      <c r="P135" s="49"/>
      <c r="Q135" s="49"/>
      <c r="R135" s="49"/>
      <c r="S135" s="49"/>
      <c r="T135" s="49"/>
      <c r="U135" s="49"/>
      <c r="V135" s="49"/>
      <c r="W135" s="49"/>
      <c r="X135" s="49"/>
      <c r="Y135" s="49"/>
      <c r="Z135" s="49"/>
    </row>
    <row r="136" ht="22.5" customHeight="1">
      <c r="A136" s="50">
        <v>45996.71138466435</v>
      </c>
      <c r="B136" s="51" t="s">
        <v>912</v>
      </c>
      <c r="C136" s="62" t="s">
        <v>913</v>
      </c>
      <c r="D136" s="51" t="s">
        <v>7</v>
      </c>
      <c r="E136" s="53">
        <v>152.0</v>
      </c>
      <c r="F136" s="53">
        <v>23.0</v>
      </c>
      <c r="G136" s="51" t="s">
        <v>441</v>
      </c>
      <c r="H136" s="51" t="s">
        <v>914</v>
      </c>
      <c r="I136" s="53">
        <v>9.890207967E9</v>
      </c>
      <c r="J136" s="54" t="s">
        <v>915</v>
      </c>
      <c r="K136" s="51" t="s">
        <v>444</v>
      </c>
      <c r="L136" s="55"/>
      <c r="M136" s="49"/>
      <c r="N136" s="49"/>
      <c r="O136" s="49"/>
      <c r="P136" s="49"/>
      <c r="Q136" s="49"/>
      <c r="R136" s="49"/>
      <c r="S136" s="49"/>
      <c r="T136" s="49"/>
      <c r="U136" s="49"/>
      <c r="V136" s="49"/>
      <c r="W136" s="49"/>
      <c r="X136" s="49"/>
      <c r="Y136" s="49"/>
      <c r="Z136" s="49"/>
    </row>
    <row r="137" ht="22.5" customHeight="1">
      <c r="A137" s="56">
        <v>46008.852041875</v>
      </c>
      <c r="B137" s="57" t="s">
        <v>916</v>
      </c>
      <c r="C137" s="63" t="s">
        <v>148</v>
      </c>
      <c r="D137" s="57" t="s">
        <v>9</v>
      </c>
      <c r="E137" s="59">
        <v>153.0</v>
      </c>
      <c r="F137" s="59">
        <v>19.0</v>
      </c>
      <c r="G137" s="57" t="s">
        <v>487</v>
      </c>
      <c r="H137" s="57" t="s">
        <v>752</v>
      </c>
      <c r="I137" s="59">
        <v>9.821536677E9</v>
      </c>
      <c r="J137" s="60" t="s">
        <v>917</v>
      </c>
      <c r="K137" s="57" t="s">
        <v>444</v>
      </c>
      <c r="L137" s="61"/>
      <c r="M137" s="49"/>
      <c r="N137" s="49"/>
      <c r="O137" s="49"/>
      <c r="P137" s="49"/>
      <c r="Q137" s="49"/>
      <c r="R137" s="49"/>
      <c r="S137" s="49"/>
      <c r="T137" s="49"/>
      <c r="U137" s="49"/>
      <c r="V137" s="49"/>
      <c r="W137" s="49"/>
      <c r="X137" s="49"/>
      <c r="Y137" s="49"/>
      <c r="Z137" s="49"/>
    </row>
    <row r="138" ht="22.5" customHeight="1">
      <c r="A138" s="50">
        <v>45997.96237638889</v>
      </c>
      <c r="B138" s="51" t="s">
        <v>918</v>
      </c>
      <c r="C138" s="62" t="s">
        <v>919</v>
      </c>
      <c r="D138" s="51" t="s">
        <v>920</v>
      </c>
      <c r="E138" s="53">
        <v>154.0</v>
      </c>
      <c r="F138" s="53">
        <v>20.0</v>
      </c>
      <c r="G138" s="51" t="s">
        <v>447</v>
      </c>
      <c r="H138" s="51" t="s">
        <v>921</v>
      </c>
      <c r="I138" s="65">
        <v>7.021933066E9</v>
      </c>
      <c r="J138" s="54" t="s">
        <v>922</v>
      </c>
      <c r="K138" s="51" t="s">
        <v>444</v>
      </c>
      <c r="L138" s="55"/>
      <c r="M138" s="49"/>
      <c r="N138" s="49"/>
      <c r="O138" s="49"/>
      <c r="P138" s="49"/>
      <c r="Q138" s="49"/>
      <c r="R138" s="49"/>
      <c r="S138" s="49"/>
      <c r="T138" s="49"/>
      <c r="U138" s="49"/>
      <c r="V138" s="49"/>
      <c r="W138" s="49"/>
      <c r="X138" s="49"/>
      <c r="Y138" s="49"/>
      <c r="Z138" s="49"/>
    </row>
    <row r="139" ht="22.5" customHeight="1">
      <c r="A139" s="56">
        <v>45999.522064502315</v>
      </c>
      <c r="B139" s="57" t="s">
        <v>923</v>
      </c>
      <c r="C139" s="63" t="s">
        <v>150</v>
      </c>
      <c r="D139" s="57" t="s">
        <v>13</v>
      </c>
      <c r="E139" s="59">
        <v>155.0</v>
      </c>
      <c r="F139" s="59">
        <v>16.0</v>
      </c>
      <c r="G139" s="57" t="s">
        <v>487</v>
      </c>
      <c r="H139" s="57" t="s">
        <v>924</v>
      </c>
      <c r="I139" s="59">
        <v>9.426143556E9</v>
      </c>
      <c r="J139" s="60" t="s">
        <v>925</v>
      </c>
      <c r="K139" s="57" t="s">
        <v>444</v>
      </c>
      <c r="L139" s="61"/>
      <c r="M139" s="49"/>
      <c r="N139" s="49"/>
      <c r="O139" s="49"/>
      <c r="P139" s="49"/>
      <c r="Q139" s="49"/>
      <c r="R139" s="49"/>
      <c r="S139" s="49"/>
      <c r="T139" s="49"/>
      <c r="U139" s="49"/>
      <c r="V139" s="49"/>
      <c r="W139" s="49"/>
      <c r="X139" s="49"/>
      <c r="Y139" s="49"/>
      <c r="Z139" s="49"/>
    </row>
    <row r="140" ht="22.5" customHeight="1">
      <c r="A140" s="50">
        <v>45996.50882084491</v>
      </c>
      <c r="B140" s="51" t="s">
        <v>926</v>
      </c>
      <c r="C140" s="62" t="s">
        <v>151</v>
      </c>
      <c r="D140" s="51" t="s">
        <v>5</v>
      </c>
      <c r="E140" s="53">
        <v>156.0</v>
      </c>
      <c r="F140" s="53">
        <v>20.0</v>
      </c>
      <c r="G140" s="51" t="s">
        <v>447</v>
      </c>
      <c r="H140" s="51" t="s">
        <v>669</v>
      </c>
      <c r="I140" s="53">
        <v>8.275708867E9</v>
      </c>
      <c r="J140" s="54" t="s">
        <v>927</v>
      </c>
      <c r="K140" s="51" t="s">
        <v>444</v>
      </c>
      <c r="L140" s="55"/>
      <c r="M140" s="49"/>
      <c r="N140" s="49"/>
      <c r="O140" s="49"/>
      <c r="P140" s="49"/>
      <c r="Q140" s="49"/>
      <c r="R140" s="49"/>
      <c r="S140" s="49"/>
      <c r="T140" s="49"/>
      <c r="U140" s="49"/>
      <c r="V140" s="49"/>
      <c r="W140" s="49"/>
      <c r="X140" s="49"/>
      <c r="Y140" s="49"/>
      <c r="Z140" s="49"/>
    </row>
    <row r="141" ht="22.5" customHeight="1">
      <c r="A141" s="56">
        <v>46013.69347002315</v>
      </c>
      <c r="B141" s="57" t="s">
        <v>928</v>
      </c>
      <c r="C141" s="63" t="s">
        <v>929</v>
      </c>
      <c r="D141" s="57" t="s">
        <v>7</v>
      </c>
      <c r="E141" s="59">
        <v>157.0</v>
      </c>
      <c r="F141" s="59">
        <v>18.0</v>
      </c>
      <c r="G141" s="57" t="s">
        <v>447</v>
      </c>
      <c r="H141" s="57" t="s">
        <v>506</v>
      </c>
      <c r="I141" s="72">
        <v>7.972119721E9</v>
      </c>
      <c r="J141" s="60" t="s">
        <v>930</v>
      </c>
      <c r="K141" s="57" t="s">
        <v>444</v>
      </c>
      <c r="L141" s="61"/>
      <c r="M141" s="49"/>
      <c r="N141" s="49"/>
      <c r="O141" s="49"/>
      <c r="P141" s="49"/>
      <c r="Q141" s="49"/>
      <c r="R141" s="49"/>
      <c r="S141" s="49"/>
      <c r="T141" s="49"/>
      <c r="U141" s="49"/>
      <c r="V141" s="49"/>
      <c r="W141" s="49"/>
      <c r="X141" s="49"/>
      <c r="Y141" s="49"/>
      <c r="Z141" s="49"/>
    </row>
    <row r="142" ht="22.5" customHeight="1">
      <c r="A142" s="50">
        <v>46010.59017949074</v>
      </c>
      <c r="B142" s="51" t="s">
        <v>931</v>
      </c>
      <c r="C142" s="62" t="s">
        <v>932</v>
      </c>
      <c r="D142" s="51" t="s">
        <v>9</v>
      </c>
      <c r="E142" s="53">
        <v>413.0</v>
      </c>
      <c r="F142" s="53">
        <v>20.0</v>
      </c>
      <c r="G142" s="51" t="s">
        <v>487</v>
      </c>
      <c r="H142" s="51" t="s">
        <v>933</v>
      </c>
      <c r="I142" s="78">
        <v>9.323011729E9</v>
      </c>
      <c r="J142" s="54" t="s">
        <v>934</v>
      </c>
      <c r="K142" s="51" t="s">
        <v>444</v>
      </c>
      <c r="L142" s="55"/>
      <c r="M142" s="49"/>
      <c r="N142" s="49"/>
      <c r="O142" s="49"/>
      <c r="P142" s="49"/>
      <c r="Q142" s="49"/>
      <c r="R142" s="49"/>
      <c r="S142" s="49"/>
      <c r="T142" s="49"/>
      <c r="U142" s="49"/>
      <c r="V142" s="49"/>
      <c r="W142" s="49"/>
      <c r="X142" s="49"/>
      <c r="Y142" s="49"/>
      <c r="Z142" s="49"/>
    </row>
    <row r="143" ht="22.5" customHeight="1">
      <c r="A143" s="56">
        <v>45996.50286091435</v>
      </c>
      <c r="B143" s="57" t="s">
        <v>935</v>
      </c>
      <c r="C143" s="63" t="s">
        <v>936</v>
      </c>
      <c r="D143" s="57" t="s">
        <v>9</v>
      </c>
      <c r="E143" s="59">
        <v>158.0</v>
      </c>
      <c r="F143" s="59">
        <v>18.0</v>
      </c>
      <c r="G143" s="57" t="s">
        <v>487</v>
      </c>
      <c r="H143" s="57" t="s">
        <v>471</v>
      </c>
      <c r="I143" s="59">
        <v>9.768791435E9</v>
      </c>
      <c r="J143" s="60" t="s">
        <v>937</v>
      </c>
      <c r="K143" s="57" t="s">
        <v>444</v>
      </c>
      <c r="L143" s="61"/>
      <c r="M143" s="49"/>
      <c r="N143" s="49"/>
      <c r="O143" s="49"/>
      <c r="P143" s="49"/>
      <c r="Q143" s="49"/>
      <c r="R143" s="49"/>
      <c r="S143" s="49"/>
      <c r="T143" s="49"/>
      <c r="U143" s="49"/>
      <c r="V143" s="49"/>
      <c r="W143" s="49"/>
      <c r="X143" s="49"/>
      <c r="Y143" s="49"/>
      <c r="Z143" s="49"/>
    </row>
    <row r="144" ht="22.5" customHeight="1">
      <c r="A144" s="50">
        <v>45999.630701041664</v>
      </c>
      <c r="B144" s="51" t="s">
        <v>938</v>
      </c>
      <c r="C144" s="62" t="s">
        <v>154</v>
      </c>
      <c r="D144" s="51" t="s">
        <v>11</v>
      </c>
      <c r="E144" s="53">
        <v>159.0</v>
      </c>
      <c r="F144" s="53">
        <v>34.0</v>
      </c>
      <c r="G144" s="51" t="s">
        <v>441</v>
      </c>
      <c r="H144" s="51" t="s">
        <v>939</v>
      </c>
      <c r="I144" s="53">
        <v>9.769211323E9</v>
      </c>
      <c r="J144" s="54" t="s">
        <v>940</v>
      </c>
      <c r="K144" s="51" t="s">
        <v>444</v>
      </c>
      <c r="L144" s="55"/>
      <c r="M144" s="49"/>
      <c r="N144" s="49"/>
      <c r="O144" s="49"/>
      <c r="P144" s="49"/>
      <c r="Q144" s="49"/>
      <c r="R144" s="49"/>
      <c r="S144" s="49"/>
      <c r="T144" s="49"/>
      <c r="U144" s="49"/>
      <c r="V144" s="49"/>
      <c r="W144" s="49"/>
      <c r="X144" s="49"/>
      <c r="Y144" s="49"/>
      <c r="Z144" s="49"/>
    </row>
    <row r="145" ht="22.5" customHeight="1">
      <c r="A145" s="56">
        <v>45996.51533899306</v>
      </c>
      <c r="B145" s="57" t="s">
        <v>941</v>
      </c>
      <c r="C145" s="63" t="s">
        <v>155</v>
      </c>
      <c r="D145" s="57" t="s">
        <v>13</v>
      </c>
      <c r="E145" s="59">
        <v>160.0</v>
      </c>
      <c r="F145" s="59">
        <v>25.0</v>
      </c>
      <c r="G145" s="57" t="s">
        <v>487</v>
      </c>
      <c r="H145" s="57" t="s">
        <v>942</v>
      </c>
      <c r="I145" s="59">
        <v>9.425078821E9</v>
      </c>
      <c r="J145" s="60" t="s">
        <v>943</v>
      </c>
      <c r="K145" s="57" t="s">
        <v>444</v>
      </c>
      <c r="L145" s="61"/>
      <c r="M145" s="49"/>
      <c r="N145" s="49"/>
      <c r="O145" s="49"/>
      <c r="P145" s="49"/>
      <c r="Q145" s="49"/>
      <c r="R145" s="49"/>
      <c r="S145" s="49"/>
      <c r="T145" s="49"/>
      <c r="U145" s="49"/>
      <c r="V145" s="49"/>
      <c r="W145" s="49"/>
      <c r="X145" s="49"/>
      <c r="Y145" s="49"/>
      <c r="Z145" s="49"/>
    </row>
    <row r="146" ht="22.5" customHeight="1">
      <c r="A146" s="50">
        <v>46008.543865694446</v>
      </c>
      <c r="B146" s="51" t="s">
        <v>944</v>
      </c>
      <c r="C146" s="62" t="s">
        <v>156</v>
      </c>
      <c r="D146" s="51" t="s">
        <v>5</v>
      </c>
      <c r="E146" s="53">
        <v>161.0</v>
      </c>
      <c r="F146" s="53">
        <v>25.0</v>
      </c>
      <c r="G146" s="51" t="s">
        <v>441</v>
      </c>
      <c r="H146" s="51" t="s">
        <v>945</v>
      </c>
      <c r="I146" s="65">
        <v>9.461631046E9</v>
      </c>
      <c r="J146" s="54" t="s">
        <v>946</v>
      </c>
      <c r="K146" s="51" t="s">
        <v>444</v>
      </c>
      <c r="L146" s="55"/>
      <c r="M146" s="49"/>
      <c r="N146" s="49"/>
      <c r="O146" s="49"/>
      <c r="P146" s="49"/>
      <c r="Q146" s="49"/>
      <c r="R146" s="49"/>
      <c r="S146" s="49"/>
      <c r="T146" s="49"/>
      <c r="U146" s="49"/>
      <c r="V146" s="49"/>
      <c r="W146" s="49"/>
      <c r="X146" s="49"/>
      <c r="Y146" s="49"/>
      <c r="Z146" s="49"/>
    </row>
    <row r="147" ht="22.5" customHeight="1">
      <c r="A147" s="56">
        <v>45997.40469826389</v>
      </c>
      <c r="B147" s="57" t="s">
        <v>947</v>
      </c>
      <c r="C147" s="63" t="s">
        <v>158</v>
      </c>
      <c r="D147" s="57" t="s">
        <v>11</v>
      </c>
      <c r="E147" s="59">
        <v>164.0</v>
      </c>
      <c r="F147" s="59">
        <v>20.0</v>
      </c>
      <c r="G147" s="57" t="s">
        <v>447</v>
      </c>
      <c r="H147" s="57" t="s">
        <v>471</v>
      </c>
      <c r="I147" s="59">
        <v>9.768009909E9</v>
      </c>
      <c r="J147" s="60" t="s">
        <v>948</v>
      </c>
      <c r="K147" s="57" t="s">
        <v>444</v>
      </c>
      <c r="L147" s="61"/>
      <c r="M147" s="49"/>
      <c r="N147" s="49"/>
      <c r="O147" s="49"/>
      <c r="P147" s="49"/>
      <c r="Q147" s="49"/>
      <c r="R147" s="49"/>
      <c r="S147" s="49"/>
      <c r="T147" s="49"/>
      <c r="U147" s="49"/>
      <c r="V147" s="49"/>
      <c r="W147" s="49"/>
      <c r="X147" s="49"/>
      <c r="Y147" s="49"/>
      <c r="Z147" s="49"/>
    </row>
    <row r="148" ht="22.5" customHeight="1">
      <c r="A148" s="50">
        <v>45996.51446019676</v>
      </c>
      <c r="B148" s="51" t="s">
        <v>949</v>
      </c>
      <c r="C148" s="62" t="s">
        <v>950</v>
      </c>
      <c r="D148" s="51" t="s">
        <v>5</v>
      </c>
      <c r="E148" s="53">
        <v>166.0</v>
      </c>
      <c r="F148" s="53">
        <v>20.0</v>
      </c>
      <c r="G148" s="51" t="s">
        <v>458</v>
      </c>
      <c r="H148" s="51" t="s">
        <v>951</v>
      </c>
      <c r="I148" s="53">
        <v>9.329833265E9</v>
      </c>
      <c r="J148" s="54" t="s">
        <v>952</v>
      </c>
      <c r="K148" s="51" t="s">
        <v>444</v>
      </c>
      <c r="L148" s="55"/>
      <c r="M148" s="49"/>
      <c r="N148" s="49"/>
      <c r="O148" s="49"/>
      <c r="P148" s="49"/>
      <c r="Q148" s="49"/>
      <c r="R148" s="49"/>
      <c r="S148" s="49"/>
      <c r="T148" s="49"/>
      <c r="U148" s="49"/>
      <c r="V148" s="49"/>
      <c r="W148" s="49"/>
      <c r="X148" s="49"/>
      <c r="Y148" s="49"/>
      <c r="Z148" s="49"/>
    </row>
    <row r="149" ht="22.5" customHeight="1">
      <c r="A149" s="56">
        <v>45999.58025236111</v>
      </c>
      <c r="B149" s="57" t="s">
        <v>953</v>
      </c>
      <c r="C149" s="63" t="s">
        <v>954</v>
      </c>
      <c r="D149" s="57" t="s">
        <v>7</v>
      </c>
      <c r="E149" s="59">
        <v>167.0</v>
      </c>
      <c r="F149" s="59">
        <v>25.0</v>
      </c>
      <c r="G149" s="57" t="s">
        <v>458</v>
      </c>
      <c r="H149" s="57" t="s">
        <v>955</v>
      </c>
      <c r="I149" s="59">
        <v>9.360628001E9</v>
      </c>
      <c r="J149" s="60" t="s">
        <v>956</v>
      </c>
      <c r="K149" s="57" t="s">
        <v>444</v>
      </c>
      <c r="L149" s="61"/>
      <c r="M149" s="49"/>
      <c r="N149" s="49"/>
      <c r="O149" s="49"/>
      <c r="P149" s="49"/>
      <c r="Q149" s="49"/>
      <c r="R149" s="49"/>
      <c r="S149" s="49"/>
      <c r="T149" s="49"/>
      <c r="U149" s="49"/>
      <c r="V149" s="49"/>
      <c r="W149" s="49"/>
      <c r="X149" s="49"/>
      <c r="Y149" s="49"/>
      <c r="Z149" s="49"/>
    </row>
    <row r="150" ht="22.5" customHeight="1">
      <c r="A150" s="50">
        <v>46001.93552614583</v>
      </c>
      <c r="B150" s="51" t="s">
        <v>957</v>
      </c>
      <c r="C150" s="62" t="s">
        <v>161</v>
      </c>
      <c r="D150" s="51" t="s">
        <v>9</v>
      </c>
      <c r="E150" s="53">
        <v>168.0</v>
      </c>
      <c r="F150" s="53">
        <v>17.0</v>
      </c>
      <c r="G150" s="51" t="s">
        <v>487</v>
      </c>
      <c r="H150" s="51" t="s">
        <v>958</v>
      </c>
      <c r="I150" s="53">
        <v>9.825977647E9</v>
      </c>
      <c r="J150" s="54" t="s">
        <v>959</v>
      </c>
      <c r="K150" s="51" t="s">
        <v>444</v>
      </c>
      <c r="L150" s="55"/>
      <c r="M150" s="49"/>
      <c r="N150" s="49"/>
      <c r="O150" s="49"/>
      <c r="P150" s="49"/>
      <c r="Q150" s="49"/>
      <c r="R150" s="49"/>
      <c r="S150" s="49"/>
      <c r="T150" s="49"/>
      <c r="U150" s="49"/>
      <c r="V150" s="49"/>
      <c r="W150" s="49"/>
      <c r="X150" s="49"/>
      <c r="Y150" s="49"/>
      <c r="Z150" s="49"/>
    </row>
    <row r="151" ht="22.5" customHeight="1">
      <c r="A151" s="56">
        <v>46001.547293587966</v>
      </c>
      <c r="B151" s="57" t="s">
        <v>960</v>
      </c>
      <c r="C151" s="63" t="s">
        <v>162</v>
      </c>
      <c r="D151" s="57" t="s">
        <v>11</v>
      </c>
      <c r="E151" s="59">
        <v>169.0</v>
      </c>
      <c r="F151" s="59">
        <v>17.0</v>
      </c>
      <c r="G151" s="57" t="s">
        <v>447</v>
      </c>
      <c r="H151" s="57" t="s">
        <v>961</v>
      </c>
      <c r="I151" s="59">
        <v>9.424074711E9</v>
      </c>
      <c r="J151" s="60" t="s">
        <v>962</v>
      </c>
      <c r="K151" s="57" t="s">
        <v>444</v>
      </c>
      <c r="L151" s="61"/>
      <c r="M151" s="49"/>
      <c r="N151" s="49"/>
      <c r="O151" s="49"/>
      <c r="P151" s="49"/>
      <c r="Q151" s="49"/>
      <c r="R151" s="49"/>
      <c r="S151" s="49"/>
      <c r="T151" s="49"/>
      <c r="U151" s="49"/>
      <c r="V151" s="49"/>
      <c r="W151" s="49"/>
      <c r="X151" s="49"/>
      <c r="Y151" s="49"/>
      <c r="Z151" s="49"/>
    </row>
    <row r="152" ht="22.5" customHeight="1">
      <c r="A152" s="50">
        <v>45996.55665041666</v>
      </c>
      <c r="B152" s="51" t="s">
        <v>963</v>
      </c>
      <c r="C152" s="62" t="s">
        <v>964</v>
      </c>
      <c r="D152" s="51" t="s">
        <v>965</v>
      </c>
      <c r="E152" s="53">
        <v>171.0</v>
      </c>
      <c r="F152" s="53">
        <v>28.0</v>
      </c>
      <c r="G152" s="51" t="s">
        <v>447</v>
      </c>
      <c r="H152" s="51" t="s">
        <v>966</v>
      </c>
      <c r="I152" s="53">
        <v>8.080592456E9</v>
      </c>
      <c r="J152" s="54" t="s">
        <v>967</v>
      </c>
      <c r="K152" s="51" t="s">
        <v>444</v>
      </c>
      <c r="L152" s="55"/>
      <c r="M152" s="49"/>
      <c r="N152" s="49"/>
      <c r="O152" s="49"/>
      <c r="P152" s="49"/>
      <c r="Q152" s="49"/>
      <c r="R152" s="49"/>
      <c r="S152" s="49"/>
      <c r="T152" s="49"/>
      <c r="U152" s="49"/>
      <c r="V152" s="49"/>
      <c r="W152" s="49"/>
      <c r="X152" s="49"/>
      <c r="Y152" s="49"/>
      <c r="Z152" s="49"/>
    </row>
    <row r="153" ht="22.5" customHeight="1">
      <c r="A153" s="56">
        <v>46010.590065358796</v>
      </c>
      <c r="B153" s="57" t="s">
        <v>968</v>
      </c>
      <c r="C153" s="63" t="s">
        <v>969</v>
      </c>
      <c r="D153" s="57" t="s">
        <v>5</v>
      </c>
      <c r="E153" s="59">
        <v>411.0</v>
      </c>
      <c r="F153" s="59">
        <v>23.0</v>
      </c>
      <c r="G153" s="57" t="s">
        <v>604</v>
      </c>
      <c r="H153" s="57" t="s">
        <v>970</v>
      </c>
      <c r="I153" s="59">
        <v>8.320260005E9</v>
      </c>
      <c r="J153" s="60" t="s">
        <v>971</v>
      </c>
      <c r="K153" s="57" t="s">
        <v>444</v>
      </c>
      <c r="L153" s="61"/>
      <c r="M153" s="49"/>
      <c r="N153" s="49"/>
      <c r="O153" s="49"/>
      <c r="P153" s="49"/>
      <c r="Q153" s="49"/>
      <c r="R153" s="49"/>
      <c r="S153" s="49"/>
      <c r="T153" s="49"/>
      <c r="U153" s="49"/>
      <c r="V153" s="49"/>
      <c r="W153" s="49"/>
      <c r="X153" s="49"/>
      <c r="Y153" s="49"/>
      <c r="Z153" s="49"/>
    </row>
    <row r="154" ht="22.5" customHeight="1">
      <c r="A154" s="50">
        <v>46001.45671063657</v>
      </c>
      <c r="B154" s="51" t="s">
        <v>972</v>
      </c>
      <c r="C154" s="62" t="s">
        <v>973</v>
      </c>
      <c r="D154" s="51" t="s">
        <v>7</v>
      </c>
      <c r="E154" s="53">
        <v>172.0</v>
      </c>
      <c r="F154" s="53">
        <v>33.0</v>
      </c>
      <c r="G154" s="51" t="s">
        <v>487</v>
      </c>
      <c r="H154" s="51" t="s">
        <v>974</v>
      </c>
      <c r="I154" s="53">
        <v>9.945645101E9</v>
      </c>
      <c r="J154" s="54" t="s">
        <v>975</v>
      </c>
      <c r="K154" s="51" t="s">
        <v>444</v>
      </c>
      <c r="L154" s="55"/>
      <c r="M154" s="49"/>
      <c r="N154" s="49"/>
      <c r="O154" s="49"/>
      <c r="P154" s="49"/>
      <c r="Q154" s="49"/>
      <c r="R154" s="49"/>
      <c r="S154" s="49"/>
      <c r="T154" s="49"/>
      <c r="U154" s="49"/>
      <c r="V154" s="49"/>
      <c r="W154" s="49"/>
      <c r="X154" s="49"/>
      <c r="Y154" s="49"/>
      <c r="Z154" s="49"/>
    </row>
    <row r="155" ht="22.5" customHeight="1">
      <c r="A155" s="56">
        <v>45997.446759502316</v>
      </c>
      <c r="B155" s="57" t="s">
        <v>976</v>
      </c>
      <c r="C155" s="63" t="s">
        <v>977</v>
      </c>
      <c r="D155" s="57" t="s">
        <v>13</v>
      </c>
      <c r="E155" s="59">
        <v>175.0</v>
      </c>
      <c r="F155" s="59">
        <v>23.0</v>
      </c>
      <c r="G155" s="57" t="s">
        <v>458</v>
      </c>
      <c r="H155" s="57" t="s">
        <v>514</v>
      </c>
      <c r="I155" s="59">
        <v>9.300690969E9</v>
      </c>
      <c r="J155" s="60" t="s">
        <v>978</v>
      </c>
      <c r="K155" s="57" t="s">
        <v>444</v>
      </c>
      <c r="L155" s="61"/>
      <c r="M155" s="49"/>
      <c r="N155" s="49"/>
      <c r="O155" s="49"/>
      <c r="P155" s="49"/>
      <c r="Q155" s="49"/>
      <c r="R155" s="49"/>
      <c r="S155" s="49"/>
      <c r="T155" s="49"/>
      <c r="U155" s="49"/>
      <c r="V155" s="49"/>
      <c r="W155" s="49"/>
      <c r="X155" s="49"/>
      <c r="Y155" s="49"/>
      <c r="Z155" s="49"/>
    </row>
    <row r="156" ht="22.5" customHeight="1">
      <c r="A156" s="50">
        <v>46008.865218356485</v>
      </c>
      <c r="B156" s="51" t="s">
        <v>979</v>
      </c>
      <c r="C156" s="62" t="s">
        <v>167</v>
      </c>
      <c r="D156" s="51" t="s">
        <v>5</v>
      </c>
      <c r="E156" s="53">
        <v>176.0</v>
      </c>
      <c r="F156" s="53">
        <v>22.0</v>
      </c>
      <c r="G156" s="51" t="s">
        <v>447</v>
      </c>
      <c r="H156" s="51" t="s">
        <v>878</v>
      </c>
      <c r="I156" s="53">
        <v>8.839176432E9</v>
      </c>
      <c r="J156" s="54" t="s">
        <v>980</v>
      </c>
      <c r="K156" s="51" t="s">
        <v>444</v>
      </c>
      <c r="L156" s="55"/>
      <c r="M156" s="49"/>
      <c r="N156" s="49"/>
      <c r="O156" s="49"/>
      <c r="P156" s="49"/>
      <c r="Q156" s="49"/>
      <c r="R156" s="49"/>
      <c r="S156" s="49"/>
      <c r="T156" s="49"/>
      <c r="U156" s="49"/>
      <c r="V156" s="49"/>
      <c r="W156" s="49"/>
      <c r="X156" s="49"/>
      <c r="Y156" s="49"/>
      <c r="Z156" s="49"/>
    </row>
    <row r="157" ht="22.5" customHeight="1">
      <c r="A157" s="56">
        <v>46001.73801876158</v>
      </c>
      <c r="B157" s="57" t="s">
        <v>981</v>
      </c>
      <c r="C157" s="63" t="s">
        <v>982</v>
      </c>
      <c r="D157" s="57" t="s">
        <v>9</v>
      </c>
      <c r="E157" s="59">
        <v>178.0</v>
      </c>
      <c r="F157" s="59">
        <v>22.0</v>
      </c>
      <c r="G157" s="57" t="s">
        <v>447</v>
      </c>
      <c r="H157" s="57" t="s">
        <v>471</v>
      </c>
      <c r="I157" s="59">
        <v>9.821328552E9</v>
      </c>
      <c r="J157" s="60" t="s">
        <v>983</v>
      </c>
      <c r="K157" s="57" t="s">
        <v>444</v>
      </c>
      <c r="L157" s="61"/>
      <c r="M157" s="49"/>
      <c r="N157" s="49"/>
      <c r="O157" s="49"/>
      <c r="P157" s="49"/>
      <c r="Q157" s="49"/>
      <c r="R157" s="49"/>
      <c r="S157" s="49"/>
      <c r="T157" s="49"/>
      <c r="U157" s="49"/>
      <c r="V157" s="49"/>
      <c r="W157" s="49"/>
      <c r="X157" s="49"/>
      <c r="Y157" s="49"/>
      <c r="Z157" s="49"/>
    </row>
    <row r="158" ht="22.5" customHeight="1">
      <c r="A158" s="50">
        <v>46001.81178570601</v>
      </c>
      <c r="B158" s="51" t="s">
        <v>984</v>
      </c>
      <c r="C158" s="62" t="s">
        <v>985</v>
      </c>
      <c r="D158" s="51" t="s">
        <v>7</v>
      </c>
      <c r="E158" s="53">
        <v>177.0</v>
      </c>
      <c r="F158" s="53">
        <v>21.0</v>
      </c>
      <c r="G158" s="51" t="s">
        <v>447</v>
      </c>
      <c r="H158" s="51" t="s">
        <v>471</v>
      </c>
      <c r="I158" s="53">
        <v>9.004807254E9</v>
      </c>
      <c r="J158" s="54" t="s">
        <v>986</v>
      </c>
      <c r="K158" s="51" t="s">
        <v>444</v>
      </c>
      <c r="L158" s="55"/>
      <c r="M158" s="49"/>
      <c r="N158" s="49"/>
      <c r="O158" s="49"/>
      <c r="P158" s="49"/>
      <c r="Q158" s="49"/>
      <c r="R158" s="49"/>
      <c r="S158" s="49"/>
      <c r="T158" s="49"/>
      <c r="U158" s="49"/>
      <c r="V158" s="49"/>
      <c r="W158" s="49"/>
      <c r="X158" s="49"/>
      <c r="Y158" s="49"/>
      <c r="Z158" s="49"/>
    </row>
    <row r="159" ht="22.5" customHeight="1">
      <c r="A159" s="50">
        <v>45999.819896851855</v>
      </c>
      <c r="B159" s="51" t="s">
        <v>987</v>
      </c>
      <c r="C159" s="62" t="s">
        <v>988</v>
      </c>
      <c r="D159" s="51" t="s">
        <v>13</v>
      </c>
      <c r="E159" s="53">
        <v>180.0</v>
      </c>
      <c r="F159" s="53">
        <v>19.0</v>
      </c>
      <c r="G159" s="51" t="s">
        <v>447</v>
      </c>
      <c r="H159" s="51" t="s">
        <v>989</v>
      </c>
      <c r="I159" s="53">
        <v>9.109826847E9</v>
      </c>
      <c r="J159" s="54" t="s">
        <v>990</v>
      </c>
      <c r="K159" s="51" t="s">
        <v>444</v>
      </c>
      <c r="L159" s="55"/>
      <c r="M159" s="49"/>
      <c r="N159" s="49"/>
      <c r="O159" s="49"/>
      <c r="P159" s="49"/>
      <c r="Q159" s="49"/>
      <c r="R159" s="49"/>
      <c r="S159" s="49"/>
      <c r="T159" s="49"/>
      <c r="U159" s="49"/>
      <c r="V159" s="49"/>
      <c r="W159" s="49"/>
      <c r="X159" s="49"/>
      <c r="Y159" s="49"/>
      <c r="Z159" s="49"/>
    </row>
    <row r="160" ht="22.5" customHeight="1">
      <c r="A160" s="56">
        <v>45997.56487621528</v>
      </c>
      <c r="B160" s="57" t="s">
        <v>991</v>
      </c>
      <c r="C160" s="63" t="s">
        <v>171</v>
      </c>
      <c r="D160" s="57" t="s">
        <v>5</v>
      </c>
      <c r="E160" s="59">
        <v>181.0</v>
      </c>
      <c r="F160" s="59">
        <v>20.0</v>
      </c>
      <c r="G160" s="57" t="s">
        <v>487</v>
      </c>
      <c r="H160" s="57" t="s">
        <v>921</v>
      </c>
      <c r="I160" s="59">
        <v>8.169747137E9</v>
      </c>
      <c r="J160" s="60" t="s">
        <v>992</v>
      </c>
      <c r="K160" s="57" t="s">
        <v>444</v>
      </c>
      <c r="L160" s="61"/>
      <c r="M160" s="49"/>
      <c r="N160" s="49"/>
      <c r="O160" s="49"/>
      <c r="P160" s="49"/>
      <c r="Q160" s="49"/>
      <c r="R160" s="49"/>
      <c r="S160" s="49"/>
      <c r="T160" s="49"/>
      <c r="U160" s="49"/>
      <c r="V160" s="49"/>
      <c r="W160" s="49"/>
      <c r="X160" s="49"/>
      <c r="Y160" s="49"/>
      <c r="Z160" s="49"/>
    </row>
    <row r="161" ht="22.5" customHeight="1">
      <c r="A161" s="50">
        <v>46000.85346909722</v>
      </c>
      <c r="B161" s="51" t="s">
        <v>993</v>
      </c>
      <c r="C161" s="62" t="s">
        <v>172</v>
      </c>
      <c r="D161" s="51" t="s">
        <v>7</v>
      </c>
      <c r="E161" s="53">
        <v>182.0</v>
      </c>
      <c r="F161" s="53">
        <v>19.0</v>
      </c>
      <c r="G161" s="51" t="s">
        <v>487</v>
      </c>
      <c r="H161" s="51" t="s">
        <v>994</v>
      </c>
      <c r="I161" s="53">
        <v>8.003050199E9</v>
      </c>
      <c r="J161" s="54" t="s">
        <v>995</v>
      </c>
      <c r="K161" s="51" t="s">
        <v>444</v>
      </c>
      <c r="L161" s="55"/>
      <c r="M161" s="49"/>
      <c r="N161" s="49"/>
      <c r="O161" s="49"/>
      <c r="P161" s="49"/>
      <c r="Q161" s="49"/>
      <c r="R161" s="49"/>
      <c r="S161" s="49"/>
      <c r="T161" s="49"/>
      <c r="U161" s="49"/>
      <c r="V161" s="49"/>
      <c r="W161" s="49"/>
      <c r="X161" s="49"/>
      <c r="Y161" s="49"/>
      <c r="Z161" s="49"/>
    </row>
    <row r="162" ht="22.5" customHeight="1">
      <c r="A162" s="56">
        <v>45997.84112759259</v>
      </c>
      <c r="B162" s="57" t="s">
        <v>996</v>
      </c>
      <c r="C162" s="63" t="s">
        <v>173</v>
      </c>
      <c r="D162" s="57" t="s">
        <v>9</v>
      </c>
      <c r="E162" s="59">
        <v>183.0</v>
      </c>
      <c r="F162" s="59">
        <v>17.0</v>
      </c>
      <c r="G162" s="57" t="s">
        <v>441</v>
      </c>
      <c r="H162" s="57" t="s">
        <v>997</v>
      </c>
      <c r="I162" s="59">
        <v>7.841891155E9</v>
      </c>
      <c r="J162" s="60" t="s">
        <v>998</v>
      </c>
      <c r="K162" s="57" t="s">
        <v>444</v>
      </c>
      <c r="L162" s="61"/>
      <c r="M162" s="49"/>
      <c r="N162" s="49"/>
      <c r="O162" s="49"/>
      <c r="P162" s="49"/>
      <c r="Q162" s="49"/>
      <c r="R162" s="49"/>
      <c r="S162" s="49"/>
      <c r="T162" s="49"/>
      <c r="U162" s="49"/>
      <c r="V162" s="49"/>
      <c r="W162" s="49"/>
      <c r="X162" s="49"/>
      <c r="Y162" s="49"/>
      <c r="Z162" s="49"/>
    </row>
    <row r="163" ht="22.5" customHeight="1">
      <c r="A163" s="50">
        <v>46008.85771798611</v>
      </c>
      <c r="B163" s="51" t="s">
        <v>999</v>
      </c>
      <c r="C163" s="62" t="s">
        <v>1000</v>
      </c>
      <c r="D163" s="51" t="s">
        <v>11</v>
      </c>
      <c r="E163" s="53">
        <v>184.0</v>
      </c>
      <c r="F163" s="53">
        <v>21.0</v>
      </c>
      <c r="G163" s="51" t="s">
        <v>458</v>
      </c>
      <c r="H163" s="51" t="s">
        <v>1001</v>
      </c>
      <c r="I163" s="53">
        <v>9.321486101E9</v>
      </c>
      <c r="J163" s="54" t="s">
        <v>1002</v>
      </c>
      <c r="K163" s="51" t="s">
        <v>444</v>
      </c>
      <c r="L163" s="55"/>
      <c r="M163" s="49"/>
      <c r="N163" s="49"/>
      <c r="O163" s="49"/>
      <c r="P163" s="49"/>
      <c r="Q163" s="49"/>
      <c r="R163" s="49"/>
      <c r="S163" s="49"/>
      <c r="T163" s="49"/>
      <c r="U163" s="49"/>
      <c r="V163" s="49"/>
      <c r="W163" s="49"/>
      <c r="X163" s="49"/>
      <c r="Y163" s="49"/>
      <c r="Z163" s="49"/>
    </row>
    <row r="164" ht="22.5" customHeight="1">
      <c r="A164" s="56">
        <v>45996.97449204861</v>
      </c>
      <c r="B164" s="57" t="s">
        <v>1003</v>
      </c>
      <c r="C164" s="63" t="s">
        <v>1004</v>
      </c>
      <c r="D164" s="57" t="s">
        <v>13</v>
      </c>
      <c r="E164" s="59">
        <v>185.0</v>
      </c>
      <c r="F164" s="59">
        <v>40.0</v>
      </c>
      <c r="G164" s="57" t="s">
        <v>441</v>
      </c>
      <c r="H164" s="57" t="s">
        <v>1005</v>
      </c>
      <c r="I164" s="59">
        <v>9.422086292E9</v>
      </c>
      <c r="J164" s="60" t="s">
        <v>1006</v>
      </c>
      <c r="K164" s="57" t="s">
        <v>444</v>
      </c>
      <c r="L164" s="61"/>
      <c r="M164" s="49"/>
      <c r="N164" s="49"/>
      <c r="O164" s="49"/>
      <c r="P164" s="49"/>
      <c r="Q164" s="49"/>
      <c r="R164" s="49"/>
      <c r="S164" s="49"/>
      <c r="T164" s="49"/>
      <c r="U164" s="49"/>
      <c r="V164" s="49"/>
      <c r="W164" s="49"/>
      <c r="X164" s="49"/>
      <c r="Y164" s="49"/>
      <c r="Z164" s="49"/>
    </row>
    <row r="165" ht="22.5" customHeight="1">
      <c r="A165" s="50">
        <v>45996.541311504625</v>
      </c>
      <c r="B165" s="51" t="s">
        <v>1007</v>
      </c>
      <c r="C165" s="62" t="s">
        <v>176</v>
      </c>
      <c r="D165" s="51" t="s">
        <v>5</v>
      </c>
      <c r="E165" s="53">
        <v>186.0</v>
      </c>
      <c r="F165" s="53">
        <v>33.0</v>
      </c>
      <c r="G165" s="51" t="s">
        <v>458</v>
      </c>
      <c r="H165" s="51" t="s">
        <v>1008</v>
      </c>
      <c r="I165" s="53">
        <v>9.886098123E9</v>
      </c>
      <c r="J165" s="54" t="s">
        <v>1009</v>
      </c>
      <c r="K165" s="51" t="s">
        <v>444</v>
      </c>
      <c r="L165" s="55"/>
      <c r="M165" s="49"/>
      <c r="N165" s="49"/>
      <c r="O165" s="49"/>
      <c r="P165" s="49"/>
      <c r="Q165" s="49"/>
      <c r="R165" s="49"/>
      <c r="S165" s="49"/>
      <c r="T165" s="49"/>
      <c r="U165" s="49"/>
      <c r="V165" s="49"/>
      <c r="W165" s="49"/>
      <c r="X165" s="49"/>
      <c r="Y165" s="49"/>
      <c r="Z165" s="49"/>
    </row>
    <row r="166" ht="22.5" customHeight="1">
      <c r="A166" s="56">
        <v>46010.797606064814</v>
      </c>
      <c r="B166" s="57" t="s">
        <v>1010</v>
      </c>
      <c r="C166" s="63" t="s">
        <v>1011</v>
      </c>
      <c r="D166" s="57" t="s">
        <v>7</v>
      </c>
      <c r="E166" s="59">
        <v>429.0</v>
      </c>
      <c r="F166" s="59">
        <v>21.0</v>
      </c>
      <c r="G166" s="57" t="s">
        <v>447</v>
      </c>
      <c r="H166" s="57" t="s">
        <v>1012</v>
      </c>
      <c r="I166" s="59">
        <v>9.427106123E9</v>
      </c>
      <c r="J166" s="60" t="s">
        <v>1013</v>
      </c>
      <c r="K166" s="57" t="s">
        <v>444</v>
      </c>
      <c r="L166" s="61"/>
      <c r="M166" s="49"/>
      <c r="N166" s="49"/>
      <c r="O166" s="49"/>
      <c r="P166" s="49"/>
      <c r="Q166" s="49"/>
      <c r="R166" s="49"/>
      <c r="S166" s="49"/>
      <c r="T166" s="49"/>
      <c r="U166" s="49"/>
      <c r="V166" s="49"/>
      <c r="W166" s="49"/>
      <c r="X166" s="49"/>
      <c r="Y166" s="49"/>
      <c r="Z166" s="49"/>
    </row>
    <row r="167" ht="22.5" customHeight="1">
      <c r="A167" s="50">
        <v>46001.532191377315</v>
      </c>
      <c r="B167" s="51" t="s">
        <v>1014</v>
      </c>
      <c r="C167" s="62" t="s">
        <v>177</v>
      </c>
      <c r="D167" s="51" t="s">
        <v>7</v>
      </c>
      <c r="E167" s="53">
        <v>187.0</v>
      </c>
      <c r="F167" s="53">
        <v>24.0</v>
      </c>
      <c r="G167" s="51" t="s">
        <v>487</v>
      </c>
      <c r="H167" s="51" t="s">
        <v>1015</v>
      </c>
      <c r="I167" s="53">
        <v>9.982934658E9</v>
      </c>
      <c r="J167" s="54" t="s">
        <v>1016</v>
      </c>
      <c r="K167" s="51" t="s">
        <v>444</v>
      </c>
      <c r="L167" s="55"/>
      <c r="M167" s="49"/>
      <c r="N167" s="49"/>
      <c r="O167" s="49"/>
      <c r="P167" s="49"/>
      <c r="Q167" s="49"/>
      <c r="R167" s="49"/>
      <c r="S167" s="49"/>
      <c r="T167" s="49"/>
      <c r="U167" s="49"/>
      <c r="V167" s="49"/>
      <c r="W167" s="49"/>
      <c r="X167" s="49"/>
      <c r="Y167" s="49"/>
      <c r="Z167" s="49"/>
    </row>
    <row r="168" ht="22.5" customHeight="1">
      <c r="A168" s="56">
        <v>46005.624060497685</v>
      </c>
      <c r="B168" s="57" t="s">
        <v>1017</v>
      </c>
      <c r="C168" s="63" t="s">
        <v>1018</v>
      </c>
      <c r="D168" s="57" t="s">
        <v>1019</v>
      </c>
      <c r="E168" s="59">
        <v>395.0</v>
      </c>
      <c r="F168" s="59">
        <v>37.0</v>
      </c>
      <c r="G168" s="57" t="s">
        <v>487</v>
      </c>
      <c r="H168" s="57" t="s">
        <v>749</v>
      </c>
      <c r="I168" s="59">
        <v>9.819882008E9</v>
      </c>
      <c r="J168" s="60" t="s">
        <v>1020</v>
      </c>
      <c r="K168" s="57" t="s">
        <v>444</v>
      </c>
      <c r="L168" s="61"/>
      <c r="M168" s="49"/>
      <c r="N168" s="49"/>
      <c r="O168" s="49"/>
      <c r="P168" s="49"/>
      <c r="Q168" s="49"/>
      <c r="R168" s="49"/>
      <c r="S168" s="49"/>
      <c r="T168" s="49"/>
      <c r="U168" s="49"/>
      <c r="V168" s="49"/>
      <c r="W168" s="49"/>
      <c r="X168" s="49"/>
      <c r="Y168" s="49"/>
      <c r="Z168" s="49"/>
    </row>
    <row r="169" ht="22.5" customHeight="1">
      <c r="A169" s="50">
        <v>46012.69424819444</v>
      </c>
      <c r="B169" s="51" t="s">
        <v>1021</v>
      </c>
      <c r="C169" s="62" t="s">
        <v>1022</v>
      </c>
      <c r="D169" s="51" t="s">
        <v>11</v>
      </c>
      <c r="E169" s="53">
        <v>431.0</v>
      </c>
      <c r="F169" s="53">
        <v>31.0</v>
      </c>
      <c r="G169" s="51" t="s">
        <v>447</v>
      </c>
      <c r="H169" s="51" t="s">
        <v>1023</v>
      </c>
      <c r="I169" s="53">
        <v>8.817771516E9</v>
      </c>
      <c r="J169" s="54" t="s">
        <v>1024</v>
      </c>
      <c r="K169" s="51" t="s">
        <v>444</v>
      </c>
      <c r="L169" s="55"/>
      <c r="M169" s="49"/>
      <c r="N169" s="49"/>
      <c r="O169" s="49"/>
      <c r="P169" s="49"/>
      <c r="Q169" s="49"/>
      <c r="R169" s="49"/>
      <c r="S169" s="49"/>
      <c r="T169" s="49"/>
      <c r="U169" s="49"/>
      <c r="V169" s="49"/>
      <c r="W169" s="49"/>
      <c r="X169" s="49"/>
      <c r="Y169" s="49"/>
      <c r="Z169" s="49"/>
    </row>
    <row r="170" ht="22.5" customHeight="1">
      <c r="A170" s="56">
        <v>46007.53848209491</v>
      </c>
      <c r="B170" s="57" t="s">
        <v>1025</v>
      </c>
      <c r="C170" s="63" t="s">
        <v>1026</v>
      </c>
      <c r="D170" s="57" t="s">
        <v>7</v>
      </c>
      <c r="E170" s="59">
        <v>397.0</v>
      </c>
      <c r="F170" s="59">
        <v>32.0</v>
      </c>
      <c r="G170" s="57" t="s">
        <v>447</v>
      </c>
      <c r="H170" s="57" t="s">
        <v>749</v>
      </c>
      <c r="I170" s="59">
        <v>9.870914343E9</v>
      </c>
      <c r="J170" s="60" t="s">
        <v>1027</v>
      </c>
      <c r="K170" s="57" t="s">
        <v>444</v>
      </c>
      <c r="L170" s="61"/>
      <c r="M170" s="49"/>
      <c r="N170" s="49"/>
      <c r="O170" s="49"/>
      <c r="P170" s="49"/>
      <c r="Q170" s="49"/>
      <c r="R170" s="49"/>
      <c r="S170" s="49"/>
      <c r="T170" s="49"/>
      <c r="U170" s="49"/>
      <c r="V170" s="49"/>
      <c r="W170" s="49"/>
      <c r="X170" s="49"/>
      <c r="Y170" s="49"/>
      <c r="Z170" s="49"/>
    </row>
    <row r="171" ht="22.5" customHeight="1">
      <c r="A171" s="50">
        <v>46001.780520636574</v>
      </c>
      <c r="B171" s="51" t="s">
        <v>1028</v>
      </c>
      <c r="C171" s="62" t="s">
        <v>1029</v>
      </c>
      <c r="D171" s="51" t="s">
        <v>13</v>
      </c>
      <c r="E171" s="53">
        <v>190.0</v>
      </c>
      <c r="F171" s="53">
        <v>15.0</v>
      </c>
      <c r="G171" s="51" t="s">
        <v>458</v>
      </c>
      <c r="H171" s="51" t="s">
        <v>1030</v>
      </c>
      <c r="I171" s="53">
        <v>9.770435122E9</v>
      </c>
      <c r="J171" s="54" t="s">
        <v>1031</v>
      </c>
      <c r="K171" s="51" t="s">
        <v>444</v>
      </c>
      <c r="L171" s="55"/>
      <c r="M171" s="49"/>
      <c r="N171" s="49"/>
      <c r="O171" s="49"/>
      <c r="P171" s="49"/>
      <c r="Q171" s="49"/>
      <c r="R171" s="49"/>
      <c r="S171" s="49"/>
      <c r="T171" s="49"/>
      <c r="U171" s="49"/>
      <c r="V171" s="49"/>
      <c r="W171" s="49"/>
      <c r="X171" s="49"/>
      <c r="Y171" s="49"/>
      <c r="Z171" s="49"/>
    </row>
    <row r="172" ht="22.5" customHeight="1">
      <c r="A172" s="56">
        <v>46009.702207951384</v>
      </c>
      <c r="B172" s="57" t="s">
        <v>1032</v>
      </c>
      <c r="C172" s="63" t="s">
        <v>1033</v>
      </c>
      <c r="D172" s="57" t="s">
        <v>5</v>
      </c>
      <c r="E172" s="59">
        <v>406.0</v>
      </c>
      <c r="F172" s="59">
        <v>37.0</v>
      </c>
      <c r="G172" s="57" t="s">
        <v>470</v>
      </c>
      <c r="H172" s="57" t="s">
        <v>471</v>
      </c>
      <c r="I172" s="59">
        <v>8.779142101E9</v>
      </c>
      <c r="J172" s="60" t="s">
        <v>1034</v>
      </c>
      <c r="K172" s="57" t="s">
        <v>444</v>
      </c>
      <c r="L172" s="61"/>
      <c r="M172" s="49"/>
      <c r="N172" s="49"/>
      <c r="O172" s="49"/>
      <c r="P172" s="49"/>
      <c r="Q172" s="49"/>
      <c r="R172" s="49"/>
      <c r="S172" s="49"/>
      <c r="T172" s="49"/>
      <c r="U172" s="49"/>
      <c r="V172" s="49"/>
      <c r="W172" s="49"/>
      <c r="X172" s="49"/>
      <c r="Y172" s="49"/>
      <c r="Z172" s="49"/>
    </row>
    <row r="173" ht="22.5" customHeight="1">
      <c r="A173" s="50">
        <v>46003.05218561343</v>
      </c>
      <c r="B173" s="51" t="s">
        <v>1035</v>
      </c>
      <c r="C173" s="62" t="s">
        <v>180</v>
      </c>
      <c r="D173" s="51" t="s">
        <v>5</v>
      </c>
      <c r="E173" s="53">
        <v>191.0</v>
      </c>
      <c r="F173" s="53">
        <v>17.0</v>
      </c>
      <c r="G173" s="51" t="s">
        <v>487</v>
      </c>
      <c r="H173" s="51" t="s">
        <v>1036</v>
      </c>
      <c r="I173" s="53">
        <v>9.993786642E9</v>
      </c>
      <c r="J173" s="54" t="s">
        <v>1037</v>
      </c>
      <c r="K173" s="51" t="s">
        <v>444</v>
      </c>
      <c r="L173" s="55"/>
      <c r="M173" s="49"/>
      <c r="N173" s="49"/>
      <c r="O173" s="49"/>
      <c r="P173" s="49"/>
      <c r="Q173" s="49"/>
      <c r="R173" s="49"/>
      <c r="S173" s="49"/>
      <c r="T173" s="49"/>
      <c r="U173" s="49"/>
      <c r="V173" s="49"/>
      <c r="W173" s="49"/>
      <c r="X173" s="49"/>
      <c r="Y173" s="49"/>
      <c r="Z173" s="49"/>
    </row>
    <row r="174" ht="22.5" customHeight="1">
      <c r="A174" s="56">
        <v>45997.460202939816</v>
      </c>
      <c r="B174" s="57" t="s">
        <v>1038</v>
      </c>
      <c r="C174" s="63" t="s">
        <v>181</v>
      </c>
      <c r="D174" s="57" t="s">
        <v>9</v>
      </c>
      <c r="E174" s="59">
        <v>193.0</v>
      </c>
      <c r="F174" s="59">
        <v>24.0</v>
      </c>
      <c r="G174" s="57" t="s">
        <v>441</v>
      </c>
      <c r="H174" s="57" t="s">
        <v>1039</v>
      </c>
      <c r="I174" s="59">
        <v>9.167799536E9</v>
      </c>
      <c r="J174" s="60" t="s">
        <v>1040</v>
      </c>
      <c r="K174" s="57" t="s">
        <v>444</v>
      </c>
      <c r="L174" s="61"/>
      <c r="M174" s="49"/>
      <c r="N174" s="49"/>
      <c r="O174" s="49"/>
      <c r="P174" s="49"/>
      <c r="Q174" s="49"/>
      <c r="R174" s="49"/>
      <c r="S174" s="49"/>
      <c r="T174" s="49"/>
      <c r="U174" s="49"/>
      <c r="V174" s="49"/>
      <c r="W174" s="49"/>
      <c r="X174" s="49"/>
      <c r="Y174" s="49"/>
      <c r="Z174" s="49"/>
    </row>
    <row r="175" ht="22.5" customHeight="1">
      <c r="A175" s="50">
        <v>46016.854391030094</v>
      </c>
      <c r="B175" s="51" t="s">
        <v>1041</v>
      </c>
      <c r="C175" s="62" t="s">
        <v>1042</v>
      </c>
      <c r="D175" s="51" t="s">
        <v>13</v>
      </c>
      <c r="E175" s="53">
        <v>442.0</v>
      </c>
      <c r="F175" s="53">
        <v>21.0</v>
      </c>
      <c r="G175" s="51" t="s">
        <v>487</v>
      </c>
      <c r="H175" s="51" t="s">
        <v>1043</v>
      </c>
      <c r="I175" s="53">
        <v>9.408471971E9</v>
      </c>
      <c r="J175" s="54" t="s">
        <v>1044</v>
      </c>
      <c r="K175" s="51" t="s">
        <v>444</v>
      </c>
      <c r="L175" s="55"/>
      <c r="M175" s="49"/>
      <c r="N175" s="49"/>
      <c r="O175" s="49"/>
      <c r="P175" s="49"/>
      <c r="Q175" s="49"/>
      <c r="R175" s="49"/>
      <c r="S175" s="49"/>
      <c r="T175" s="49"/>
      <c r="U175" s="49"/>
      <c r="V175" s="49"/>
      <c r="W175" s="49"/>
      <c r="X175" s="49"/>
      <c r="Y175" s="49"/>
      <c r="Z175" s="49"/>
    </row>
    <row r="176" ht="22.5" customHeight="1">
      <c r="A176" s="66">
        <v>45999.658888101854</v>
      </c>
      <c r="B176" s="67" t="s">
        <v>1045</v>
      </c>
      <c r="C176" s="68" t="s">
        <v>183</v>
      </c>
      <c r="D176" s="67">
        <v>196.0</v>
      </c>
      <c r="E176" s="69">
        <v>196.0</v>
      </c>
      <c r="F176" s="67">
        <v>33.0</v>
      </c>
      <c r="G176" s="70" t="s">
        <v>458</v>
      </c>
      <c r="H176" s="70" t="s">
        <v>1046</v>
      </c>
      <c r="I176" s="67">
        <v>9.098122722E9</v>
      </c>
      <c r="J176" s="70" t="s">
        <v>1047</v>
      </c>
      <c r="K176" s="70" t="s">
        <v>444</v>
      </c>
      <c r="L176" s="61"/>
      <c r="M176" s="49"/>
      <c r="N176" s="49"/>
      <c r="O176" s="49"/>
      <c r="P176" s="49"/>
      <c r="Q176" s="49"/>
      <c r="R176" s="49"/>
      <c r="S176" s="49"/>
      <c r="T176" s="49"/>
      <c r="U176" s="49"/>
      <c r="V176" s="49"/>
      <c r="W176" s="49"/>
      <c r="X176" s="49"/>
      <c r="Y176" s="49"/>
      <c r="Z176" s="49"/>
    </row>
    <row r="177" ht="22.5" customHeight="1">
      <c r="A177" s="50">
        <v>45999.53644621528</v>
      </c>
      <c r="B177" s="51" t="s">
        <v>1048</v>
      </c>
      <c r="C177" s="62" t="s">
        <v>1049</v>
      </c>
      <c r="D177" s="51" t="s">
        <v>7</v>
      </c>
      <c r="E177" s="53">
        <v>197.0</v>
      </c>
      <c r="F177" s="53">
        <v>21.0</v>
      </c>
      <c r="G177" s="51" t="s">
        <v>458</v>
      </c>
      <c r="H177" s="51" t="s">
        <v>658</v>
      </c>
      <c r="I177" s="53">
        <v>9.535609505E9</v>
      </c>
      <c r="J177" s="54" t="s">
        <v>1050</v>
      </c>
      <c r="K177" s="51" t="s">
        <v>444</v>
      </c>
      <c r="L177" s="55"/>
      <c r="M177" s="49"/>
      <c r="N177" s="49"/>
      <c r="O177" s="49"/>
      <c r="P177" s="49"/>
      <c r="Q177" s="49"/>
      <c r="R177" s="49"/>
      <c r="S177" s="49"/>
      <c r="T177" s="49"/>
      <c r="U177" s="49"/>
      <c r="V177" s="49"/>
      <c r="W177" s="49"/>
      <c r="X177" s="49"/>
      <c r="Y177" s="49"/>
      <c r="Z177" s="49"/>
    </row>
    <row r="178" ht="22.5" customHeight="1">
      <c r="A178" s="56">
        <v>45996.50942207176</v>
      </c>
      <c r="B178" s="57" t="s">
        <v>1051</v>
      </c>
      <c r="C178" s="63" t="s">
        <v>1052</v>
      </c>
      <c r="D178" s="57" t="s">
        <v>9</v>
      </c>
      <c r="E178" s="59">
        <v>198.0</v>
      </c>
      <c r="F178" s="59">
        <v>22.0</v>
      </c>
      <c r="G178" s="57" t="s">
        <v>458</v>
      </c>
      <c r="H178" s="57" t="s">
        <v>669</v>
      </c>
      <c r="I178" s="72">
        <v>9.88142752E9</v>
      </c>
      <c r="J178" s="60" t="s">
        <v>1053</v>
      </c>
      <c r="K178" s="57" t="s">
        <v>444</v>
      </c>
      <c r="L178" s="61"/>
      <c r="M178" s="49"/>
      <c r="N178" s="49"/>
      <c r="O178" s="49"/>
      <c r="P178" s="49"/>
      <c r="Q178" s="49"/>
      <c r="R178" s="49"/>
      <c r="S178" s="49"/>
      <c r="T178" s="49"/>
      <c r="U178" s="49"/>
      <c r="V178" s="49"/>
      <c r="W178" s="49"/>
      <c r="X178" s="49"/>
      <c r="Y178" s="49"/>
      <c r="Z178" s="49"/>
    </row>
    <row r="179" ht="22.5" customHeight="1">
      <c r="A179" s="50">
        <v>46016.816019351856</v>
      </c>
      <c r="B179" s="51" t="s">
        <v>1054</v>
      </c>
      <c r="C179" s="62" t="s">
        <v>1055</v>
      </c>
      <c r="D179" s="51" t="s">
        <v>7</v>
      </c>
      <c r="E179" s="53">
        <v>449.0</v>
      </c>
      <c r="F179" s="53">
        <v>27.0</v>
      </c>
      <c r="G179" s="51" t="s">
        <v>458</v>
      </c>
      <c r="H179" s="51" t="s">
        <v>471</v>
      </c>
      <c r="I179" s="53">
        <v>9.16761899E9</v>
      </c>
      <c r="J179" s="54" t="s">
        <v>1056</v>
      </c>
      <c r="K179" s="51" t="s">
        <v>444</v>
      </c>
      <c r="L179" s="55"/>
      <c r="M179" s="49"/>
      <c r="N179" s="49"/>
      <c r="O179" s="49"/>
      <c r="P179" s="49"/>
      <c r="Q179" s="49"/>
      <c r="R179" s="49"/>
      <c r="S179" s="49"/>
      <c r="T179" s="49"/>
      <c r="U179" s="49"/>
      <c r="V179" s="49"/>
      <c r="W179" s="49"/>
      <c r="X179" s="49"/>
      <c r="Y179" s="49"/>
      <c r="Z179" s="49"/>
    </row>
    <row r="180" ht="22.5" customHeight="1">
      <c r="A180" s="56">
        <v>46010.77843802083</v>
      </c>
      <c r="B180" s="57" t="s">
        <v>1057</v>
      </c>
      <c r="C180" s="63" t="s">
        <v>1058</v>
      </c>
      <c r="D180" s="57" t="s">
        <v>7</v>
      </c>
      <c r="E180" s="59">
        <v>434.0</v>
      </c>
      <c r="F180" s="59">
        <v>15.0</v>
      </c>
      <c r="G180" s="57" t="s">
        <v>487</v>
      </c>
      <c r="H180" s="57" t="s">
        <v>1059</v>
      </c>
      <c r="I180" s="59">
        <v>9.022411491E9</v>
      </c>
      <c r="J180" s="60" t="s">
        <v>1060</v>
      </c>
      <c r="K180" s="57" t="s">
        <v>444</v>
      </c>
      <c r="L180" s="61"/>
      <c r="M180" s="49"/>
      <c r="N180" s="49"/>
      <c r="O180" s="49"/>
      <c r="P180" s="49"/>
      <c r="Q180" s="49"/>
      <c r="R180" s="49"/>
      <c r="S180" s="49"/>
      <c r="T180" s="49"/>
      <c r="U180" s="49"/>
      <c r="V180" s="49"/>
      <c r="W180" s="49"/>
      <c r="X180" s="49"/>
      <c r="Y180" s="49"/>
      <c r="Z180" s="49"/>
    </row>
    <row r="181" ht="22.5" customHeight="1">
      <c r="A181" s="50">
        <v>45996.55016150463</v>
      </c>
      <c r="B181" s="51" t="s">
        <v>1061</v>
      </c>
      <c r="C181" s="62" t="s">
        <v>186</v>
      </c>
      <c r="D181" s="51" t="s">
        <v>5</v>
      </c>
      <c r="E181" s="53">
        <v>201.0</v>
      </c>
      <c r="F181" s="53">
        <v>19.0</v>
      </c>
      <c r="G181" s="51" t="s">
        <v>441</v>
      </c>
      <c r="H181" s="51" t="s">
        <v>921</v>
      </c>
      <c r="I181" s="53">
        <v>9.869942158E9</v>
      </c>
      <c r="J181" s="54" t="s">
        <v>1062</v>
      </c>
      <c r="K181" s="51" t="s">
        <v>444</v>
      </c>
      <c r="L181" s="55"/>
      <c r="M181" s="49"/>
      <c r="N181" s="49"/>
      <c r="O181" s="49"/>
      <c r="P181" s="49"/>
      <c r="Q181" s="49"/>
      <c r="R181" s="49"/>
      <c r="S181" s="49"/>
      <c r="T181" s="49"/>
      <c r="U181" s="49"/>
      <c r="V181" s="49"/>
      <c r="W181" s="49"/>
      <c r="X181" s="49"/>
      <c r="Y181" s="49"/>
      <c r="Z181" s="49"/>
    </row>
    <row r="182" ht="22.5" customHeight="1">
      <c r="A182" s="56">
        <v>46012.479727743055</v>
      </c>
      <c r="B182" s="57" t="s">
        <v>1063</v>
      </c>
      <c r="C182" s="63" t="s">
        <v>1064</v>
      </c>
      <c r="D182" s="57" t="s">
        <v>11</v>
      </c>
      <c r="E182" s="59">
        <v>436.0</v>
      </c>
      <c r="F182" s="59">
        <v>16.0</v>
      </c>
      <c r="G182" s="57" t="s">
        <v>487</v>
      </c>
      <c r="H182" s="57" t="s">
        <v>921</v>
      </c>
      <c r="I182" s="59">
        <v>9.324286756E9</v>
      </c>
      <c r="J182" s="60" t="s">
        <v>1065</v>
      </c>
      <c r="K182" s="57" t="s">
        <v>444</v>
      </c>
      <c r="L182" s="61"/>
      <c r="M182" s="49"/>
      <c r="N182" s="49"/>
      <c r="O182" s="49"/>
      <c r="P182" s="49"/>
      <c r="Q182" s="49"/>
      <c r="R182" s="49"/>
      <c r="S182" s="49"/>
      <c r="T182" s="49"/>
      <c r="U182" s="49"/>
      <c r="V182" s="49"/>
      <c r="W182" s="49"/>
      <c r="X182" s="49"/>
      <c r="Y182" s="49"/>
      <c r="Z182" s="49"/>
    </row>
    <row r="183" ht="22.5" customHeight="1">
      <c r="A183" s="50">
        <v>46001.75709472223</v>
      </c>
      <c r="B183" s="51" t="s">
        <v>1066</v>
      </c>
      <c r="C183" s="62" t="s">
        <v>189</v>
      </c>
      <c r="D183" s="51" t="s">
        <v>11</v>
      </c>
      <c r="E183" s="53">
        <v>204.0</v>
      </c>
      <c r="F183" s="53">
        <v>20.0</v>
      </c>
      <c r="G183" s="51" t="s">
        <v>458</v>
      </c>
      <c r="H183" s="51" t="s">
        <v>669</v>
      </c>
      <c r="I183" s="53">
        <v>9.420782349E9</v>
      </c>
      <c r="J183" s="54" t="s">
        <v>1067</v>
      </c>
      <c r="K183" s="51" t="s">
        <v>444</v>
      </c>
      <c r="L183" s="55"/>
      <c r="M183" s="49"/>
      <c r="N183" s="49"/>
      <c r="O183" s="49"/>
      <c r="P183" s="49"/>
      <c r="Q183" s="49"/>
      <c r="R183" s="49"/>
      <c r="S183" s="49"/>
      <c r="T183" s="49"/>
      <c r="U183" s="49"/>
      <c r="V183" s="49"/>
      <c r="W183" s="49"/>
      <c r="X183" s="49"/>
      <c r="Y183" s="49"/>
      <c r="Z183" s="49"/>
    </row>
    <row r="184" ht="22.5" customHeight="1">
      <c r="A184" s="56">
        <v>45997.60176846065</v>
      </c>
      <c r="B184" s="57" t="s">
        <v>1068</v>
      </c>
      <c r="C184" s="63" t="s">
        <v>1069</v>
      </c>
      <c r="D184" s="57" t="s">
        <v>13</v>
      </c>
      <c r="E184" s="59">
        <v>205.0</v>
      </c>
      <c r="F184" s="59">
        <v>35.0</v>
      </c>
      <c r="G184" s="57" t="s">
        <v>604</v>
      </c>
      <c r="H184" s="57" t="s">
        <v>704</v>
      </c>
      <c r="I184" s="59">
        <v>9.819001136E9</v>
      </c>
      <c r="J184" s="60" t="s">
        <v>1070</v>
      </c>
      <c r="K184" s="57" t="s">
        <v>444</v>
      </c>
      <c r="L184" s="61"/>
      <c r="M184" s="49"/>
      <c r="N184" s="49"/>
      <c r="O184" s="49"/>
      <c r="P184" s="49"/>
      <c r="Q184" s="49"/>
      <c r="R184" s="49"/>
      <c r="S184" s="49"/>
      <c r="T184" s="49"/>
      <c r="U184" s="49"/>
      <c r="V184" s="49"/>
      <c r="W184" s="49"/>
      <c r="X184" s="49"/>
      <c r="Y184" s="49"/>
      <c r="Z184" s="49"/>
    </row>
    <row r="185" ht="22.5" customHeight="1">
      <c r="A185" s="50">
        <v>46009.58445763889</v>
      </c>
      <c r="B185" s="51" t="s">
        <v>1071</v>
      </c>
      <c r="C185" s="62" t="s">
        <v>359</v>
      </c>
      <c r="D185" s="51" t="s">
        <v>9</v>
      </c>
      <c r="E185" s="53">
        <v>408.0</v>
      </c>
      <c r="F185" s="53">
        <v>24.0</v>
      </c>
      <c r="G185" s="51" t="s">
        <v>447</v>
      </c>
      <c r="H185" s="51" t="s">
        <v>1072</v>
      </c>
      <c r="I185" s="53">
        <v>9.766550372E9</v>
      </c>
      <c r="J185" s="54" t="s">
        <v>1073</v>
      </c>
      <c r="K185" s="51" t="s">
        <v>444</v>
      </c>
      <c r="L185" s="55"/>
      <c r="M185" s="49"/>
      <c r="N185" s="49"/>
      <c r="O185" s="49"/>
      <c r="P185" s="49"/>
      <c r="Q185" s="49"/>
      <c r="R185" s="49"/>
      <c r="S185" s="49"/>
      <c r="T185" s="49"/>
      <c r="U185" s="49"/>
      <c r="V185" s="49"/>
      <c r="W185" s="49"/>
      <c r="X185" s="49"/>
      <c r="Y185" s="49"/>
      <c r="Z185" s="49"/>
    </row>
    <row r="186" ht="22.5" customHeight="1">
      <c r="A186" s="56">
        <v>46012.0345665625</v>
      </c>
      <c r="B186" s="57" t="s">
        <v>1074</v>
      </c>
      <c r="C186" s="63" t="s">
        <v>191</v>
      </c>
      <c r="D186" s="57" t="s">
        <v>7</v>
      </c>
      <c r="E186" s="59">
        <v>207.0</v>
      </c>
      <c r="F186" s="59">
        <v>21.0</v>
      </c>
      <c r="G186" s="57" t="s">
        <v>458</v>
      </c>
      <c r="H186" s="57" t="s">
        <v>974</v>
      </c>
      <c r="I186" s="72">
        <v>8.792786786E9</v>
      </c>
      <c r="J186" s="60" t="s">
        <v>1075</v>
      </c>
      <c r="K186" s="57" t="s">
        <v>444</v>
      </c>
      <c r="L186" s="61"/>
      <c r="M186" s="49"/>
      <c r="N186" s="49"/>
      <c r="O186" s="49"/>
      <c r="P186" s="49"/>
      <c r="Q186" s="49"/>
      <c r="R186" s="49"/>
      <c r="S186" s="49"/>
      <c r="T186" s="49"/>
      <c r="U186" s="49"/>
      <c r="V186" s="49"/>
      <c r="W186" s="49"/>
      <c r="X186" s="49"/>
      <c r="Y186" s="49"/>
      <c r="Z186" s="49"/>
    </row>
    <row r="187" ht="22.5" customHeight="1">
      <c r="A187" s="50">
        <v>45996.49689574074</v>
      </c>
      <c r="B187" s="51" t="s">
        <v>1076</v>
      </c>
      <c r="C187" s="62" t="s">
        <v>1077</v>
      </c>
      <c r="D187" s="51" t="s">
        <v>9</v>
      </c>
      <c r="E187" s="53">
        <v>208.0</v>
      </c>
      <c r="F187" s="53">
        <v>20.0</v>
      </c>
      <c r="G187" s="51" t="s">
        <v>458</v>
      </c>
      <c r="H187" s="51" t="s">
        <v>1078</v>
      </c>
      <c r="I187" s="53">
        <v>9.32112025E9</v>
      </c>
      <c r="J187" s="54" t="s">
        <v>1079</v>
      </c>
      <c r="K187" s="51" t="s">
        <v>444</v>
      </c>
      <c r="L187" s="55"/>
      <c r="M187" s="49"/>
      <c r="N187" s="49"/>
      <c r="O187" s="49"/>
      <c r="P187" s="49"/>
      <c r="Q187" s="49"/>
      <c r="R187" s="49"/>
      <c r="S187" s="49"/>
      <c r="T187" s="49"/>
      <c r="U187" s="49"/>
      <c r="V187" s="49"/>
      <c r="W187" s="49"/>
      <c r="X187" s="49"/>
      <c r="Y187" s="49"/>
      <c r="Z187" s="49"/>
    </row>
    <row r="188" ht="22.5" customHeight="1">
      <c r="A188" s="56">
        <v>46001.808694293984</v>
      </c>
      <c r="B188" s="57" t="s">
        <v>1080</v>
      </c>
      <c r="C188" s="63" t="s">
        <v>1081</v>
      </c>
      <c r="D188" s="57" t="s">
        <v>11</v>
      </c>
      <c r="E188" s="59">
        <v>209.0</v>
      </c>
      <c r="F188" s="59">
        <v>22.0</v>
      </c>
      <c r="G188" s="57" t="s">
        <v>458</v>
      </c>
      <c r="H188" s="57" t="s">
        <v>669</v>
      </c>
      <c r="I188" s="59">
        <v>9.405322004E9</v>
      </c>
      <c r="J188" s="60" t="s">
        <v>1082</v>
      </c>
      <c r="K188" s="57" t="s">
        <v>444</v>
      </c>
      <c r="L188" s="61"/>
      <c r="M188" s="49"/>
      <c r="N188" s="49"/>
      <c r="O188" s="49"/>
      <c r="P188" s="49"/>
      <c r="Q188" s="49"/>
      <c r="R188" s="49"/>
      <c r="S188" s="49"/>
      <c r="T188" s="49"/>
      <c r="U188" s="49"/>
      <c r="V188" s="49"/>
      <c r="W188" s="49"/>
      <c r="X188" s="49"/>
      <c r="Y188" s="49"/>
      <c r="Z188" s="49"/>
    </row>
    <row r="189" ht="22.5" customHeight="1">
      <c r="A189" s="50">
        <v>45996.84922863426</v>
      </c>
      <c r="B189" s="51" t="s">
        <v>1083</v>
      </c>
      <c r="C189" s="62" t="s">
        <v>194</v>
      </c>
      <c r="D189" s="51" t="s">
        <v>5</v>
      </c>
      <c r="E189" s="53">
        <v>211.0</v>
      </c>
      <c r="F189" s="53">
        <v>18.0</v>
      </c>
      <c r="G189" s="51" t="s">
        <v>487</v>
      </c>
      <c r="H189" s="51" t="s">
        <v>1084</v>
      </c>
      <c r="I189" s="53">
        <v>9.97591815E9</v>
      </c>
      <c r="J189" s="54" t="s">
        <v>1085</v>
      </c>
      <c r="K189" s="51" t="s">
        <v>444</v>
      </c>
      <c r="L189" s="55"/>
      <c r="M189" s="49"/>
      <c r="N189" s="49"/>
      <c r="O189" s="49"/>
      <c r="P189" s="49"/>
      <c r="Q189" s="49"/>
      <c r="R189" s="49"/>
      <c r="S189" s="49"/>
      <c r="T189" s="49"/>
      <c r="U189" s="49"/>
      <c r="V189" s="49"/>
      <c r="W189" s="49"/>
      <c r="X189" s="49"/>
      <c r="Y189" s="49"/>
      <c r="Z189" s="49"/>
    </row>
    <row r="190" ht="22.5" customHeight="1">
      <c r="A190" s="56">
        <v>46018.770296041665</v>
      </c>
      <c r="B190" s="57" t="s">
        <v>1086</v>
      </c>
      <c r="C190" s="63" t="s">
        <v>1087</v>
      </c>
      <c r="D190" s="57" t="s">
        <v>7</v>
      </c>
      <c r="E190" s="59">
        <v>212.0</v>
      </c>
      <c r="F190" s="59">
        <v>18.0</v>
      </c>
      <c r="G190" s="57" t="s">
        <v>447</v>
      </c>
      <c r="H190" s="57" t="s">
        <v>1088</v>
      </c>
      <c r="I190" s="59">
        <v>9.112742061E9</v>
      </c>
      <c r="J190" s="60" t="s">
        <v>1089</v>
      </c>
      <c r="K190" s="57" t="s">
        <v>444</v>
      </c>
      <c r="L190" s="61"/>
      <c r="M190" s="49"/>
      <c r="N190" s="49"/>
      <c r="O190" s="49"/>
      <c r="P190" s="49"/>
      <c r="Q190" s="49"/>
      <c r="R190" s="49"/>
      <c r="S190" s="49"/>
      <c r="T190" s="49"/>
      <c r="U190" s="49"/>
      <c r="V190" s="49"/>
      <c r="W190" s="49"/>
      <c r="X190" s="49"/>
      <c r="Y190" s="49"/>
      <c r="Z190" s="49"/>
    </row>
    <row r="191" ht="22.5" customHeight="1">
      <c r="A191" s="50">
        <v>46000.610425625</v>
      </c>
      <c r="B191" s="51" t="s">
        <v>1090</v>
      </c>
      <c r="C191" s="62" t="s">
        <v>1091</v>
      </c>
      <c r="D191" s="51" t="s">
        <v>492</v>
      </c>
      <c r="E191" s="53">
        <v>213.0</v>
      </c>
      <c r="F191" s="53">
        <v>33.0</v>
      </c>
      <c r="G191" s="51" t="s">
        <v>458</v>
      </c>
      <c r="H191" s="51" t="s">
        <v>874</v>
      </c>
      <c r="I191" s="53">
        <v>9.0090155E9</v>
      </c>
      <c r="J191" s="54" t="s">
        <v>1092</v>
      </c>
      <c r="K191" s="51" t="s">
        <v>444</v>
      </c>
      <c r="L191" s="55"/>
      <c r="M191" s="49"/>
      <c r="N191" s="49"/>
      <c r="O191" s="49"/>
      <c r="P191" s="49"/>
      <c r="Q191" s="49"/>
      <c r="R191" s="49"/>
      <c r="S191" s="49"/>
      <c r="T191" s="49"/>
      <c r="U191" s="49"/>
      <c r="V191" s="49"/>
      <c r="W191" s="49"/>
      <c r="X191" s="49"/>
      <c r="Y191" s="49"/>
      <c r="Z191" s="49"/>
    </row>
    <row r="192" ht="22.5" customHeight="1">
      <c r="A192" s="56">
        <v>45999.600022893515</v>
      </c>
      <c r="B192" s="57" t="s">
        <v>1093</v>
      </c>
      <c r="C192" s="63" t="s">
        <v>197</v>
      </c>
      <c r="D192" s="57" t="s">
        <v>11</v>
      </c>
      <c r="E192" s="59">
        <v>214.0</v>
      </c>
      <c r="F192" s="59">
        <v>25.0</v>
      </c>
      <c r="G192" s="57" t="s">
        <v>458</v>
      </c>
      <c r="H192" s="57" t="s">
        <v>1094</v>
      </c>
      <c r="I192" s="59">
        <v>9.484994344E9</v>
      </c>
      <c r="J192" s="60" t="s">
        <v>1095</v>
      </c>
      <c r="K192" s="57" t="s">
        <v>444</v>
      </c>
      <c r="L192" s="61"/>
      <c r="M192" s="49"/>
      <c r="N192" s="49"/>
      <c r="O192" s="49"/>
      <c r="P192" s="49"/>
      <c r="Q192" s="49"/>
      <c r="R192" s="49"/>
      <c r="S192" s="49"/>
      <c r="T192" s="49"/>
      <c r="U192" s="49"/>
      <c r="V192" s="49"/>
      <c r="W192" s="49"/>
      <c r="X192" s="49"/>
      <c r="Y192" s="49"/>
      <c r="Z192" s="49"/>
    </row>
    <row r="193" ht="22.5" customHeight="1">
      <c r="A193" s="50">
        <v>46009.45194612269</v>
      </c>
      <c r="B193" s="51" t="s">
        <v>1096</v>
      </c>
      <c r="C193" s="62" t="s">
        <v>1097</v>
      </c>
      <c r="D193" s="51" t="s">
        <v>13</v>
      </c>
      <c r="E193" s="53">
        <v>405.0</v>
      </c>
      <c r="F193" s="53">
        <v>21.0</v>
      </c>
      <c r="G193" s="51" t="s">
        <v>487</v>
      </c>
      <c r="H193" s="51" t="s">
        <v>1098</v>
      </c>
      <c r="I193" s="53">
        <v>6.261254231E9</v>
      </c>
      <c r="J193" s="54" t="s">
        <v>1099</v>
      </c>
      <c r="K193" s="51" t="s">
        <v>444</v>
      </c>
      <c r="L193" s="55"/>
      <c r="M193" s="49"/>
      <c r="N193" s="49"/>
      <c r="O193" s="49"/>
      <c r="P193" s="49"/>
      <c r="Q193" s="49"/>
      <c r="R193" s="49"/>
      <c r="S193" s="49"/>
      <c r="T193" s="49"/>
      <c r="U193" s="49"/>
      <c r="V193" s="49"/>
      <c r="W193" s="49"/>
      <c r="X193" s="49"/>
      <c r="Y193" s="49"/>
      <c r="Z193" s="49"/>
    </row>
    <row r="194" ht="22.5" customHeight="1">
      <c r="A194" s="56">
        <v>46001.65234143518</v>
      </c>
      <c r="B194" s="57" t="s">
        <v>1100</v>
      </c>
      <c r="C194" s="63" t="s">
        <v>198</v>
      </c>
      <c r="D194" s="57" t="s">
        <v>13</v>
      </c>
      <c r="E194" s="59">
        <v>215.0</v>
      </c>
      <c r="F194" s="59">
        <v>42.0</v>
      </c>
      <c r="G194" s="57" t="s">
        <v>458</v>
      </c>
      <c r="H194" s="57" t="s">
        <v>1101</v>
      </c>
      <c r="I194" s="72">
        <v>9.72546775E9</v>
      </c>
      <c r="J194" s="60" t="s">
        <v>1102</v>
      </c>
      <c r="K194" s="57" t="s">
        <v>444</v>
      </c>
      <c r="L194" s="61"/>
      <c r="M194" s="49"/>
      <c r="N194" s="49"/>
      <c r="O194" s="49"/>
      <c r="P194" s="49"/>
      <c r="Q194" s="49"/>
      <c r="R194" s="49"/>
      <c r="S194" s="49"/>
      <c r="T194" s="49"/>
      <c r="U194" s="49"/>
      <c r="V194" s="49"/>
      <c r="W194" s="49"/>
      <c r="X194" s="49"/>
      <c r="Y194" s="49"/>
      <c r="Z194" s="49"/>
    </row>
    <row r="195" ht="22.5" customHeight="1">
      <c r="A195" s="50">
        <v>45996.65243569444</v>
      </c>
      <c r="B195" s="51" t="s">
        <v>1103</v>
      </c>
      <c r="C195" s="62" t="s">
        <v>1104</v>
      </c>
      <c r="D195" s="51" t="s">
        <v>7</v>
      </c>
      <c r="E195" s="53">
        <v>217.0</v>
      </c>
      <c r="F195" s="53">
        <v>21.0</v>
      </c>
      <c r="G195" s="51" t="s">
        <v>487</v>
      </c>
      <c r="H195" s="51" t="s">
        <v>1105</v>
      </c>
      <c r="I195" s="53">
        <v>8.379892112E9</v>
      </c>
      <c r="J195" s="54" t="s">
        <v>1106</v>
      </c>
      <c r="K195" s="51" t="s">
        <v>444</v>
      </c>
      <c r="L195" s="55"/>
      <c r="M195" s="49"/>
      <c r="N195" s="49"/>
      <c r="O195" s="49"/>
      <c r="P195" s="49"/>
      <c r="Q195" s="49"/>
      <c r="R195" s="49"/>
      <c r="S195" s="49"/>
      <c r="T195" s="49"/>
      <c r="U195" s="49"/>
      <c r="V195" s="49"/>
      <c r="W195" s="49"/>
      <c r="X195" s="49"/>
      <c r="Y195" s="49"/>
      <c r="Z195" s="49"/>
    </row>
    <row r="196" ht="22.5" customHeight="1">
      <c r="A196" s="56">
        <v>45999.371457256944</v>
      </c>
      <c r="B196" s="57" t="s">
        <v>1107</v>
      </c>
      <c r="C196" s="63" t="s">
        <v>199</v>
      </c>
      <c r="D196" s="57" t="s">
        <v>5</v>
      </c>
      <c r="E196" s="59">
        <v>216.0</v>
      </c>
      <c r="F196" s="59">
        <v>28.0</v>
      </c>
      <c r="G196" s="57" t="s">
        <v>447</v>
      </c>
      <c r="H196" s="57" t="s">
        <v>1108</v>
      </c>
      <c r="I196" s="59">
        <v>7.715926558E9</v>
      </c>
      <c r="J196" s="60" t="s">
        <v>1109</v>
      </c>
      <c r="K196" s="57" t="s">
        <v>444</v>
      </c>
      <c r="L196" s="61"/>
      <c r="M196" s="49"/>
      <c r="N196" s="49"/>
      <c r="O196" s="49"/>
      <c r="P196" s="49"/>
      <c r="Q196" s="49"/>
      <c r="R196" s="49"/>
      <c r="S196" s="49"/>
      <c r="T196" s="49"/>
      <c r="U196" s="49"/>
      <c r="V196" s="49"/>
      <c r="W196" s="49"/>
      <c r="X196" s="49"/>
      <c r="Y196" s="49"/>
      <c r="Z196" s="49"/>
    </row>
    <row r="197" ht="22.5" customHeight="1">
      <c r="A197" s="50">
        <v>45996.51197878472</v>
      </c>
      <c r="B197" s="51" t="s">
        <v>1110</v>
      </c>
      <c r="C197" s="62" t="s">
        <v>1111</v>
      </c>
      <c r="D197" s="51" t="s">
        <v>9</v>
      </c>
      <c r="E197" s="53">
        <v>218.0</v>
      </c>
      <c r="F197" s="53">
        <v>25.0</v>
      </c>
      <c r="G197" s="51" t="s">
        <v>487</v>
      </c>
      <c r="H197" s="51" t="s">
        <v>1112</v>
      </c>
      <c r="I197" s="53">
        <v>9.421530838E9</v>
      </c>
      <c r="J197" s="54" t="s">
        <v>1113</v>
      </c>
      <c r="K197" s="51" t="s">
        <v>444</v>
      </c>
      <c r="L197" s="55"/>
      <c r="M197" s="49"/>
      <c r="N197" s="49"/>
      <c r="O197" s="49"/>
      <c r="P197" s="49"/>
      <c r="Q197" s="49"/>
      <c r="R197" s="49"/>
      <c r="S197" s="49"/>
      <c r="T197" s="49"/>
      <c r="U197" s="49"/>
      <c r="V197" s="49"/>
      <c r="W197" s="49"/>
      <c r="X197" s="49"/>
      <c r="Y197" s="49"/>
      <c r="Z197" s="49"/>
    </row>
    <row r="198" ht="22.5" customHeight="1">
      <c r="A198" s="56">
        <v>46001.47274084491</v>
      </c>
      <c r="B198" s="57" t="s">
        <v>1114</v>
      </c>
      <c r="C198" s="63" t="s">
        <v>1115</v>
      </c>
      <c r="D198" s="57" t="s">
        <v>11</v>
      </c>
      <c r="E198" s="59">
        <v>219.0</v>
      </c>
      <c r="F198" s="59">
        <v>25.0</v>
      </c>
      <c r="G198" s="57" t="s">
        <v>441</v>
      </c>
      <c r="H198" s="57" t="s">
        <v>825</v>
      </c>
      <c r="I198" s="59">
        <v>9.322164525E9</v>
      </c>
      <c r="J198" s="60" t="s">
        <v>1116</v>
      </c>
      <c r="K198" s="57" t="s">
        <v>444</v>
      </c>
      <c r="L198" s="61"/>
      <c r="M198" s="49"/>
      <c r="N198" s="49"/>
      <c r="O198" s="49"/>
      <c r="P198" s="49"/>
      <c r="Q198" s="49"/>
      <c r="R198" s="49"/>
      <c r="S198" s="49"/>
      <c r="T198" s="49"/>
      <c r="U198" s="49"/>
      <c r="V198" s="49"/>
      <c r="W198" s="49"/>
      <c r="X198" s="49"/>
      <c r="Y198" s="49"/>
      <c r="Z198" s="49"/>
    </row>
    <row r="199" ht="22.5" customHeight="1">
      <c r="A199" s="50">
        <v>46001.46380358796</v>
      </c>
      <c r="B199" s="51" t="s">
        <v>1117</v>
      </c>
      <c r="C199" s="62" t="s">
        <v>203</v>
      </c>
      <c r="D199" s="51" t="s">
        <v>13</v>
      </c>
      <c r="E199" s="53">
        <v>220.0</v>
      </c>
      <c r="F199" s="53">
        <v>32.0</v>
      </c>
      <c r="G199" s="51" t="s">
        <v>487</v>
      </c>
      <c r="H199" s="51" t="s">
        <v>1118</v>
      </c>
      <c r="I199" s="53">
        <v>9.905734583E9</v>
      </c>
      <c r="J199" s="54" t="s">
        <v>1119</v>
      </c>
      <c r="K199" s="51" t="s">
        <v>444</v>
      </c>
      <c r="L199" s="55"/>
      <c r="M199" s="49"/>
      <c r="N199" s="49"/>
      <c r="O199" s="49"/>
      <c r="P199" s="49"/>
      <c r="Q199" s="49"/>
      <c r="R199" s="49"/>
      <c r="S199" s="49"/>
      <c r="T199" s="49"/>
      <c r="U199" s="49"/>
      <c r="V199" s="49"/>
      <c r="W199" s="49"/>
      <c r="X199" s="49"/>
      <c r="Y199" s="49"/>
      <c r="Z199" s="49"/>
    </row>
    <row r="200" ht="22.5" customHeight="1">
      <c r="A200" s="56">
        <v>45996.59718428241</v>
      </c>
      <c r="B200" s="57" t="s">
        <v>1120</v>
      </c>
      <c r="C200" s="63" t="s">
        <v>1121</v>
      </c>
      <c r="D200" s="57" t="s">
        <v>965</v>
      </c>
      <c r="E200" s="59">
        <v>221.0</v>
      </c>
      <c r="F200" s="59">
        <v>24.0</v>
      </c>
      <c r="G200" s="57" t="s">
        <v>441</v>
      </c>
      <c r="H200" s="57" t="s">
        <v>1122</v>
      </c>
      <c r="I200" s="59">
        <v>9.97598317E9</v>
      </c>
      <c r="J200" s="60" t="s">
        <v>1123</v>
      </c>
      <c r="K200" s="57" t="s">
        <v>444</v>
      </c>
      <c r="L200" s="61"/>
      <c r="M200" s="49"/>
      <c r="N200" s="49"/>
      <c r="O200" s="49"/>
      <c r="P200" s="49"/>
      <c r="Q200" s="49"/>
      <c r="R200" s="49"/>
      <c r="S200" s="49"/>
      <c r="T200" s="49"/>
      <c r="U200" s="49"/>
      <c r="V200" s="49"/>
      <c r="W200" s="49"/>
      <c r="X200" s="49"/>
      <c r="Y200" s="49"/>
      <c r="Z200" s="49"/>
    </row>
    <row r="201" ht="22.5" customHeight="1">
      <c r="A201" s="50">
        <v>45999.57264961806</v>
      </c>
      <c r="B201" s="51" t="s">
        <v>1124</v>
      </c>
      <c r="C201" s="62" t="s">
        <v>208</v>
      </c>
      <c r="D201" s="51" t="s">
        <v>7</v>
      </c>
      <c r="E201" s="53">
        <v>227.0</v>
      </c>
      <c r="F201" s="53">
        <v>22.0</v>
      </c>
      <c r="G201" s="51" t="s">
        <v>458</v>
      </c>
      <c r="H201" s="51" t="s">
        <v>1125</v>
      </c>
      <c r="I201" s="53">
        <v>9.428467102E9</v>
      </c>
      <c r="J201" s="54" t="s">
        <v>1126</v>
      </c>
      <c r="K201" s="51" t="s">
        <v>444</v>
      </c>
      <c r="L201" s="55"/>
      <c r="M201" s="49"/>
      <c r="N201" s="49"/>
      <c r="O201" s="49"/>
      <c r="P201" s="49"/>
      <c r="Q201" s="49"/>
      <c r="R201" s="49"/>
      <c r="S201" s="49"/>
      <c r="T201" s="49"/>
      <c r="U201" s="49"/>
      <c r="V201" s="49"/>
      <c r="W201" s="49"/>
      <c r="X201" s="49"/>
      <c r="Y201" s="49"/>
      <c r="Z201" s="49"/>
    </row>
    <row r="202" ht="22.5" customHeight="1">
      <c r="A202" s="56">
        <v>46000.97039232639</v>
      </c>
      <c r="B202" s="57" t="s">
        <v>1127</v>
      </c>
      <c r="C202" s="63" t="s">
        <v>1128</v>
      </c>
      <c r="D202" s="57" t="s">
        <v>9</v>
      </c>
      <c r="E202" s="59">
        <v>228.0</v>
      </c>
      <c r="F202" s="59">
        <v>27.0</v>
      </c>
      <c r="G202" s="57" t="s">
        <v>487</v>
      </c>
      <c r="H202" s="57" t="s">
        <v>1129</v>
      </c>
      <c r="I202" s="59">
        <v>7.000971478E9</v>
      </c>
      <c r="J202" s="60" t="s">
        <v>1130</v>
      </c>
      <c r="K202" s="57" t="s">
        <v>444</v>
      </c>
      <c r="L202" s="61"/>
      <c r="M202" s="49"/>
      <c r="N202" s="49"/>
      <c r="O202" s="49"/>
      <c r="P202" s="49"/>
      <c r="Q202" s="49"/>
      <c r="R202" s="49"/>
      <c r="S202" s="49"/>
      <c r="T202" s="49"/>
      <c r="U202" s="49"/>
      <c r="V202" s="49"/>
      <c r="W202" s="49"/>
      <c r="X202" s="49"/>
      <c r="Y202" s="49"/>
      <c r="Z202" s="49"/>
    </row>
    <row r="203" ht="22.5" customHeight="1">
      <c r="A203" s="50">
        <v>45996.51507299769</v>
      </c>
      <c r="B203" s="51" t="s">
        <v>1131</v>
      </c>
      <c r="C203" s="62" t="s">
        <v>211</v>
      </c>
      <c r="D203" s="51" t="s">
        <v>13</v>
      </c>
      <c r="E203" s="53">
        <v>230.0</v>
      </c>
      <c r="F203" s="53">
        <v>27.0</v>
      </c>
      <c r="G203" s="51" t="s">
        <v>447</v>
      </c>
      <c r="H203" s="51" t="s">
        <v>1132</v>
      </c>
      <c r="I203" s="53">
        <v>9.329554435E9</v>
      </c>
      <c r="J203" s="54" t="s">
        <v>1133</v>
      </c>
      <c r="K203" s="51" t="s">
        <v>444</v>
      </c>
      <c r="L203" s="55"/>
      <c r="M203" s="49"/>
      <c r="N203" s="49"/>
      <c r="O203" s="49"/>
      <c r="P203" s="49"/>
      <c r="Q203" s="49"/>
      <c r="R203" s="49"/>
      <c r="S203" s="49"/>
      <c r="T203" s="49"/>
      <c r="U203" s="49"/>
      <c r="V203" s="49"/>
      <c r="W203" s="49"/>
      <c r="X203" s="49"/>
      <c r="Y203" s="49"/>
      <c r="Z203" s="49"/>
    </row>
    <row r="204" ht="22.5" customHeight="1">
      <c r="A204" s="56">
        <v>46010.69884040509</v>
      </c>
      <c r="B204" s="57" t="s">
        <v>1134</v>
      </c>
      <c r="C204" s="63" t="s">
        <v>379</v>
      </c>
      <c r="D204" s="57" t="s">
        <v>9</v>
      </c>
      <c r="E204" s="59">
        <v>430.0</v>
      </c>
      <c r="F204" s="59">
        <v>18.0</v>
      </c>
      <c r="G204" s="57" t="s">
        <v>487</v>
      </c>
      <c r="H204" s="57" t="s">
        <v>459</v>
      </c>
      <c r="I204" s="59">
        <v>9.228241495E9</v>
      </c>
      <c r="J204" s="60" t="s">
        <v>1135</v>
      </c>
      <c r="K204" s="57" t="s">
        <v>444</v>
      </c>
      <c r="L204" s="61"/>
      <c r="M204" s="49"/>
      <c r="N204" s="49"/>
      <c r="O204" s="49"/>
      <c r="P204" s="49"/>
      <c r="Q204" s="49"/>
      <c r="R204" s="49"/>
      <c r="S204" s="49"/>
      <c r="T204" s="49"/>
      <c r="U204" s="49"/>
      <c r="V204" s="49"/>
      <c r="W204" s="49"/>
      <c r="X204" s="49"/>
      <c r="Y204" s="49"/>
      <c r="Z204" s="49"/>
    </row>
    <row r="205" ht="22.5" customHeight="1">
      <c r="A205" s="50">
        <v>46002.62256497685</v>
      </c>
      <c r="B205" s="51" t="s">
        <v>1136</v>
      </c>
      <c r="C205" s="62" t="s">
        <v>1137</v>
      </c>
      <c r="D205" s="51" t="s">
        <v>11</v>
      </c>
      <c r="E205" s="53">
        <v>224.0</v>
      </c>
      <c r="F205" s="53">
        <v>25.0</v>
      </c>
      <c r="G205" s="51" t="s">
        <v>447</v>
      </c>
      <c r="H205" s="51" t="s">
        <v>471</v>
      </c>
      <c r="I205" s="53">
        <v>9.975789011E9</v>
      </c>
      <c r="J205" s="54" t="s">
        <v>1138</v>
      </c>
      <c r="K205" s="51" t="s">
        <v>444</v>
      </c>
      <c r="L205" s="55"/>
      <c r="M205" s="49"/>
      <c r="N205" s="49"/>
      <c r="O205" s="49"/>
      <c r="P205" s="49"/>
      <c r="Q205" s="49"/>
      <c r="R205" s="49"/>
      <c r="S205" s="49"/>
      <c r="T205" s="49"/>
      <c r="U205" s="49"/>
      <c r="V205" s="49"/>
      <c r="W205" s="49"/>
      <c r="X205" s="49"/>
      <c r="Y205" s="49"/>
      <c r="Z205" s="49"/>
    </row>
    <row r="206" ht="22.5" customHeight="1">
      <c r="A206" s="56">
        <v>45999.57449349537</v>
      </c>
      <c r="B206" s="57" t="s">
        <v>1139</v>
      </c>
      <c r="C206" s="63" t="s">
        <v>212</v>
      </c>
      <c r="D206" s="57" t="s">
        <v>9</v>
      </c>
      <c r="E206" s="59">
        <v>233.0</v>
      </c>
      <c r="F206" s="59">
        <v>25.0</v>
      </c>
      <c r="G206" s="57" t="s">
        <v>458</v>
      </c>
      <c r="H206" s="57" t="s">
        <v>1140</v>
      </c>
      <c r="I206" s="59">
        <v>8.817613555E9</v>
      </c>
      <c r="J206" s="60" t="s">
        <v>1141</v>
      </c>
      <c r="K206" s="57" t="s">
        <v>444</v>
      </c>
      <c r="L206" s="61"/>
      <c r="M206" s="49"/>
      <c r="N206" s="49"/>
      <c r="O206" s="49"/>
      <c r="P206" s="49"/>
      <c r="Q206" s="49"/>
      <c r="R206" s="49"/>
      <c r="S206" s="49"/>
      <c r="T206" s="49"/>
      <c r="U206" s="49"/>
      <c r="V206" s="49"/>
      <c r="W206" s="49"/>
      <c r="X206" s="49"/>
      <c r="Y206" s="49"/>
      <c r="Z206" s="49"/>
    </row>
    <row r="207" ht="22.5" customHeight="1">
      <c r="A207" s="50">
        <v>45996.54679384259</v>
      </c>
      <c r="B207" s="51" t="s">
        <v>1142</v>
      </c>
      <c r="C207" s="62" t="s">
        <v>1143</v>
      </c>
      <c r="D207" s="51" t="s">
        <v>11</v>
      </c>
      <c r="E207" s="53">
        <v>234.0</v>
      </c>
      <c r="F207" s="53">
        <v>20.0</v>
      </c>
      <c r="G207" s="51" t="s">
        <v>447</v>
      </c>
      <c r="H207" s="51" t="s">
        <v>1144</v>
      </c>
      <c r="I207" s="53">
        <v>9.307688441E9</v>
      </c>
      <c r="J207" s="54" t="s">
        <v>1145</v>
      </c>
      <c r="K207" s="51" t="s">
        <v>444</v>
      </c>
      <c r="L207" s="55"/>
      <c r="M207" s="49"/>
      <c r="N207" s="49"/>
      <c r="O207" s="49"/>
      <c r="P207" s="49"/>
      <c r="Q207" s="49"/>
      <c r="R207" s="49"/>
      <c r="S207" s="49"/>
      <c r="T207" s="49"/>
      <c r="U207" s="49"/>
      <c r="V207" s="49"/>
      <c r="W207" s="49"/>
      <c r="X207" s="49"/>
      <c r="Y207" s="49"/>
      <c r="Z207" s="49"/>
    </row>
    <row r="208" ht="22.5" customHeight="1">
      <c r="A208" s="56">
        <v>45996.53831065972</v>
      </c>
      <c r="B208" s="57" t="s">
        <v>1146</v>
      </c>
      <c r="C208" s="63" t="s">
        <v>214</v>
      </c>
      <c r="D208" s="57" t="s">
        <v>13</v>
      </c>
      <c r="E208" s="59">
        <v>235.0</v>
      </c>
      <c r="F208" s="59">
        <v>19.0</v>
      </c>
      <c r="G208" s="57" t="s">
        <v>458</v>
      </c>
      <c r="H208" s="57" t="s">
        <v>1147</v>
      </c>
      <c r="I208" s="59">
        <v>9.845261337E9</v>
      </c>
      <c r="J208" s="60" t="s">
        <v>1148</v>
      </c>
      <c r="K208" s="57" t="s">
        <v>444</v>
      </c>
      <c r="L208" s="61"/>
      <c r="M208" s="49"/>
      <c r="N208" s="49"/>
      <c r="O208" s="49"/>
      <c r="P208" s="49"/>
      <c r="Q208" s="49"/>
      <c r="R208" s="49"/>
      <c r="S208" s="49"/>
      <c r="T208" s="49"/>
      <c r="U208" s="49"/>
      <c r="V208" s="49"/>
      <c r="W208" s="49"/>
      <c r="X208" s="49"/>
      <c r="Y208" s="49"/>
      <c r="Z208" s="49"/>
    </row>
    <row r="209" ht="22.5" customHeight="1">
      <c r="A209" s="50">
        <v>45999.58841415509</v>
      </c>
      <c r="B209" s="51" t="s">
        <v>1149</v>
      </c>
      <c r="C209" s="62" t="s">
        <v>1150</v>
      </c>
      <c r="D209" s="51" t="s">
        <v>7</v>
      </c>
      <c r="E209" s="53">
        <v>237.0</v>
      </c>
      <c r="F209" s="53">
        <v>31.0</v>
      </c>
      <c r="G209" s="51" t="s">
        <v>441</v>
      </c>
      <c r="H209" s="51" t="s">
        <v>1151</v>
      </c>
      <c r="I209" s="53">
        <v>9.825204301E9</v>
      </c>
      <c r="J209" s="54" t="s">
        <v>1152</v>
      </c>
      <c r="K209" s="51" t="s">
        <v>444</v>
      </c>
      <c r="L209" s="55"/>
      <c r="M209" s="49"/>
      <c r="N209" s="49"/>
      <c r="O209" s="49"/>
      <c r="P209" s="49"/>
      <c r="Q209" s="49"/>
      <c r="R209" s="49"/>
      <c r="S209" s="49"/>
      <c r="T209" s="49"/>
      <c r="U209" s="49"/>
      <c r="V209" s="49"/>
      <c r="W209" s="49"/>
      <c r="X209" s="49"/>
      <c r="Y209" s="49"/>
      <c r="Z209" s="49"/>
    </row>
    <row r="210" ht="22.5" customHeight="1">
      <c r="A210" s="56">
        <v>46006.533814317125</v>
      </c>
      <c r="B210" s="57" t="s">
        <v>1153</v>
      </c>
      <c r="C210" s="63" t="s">
        <v>1154</v>
      </c>
      <c r="D210" s="57" t="s">
        <v>1155</v>
      </c>
      <c r="E210" s="59">
        <v>238.0</v>
      </c>
      <c r="F210" s="59">
        <v>21.0</v>
      </c>
      <c r="G210" s="57" t="s">
        <v>458</v>
      </c>
      <c r="H210" s="57" t="s">
        <v>974</v>
      </c>
      <c r="I210" s="59">
        <v>9.901712989E9</v>
      </c>
      <c r="J210" s="60" t="s">
        <v>1156</v>
      </c>
      <c r="K210" s="57" t="s">
        <v>444</v>
      </c>
      <c r="L210" s="61"/>
      <c r="M210" s="49"/>
      <c r="N210" s="49"/>
      <c r="O210" s="49"/>
      <c r="P210" s="49"/>
      <c r="Q210" s="49"/>
      <c r="R210" s="49"/>
      <c r="S210" s="49"/>
      <c r="T210" s="49"/>
      <c r="U210" s="49"/>
      <c r="V210" s="49"/>
      <c r="W210" s="49"/>
      <c r="X210" s="49"/>
      <c r="Y210" s="49"/>
      <c r="Z210" s="49"/>
    </row>
    <row r="211" ht="22.5" customHeight="1">
      <c r="A211" s="50">
        <v>46013.55886020833</v>
      </c>
      <c r="B211" s="51" t="s">
        <v>1157</v>
      </c>
      <c r="C211" s="62" t="s">
        <v>1158</v>
      </c>
      <c r="D211" s="51" t="s">
        <v>13</v>
      </c>
      <c r="E211" s="53">
        <v>437.0</v>
      </c>
      <c r="F211" s="53">
        <v>22.0</v>
      </c>
      <c r="G211" s="51" t="s">
        <v>441</v>
      </c>
      <c r="H211" s="51" t="s">
        <v>1159</v>
      </c>
      <c r="I211" s="53">
        <v>7.7730736E9</v>
      </c>
      <c r="J211" s="54" t="s">
        <v>1160</v>
      </c>
      <c r="K211" s="51" t="s">
        <v>444</v>
      </c>
      <c r="L211" s="55"/>
      <c r="M211" s="49"/>
      <c r="N211" s="49"/>
      <c r="O211" s="49"/>
      <c r="P211" s="49"/>
      <c r="Q211" s="49"/>
      <c r="R211" s="49"/>
      <c r="S211" s="49"/>
      <c r="T211" s="49"/>
      <c r="U211" s="49"/>
      <c r="V211" s="49"/>
      <c r="W211" s="49"/>
      <c r="X211" s="49"/>
      <c r="Y211" s="49"/>
      <c r="Z211" s="49"/>
    </row>
    <row r="212" ht="22.5" customHeight="1">
      <c r="A212" s="56">
        <v>45996.51880710648</v>
      </c>
      <c r="B212" s="57" t="s">
        <v>1161</v>
      </c>
      <c r="C212" s="63" t="s">
        <v>1162</v>
      </c>
      <c r="D212" s="57" t="s">
        <v>13</v>
      </c>
      <c r="E212" s="59">
        <v>130.0</v>
      </c>
      <c r="F212" s="59">
        <v>18.0</v>
      </c>
      <c r="G212" s="57" t="s">
        <v>458</v>
      </c>
      <c r="H212" s="57" t="s">
        <v>1163</v>
      </c>
      <c r="I212" s="59">
        <v>9.860017215E9</v>
      </c>
      <c r="J212" s="60" t="s">
        <v>1164</v>
      </c>
      <c r="K212" s="57" t="s">
        <v>444</v>
      </c>
      <c r="L212" s="61"/>
      <c r="M212" s="49"/>
      <c r="N212" s="49"/>
      <c r="O212" s="49"/>
      <c r="P212" s="49"/>
      <c r="Q212" s="49"/>
      <c r="R212" s="49"/>
      <c r="S212" s="49"/>
      <c r="T212" s="49"/>
      <c r="U212" s="49"/>
      <c r="V212" s="49"/>
      <c r="W212" s="49"/>
      <c r="X212" s="49"/>
      <c r="Y212" s="49"/>
      <c r="Z212" s="49"/>
    </row>
    <row r="213" ht="22.5" customHeight="1">
      <c r="A213" s="50">
        <v>46001.53041289352</v>
      </c>
      <c r="B213" s="51" t="s">
        <v>1165</v>
      </c>
      <c r="C213" s="62" t="s">
        <v>219</v>
      </c>
      <c r="D213" s="51" t="s">
        <v>9</v>
      </c>
      <c r="E213" s="53">
        <v>243.0</v>
      </c>
      <c r="F213" s="53">
        <v>26.0</v>
      </c>
      <c r="G213" s="51" t="s">
        <v>447</v>
      </c>
      <c r="H213" s="51" t="s">
        <v>1166</v>
      </c>
      <c r="I213" s="65">
        <v>9.82130832E9</v>
      </c>
      <c r="J213" s="54" t="s">
        <v>1167</v>
      </c>
      <c r="K213" s="51" t="s">
        <v>444</v>
      </c>
      <c r="L213" s="55"/>
      <c r="M213" s="49"/>
      <c r="N213" s="49"/>
      <c r="O213" s="49"/>
      <c r="P213" s="49"/>
      <c r="Q213" s="49"/>
      <c r="R213" s="49"/>
      <c r="S213" s="49"/>
      <c r="T213" s="49"/>
      <c r="U213" s="49"/>
      <c r="V213" s="49"/>
      <c r="W213" s="49"/>
      <c r="X213" s="49"/>
      <c r="Y213" s="49"/>
      <c r="Z213" s="49"/>
    </row>
    <row r="214" ht="22.5" customHeight="1">
      <c r="A214" s="56">
        <v>45999.61071820602</v>
      </c>
      <c r="B214" s="57" t="s">
        <v>1168</v>
      </c>
      <c r="C214" s="63" t="s">
        <v>220</v>
      </c>
      <c r="D214" s="57" t="s">
        <v>13</v>
      </c>
      <c r="E214" s="59">
        <v>245.0</v>
      </c>
      <c r="F214" s="59">
        <v>33.0</v>
      </c>
      <c r="G214" s="57" t="s">
        <v>458</v>
      </c>
      <c r="H214" s="57" t="s">
        <v>471</v>
      </c>
      <c r="I214" s="59">
        <v>9.87018105E9</v>
      </c>
      <c r="J214" s="60" t="s">
        <v>1169</v>
      </c>
      <c r="K214" s="57" t="s">
        <v>444</v>
      </c>
      <c r="L214" s="61"/>
      <c r="M214" s="49"/>
      <c r="N214" s="49"/>
      <c r="O214" s="49"/>
      <c r="P214" s="49"/>
      <c r="Q214" s="49"/>
      <c r="R214" s="49"/>
      <c r="S214" s="49"/>
      <c r="T214" s="49"/>
      <c r="U214" s="49"/>
      <c r="V214" s="49"/>
      <c r="W214" s="49"/>
      <c r="X214" s="49"/>
      <c r="Y214" s="49"/>
      <c r="Z214" s="49"/>
    </row>
    <row r="215" ht="22.5" customHeight="1">
      <c r="A215" s="73">
        <v>46007.860932372685</v>
      </c>
      <c r="B215" s="74" t="s">
        <v>1170</v>
      </c>
      <c r="C215" s="75" t="s">
        <v>1171</v>
      </c>
      <c r="D215" s="77" t="s">
        <v>5</v>
      </c>
      <c r="E215" s="76">
        <v>247.0</v>
      </c>
      <c r="F215" s="74">
        <v>17.0</v>
      </c>
      <c r="G215" s="77" t="s">
        <v>447</v>
      </c>
      <c r="H215" s="77" t="s">
        <v>1172</v>
      </c>
      <c r="I215" s="74">
        <v>9.561687799E9</v>
      </c>
      <c r="J215" s="77" t="s">
        <v>1173</v>
      </c>
      <c r="K215" s="77" t="s">
        <v>444</v>
      </c>
      <c r="L215" s="55"/>
      <c r="M215" s="49"/>
      <c r="N215" s="49"/>
      <c r="O215" s="49"/>
      <c r="P215" s="49"/>
      <c r="Q215" s="49"/>
      <c r="R215" s="49"/>
      <c r="S215" s="49"/>
      <c r="T215" s="49"/>
      <c r="U215" s="49"/>
      <c r="V215" s="49"/>
      <c r="W215" s="49"/>
      <c r="X215" s="49"/>
      <c r="Y215" s="49"/>
      <c r="Z215" s="49"/>
    </row>
    <row r="216" ht="22.5" customHeight="1">
      <c r="A216" s="66">
        <v>46001.44810835648</v>
      </c>
      <c r="B216" s="67" t="s">
        <v>1174</v>
      </c>
      <c r="C216" s="68" t="s">
        <v>221</v>
      </c>
      <c r="D216" s="70" t="s">
        <v>5</v>
      </c>
      <c r="E216" s="69">
        <v>246.0</v>
      </c>
      <c r="F216" s="67">
        <v>21.0</v>
      </c>
      <c r="G216" s="70" t="s">
        <v>447</v>
      </c>
      <c r="H216" s="70" t="s">
        <v>471</v>
      </c>
      <c r="I216" s="67">
        <v>8.291183777E9</v>
      </c>
      <c r="J216" s="70" t="s">
        <v>1175</v>
      </c>
      <c r="K216" s="70" t="s">
        <v>444</v>
      </c>
      <c r="L216" s="61"/>
      <c r="M216" s="49"/>
      <c r="N216" s="49"/>
      <c r="O216" s="49"/>
      <c r="P216" s="49"/>
      <c r="Q216" s="49"/>
      <c r="R216" s="49"/>
      <c r="S216" s="49"/>
      <c r="T216" s="49"/>
      <c r="U216" s="49"/>
      <c r="V216" s="49"/>
      <c r="W216" s="49"/>
      <c r="X216" s="49"/>
      <c r="Y216" s="49"/>
      <c r="Z216" s="49"/>
    </row>
    <row r="217" ht="22.5" customHeight="1">
      <c r="A217" s="50">
        <v>46001.48621905093</v>
      </c>
      <c r="B217" s="51" t="s">
        <v>1176</v>
      </c>
      <c r="C217" s="62" t="s">
        <v>223</v>
      </c>
      <c r="D217" s="51" t="s">
        <v>9</v>
      </c>
      <c r="E217" s="53">
        <v>248.0</v>
      </c>
      <c r="F217" s="53">
        <v>24.0</v>
      </c>
      <c r="G217" s="51" t="s">
        <v>447</v>
      </c>
      <c r="H217" s="51" t="s">
        <v>669</v>
      </c>
      <c r="I217" s="53">
        <v>9.423370704E9</v>
      </c>
      <c r="J217" s="54" t="s">
        <v>1177</v>
      </c>
      <c r="K217" s="51" t="s">
        <v>444</v>
      </c>
      <c r="L217" s="55"/>
      <c r="M217" s="49"/>
      <c r="N217" s="49"/>
      <c r="O217" s="49"/>
      <c r="P217" s="49"/>
      <c r="Q217" s="49"/>
      <c r="R217" s="49"/>
      <c r="S217" s="49"/>
      <c r="T217" s="49"/>
      <c r="U217" s="49"/>
      <c r="V217" s="49"/>
      <c r="W217" s="49"/>
      <c r="X217" s="49"/>
      <c r="Y217" s="49"/>
      <c r="Z217" s="49"/>
    </row>
    <row r="218" ht="22.5" customHeight="1">
      <c r="A218" s="56">
        <v>46000.875595624995</v>
      </c>
      <c r="B218" s="57" t="s">
        <v>1178</v>
      </c>
      <c r="C218" s="63" t="s">
        <v>225</v>
      </c>
      <c r="D218" s="57" t="s">
        <v>13</v>
      </c>
      <c r="E218" s="59">
        <v>250.0</v>
      </c>
      <c r="F218" s="59">
        <v>35.0</v>
      </c>
      <c r="G218" s="57" t="s">
        <v>441</v>
      </c>
      <c r="H218" s="57" t="s">
        <v>1179</v>
      </c>
      <c r="I218" s="59">
        <v>9.406860314E9</v>
      </c>
      <c r="J218" s="60" t="s">
        <v>1180</v>
      </c>
      <c r="K218" s="57" t="s">
        <v>444</v>
      </c>
      <c r="L218" s="61"/>
      <c r="M218" s="49"/>
      <c r="N218" s="49"/>
      <c r="O218" s="49"/>
      <c r="P218" s="49"/>
      <c r="Q218" s="49"/>
      <c r="R218" s="49"/>
      <c r="S218" s="49"/>
      <c r="T218" s="49"/>
      <c r="U218" s="49"/>
      <c r="V218" s="49"/>
      <c r="W218" s="49"/>
      <c r="X218" s="49"/>
      <c r="Y218" s="49"/>
      <c r="Z218" s="49"/>
    </row>
    <row r="219" ht="22.5" customHeight="1">
      <c r="A219" s="50">
        <v>45998.789471944445</v>
      </c>
      <c r="B219" s="51" t="s">
        <v>1181</v>
      </c>
      <c r="C219" s="62" t="s">
        <v>226</v>
      </c>
      <c r="D219" s="51" t="s">
        <v>965</v>
      </c>
      <c r="E219" s="53">
        <v>251.0</v>
      </c>
      <c r="F219" s="53">
        <v>30.0</v>
      </c>
      <c r="G219" s="51" t="s">
        <v>447</v>
      </c>
      <c r="H219" s="51" t="s">
        <v>669</v>
      </c>
      <c r="I219" s="53">
        <v>8.097900893E9</v>
      </c>
      <c r="J219" s="54" t="s">
        <v>1182</v>
      </c>
      <c r="K219" s="51" t="s">
        <v>444</v>
      </c>
      <c r="L219" s="55"/>
      <c r="M219" s="49"/>
      <c r="N219" s="49"/>
      <c r="O219" s="49"/>
      <c r="P219" s="49"/>
      <c r="Q219" s="49"/>
      <c r="R219" s="49"/>
      <c r="S219" s="49"/>
      <c r="T219" s="49"/>
      <c r="U219" s="49"/>
      <c r="V219" s="49"/>
      <c r="W219" s="49"/>
      <c r="X219" s="49"/>
      <c r="Y219" s="49"/>
      <c r="Z219" s="49"/>
    </row>
    <row r="220" ht="22.5" customHeight="1">
      <c r="A220" s="56">
        <v>46009.41253483796</v>
      </c>
      <c r="B220" s="57" t="s">
        <v>1183</v>
      </c>
      <c r="C220" s="63" t="s">
        <v>1184</v>
      </c>
      <c r="D220" s="57" t="s">
        <v>9</v>
      </c>
      <c r="E220" s="59">
        <v>253.0</v>
      </c>
      <c r="F220" s="59">
        <v>20.0</v>
      </c>
      <c r="G220" s="57" t="s">
        <v>447</v>
      </c>
      <c r="H220" s="57" t="s">
        <v>544</v>
      </c>
      <c r="I220" s="59">
        <v>9.926133308E9</v>
      </c>
      <c r="J220" s="60" t="s">
        <v>1185</v>
      </c>
      <c r="K220" s="57" t="s">
        <v>444</v>
      </c>
      <c r="L220" s="61"/>
      <c r="M220" s="49"/>
      <c r="N220" s="49"/>
      <c r="O220" s="49"/>
      <c r="P220" s="49"/>
      <c r="Q220" s="49"/>
      <c r="R220" s="49"/>
      <c r="S220" s="49"/>
      <c r="T220" s="49"/>
      <c r="U220" s="49"/>
      <c r="V220" s="49"/>
      <c r="W220" s="49"/>
      <c r="X220" s="49"/>
      <c r="Y220" s="49"/>
      <c r="Z220" s="49"/>
    </row>
    <row r="221" ht="22.5" customHeight="1">
      <c r="A221" s="50">
        <v>46000.76948069445</v>
      </c>
      <c r="B221" s="51" t="s">
        <v>1186</v>
      </c>
      <c r="C221" s="62" t="s">
        <v>1187</v>
      </c>
      <c r="D221" s="51" t="s">
        <v>11</v>
      </c>
      <c r="E221" s="53">
        <v>254.0</v>
      </c>
      <c r="F221" s="53">
        <v>24.0</v>
      </c>
      <c r="G221" s="51" t="s">
        <v>441</v>
      </c>
      <c r="H221" s="51" t="s">
        <v>1188</v>
      </c>
      <c r="I221" s="53">
        <v>9.845614785E9</v>
      </c>
      <c r="J221" s="54" t="s">
        <v>1189</v>
      </c>
      <c r="K221" s="51" t="s">
        <v>444</v>
      </c>
      <c r="L221" s="55"/>
      <c r="M221" s="49"/>
      <c r="N221" s="49"/>
      <c r="O221" s="49"/>
      <c r="P221" s="49"/>
      <c r="Q221" s="49"/>
      <c r="R221" s="49"/>
      <c r="S221" s="49"/>
      <c r="T221" s="49"/>
      <c r="U221" s="49"/>
      <c r="V221" s="49"/>
      <c r="W221" s="49"/>
      <c r="X221" s="49"/>
      <c r="Y221" s="49"/>
      <c r="Z221" s="49"/>
    </row>
    <row r="222" ht="22.5" customHeight="1">
      <c r="A222" s="56">
        <v>45996.503734618054</v>
      </c>
      <c r="B222" s="57" t="s">
        <v>1190</v>
      </c>
      <c r="C222" s="63" t="s">
        <v>1191</v>
      </c>
      <c r="D222" s="57" t="s">
        <v>13</v>
      </c>
      <c r="E222" s="59">
        <v>255.0</v>
      </c>
      <c r="F222" s="59">
        <v>23.0</v>
      </c>
      <c r="G222" s="57" t="s">
        <v>447</v>
      </c>
      <c r="H222" s="57" t="s">
        <v>442</v>
      </c>
      <c r="I222" s="59">
        <v>9.0393428E9</v>
      </c>
      <c r="J222" s="60" t="s">
        <v>1192</v>
      </c>
      <c r="K222" s="57" t="s">
        <v>444</v>
      </c>
      <c r="L222" s="61"/>
      <c r="M222" s="49"/>
      <c r="N222" s="49"/>
      <c r="O222" s="49"/>
      <c r="P222" s="49"/>
      <c r="Q222" s="49"/>
      <c r="R222" s="49"/>
      <c r="S222" s="49"/>
      <c r="T222" s="49"/>
      <c r="U222" s="49"/>
      <c r="V222" s="49"/>
      <c r="W222" s="49"/>
      <c r="X222" s="49"/>
      <c r="Y222" s="49"/>
      <c r="Z222" s="49"/>
    </row>
    <row r="223" ht="22.5" customHeight="1">
      <c r="A223" s="73">
        <v>46001.70398318287</v>
      </c>
      <c r="B223" s="74" t="s">
        <v>1193</v>
      </c>
      <c r="C223" s="75" t="s">
        <v>1194</v>
      </c>
      <c r="D223" s="77" t="s">
        <v>5</v>
      </c>
      <c r="E223" s="76">
        <v>256.0</v>
      </c>
      <c r="F223" s="74">
        <v>21.0</v>
      </c>
      <c r="G223" s="77" t="s">
        <v>487</v>
      </c>
      <c r="H223" s="77" t="s">
        <v>1195</v>
      </c>
      <c r="I223" s="74">
        <v>9.829188428E9</v>
      </c>
      <c r="J223" s="77" t="s">
        <v>1196</v>
      </c>
      <c r="K223" s="77" t="s">
        <v>444</v>
      </c>
      <c r="L223" s="55"/>
      <c r="M223" s="49"/>
      <c r="N223" s="49"/>
      <c r="O223" s="49"/>
      <c r="P223" s="49"/>
      <c r="Q223" s="49"/>
      <c r="R223" s="49"/>
      <c r="S223" s="49"/>
      <c r="T223" s="49"/>
      <c r="U223" s="49"/>
      <c r="V223" s="49"/>
      <c r="W223" s="49"/>
      <c r="X223" s="49"/>
      <c r="Y223" s="49"/>
      <c r="Z223" s="49"/>
    </row>
    <row r="224" ht="22.5" customHeight="1">
      <c r="A224" s="56">
        <v>45999.61900662037</v>
      </c>
      <c r="B224" s="57" t="s">
        <v>1197</v>
      </c>
      <c r="C224" s="63" t="s">
        <v>1198</v>
      </c>
      <c r="D224" s="57" t="s">
        <v>7</v>
      </c>
      <c r="E224" s="59">
        <v>257.0</v>
      </c>
      <c r="F224" s="59">
        <v>20.0</v>
      </c>
      <c r="G224" s="57" t="s">
        <v>447</v>
      </c>
      <c r="H224" s="57" t="s">
        <v>669</v>
      </c>
      <c r="I224" s="59">
        <v>9.370005328E9</v>
      </c>
      <c r="J224" s="60" t="s">
        <v>1199</v>
      </c>
      <c r="K224" s="57" t="s">
        <v>444</v>
      </c>
      <c r="L224" s="61"/>
      <c r="M224" s="49"/>
      <c r="N224" s="49"/>
      <c r="O224" s="49"/>
      <c r="P224" s="49"/>
      <c r="Q224" s="49"/>
      <c r="R224" s="49"/>
      <c r="S224" s="49"/>
      <c r="T224" s="49"/>
      <c r="U224" s="49"/>
      <c r="V224" s="49"/>
      <c r="W224" s="49"/>
      <c r="X224" s="49"/>
      <c r="Y224" s="49"/>
      <c r="Z224" s="49"/>
    </row>
    <row r="225" ht="22.5" customHeight="1">
      <c r="A225" s="50">
        <v>46002.30598422454</v>
      </c>
      <c r="B225" s="51" t="s">
        <v>1200</v>
      </c>
      <c r="C225" s="62" t="s">
        <v>232</v>
      </c>
      <c r="D225" s="51" t="s">
        <v>9</v>
      </c>
      <c r="E225" s="53">
        <v>258.0</v>
      </c>
      <c r="F225" s="53">
        <v>19.0</v>
      </c>
      <c r="G225" s="51" t="s">
        <v>458</v>
      </c>
      <c r="H225" s="51" t="s">
        <v>623</v>
      </c>
      <c r="I225" s="65">
        <v>7.026705657E9</v>
      </c>
      <c r="J225" s="54" t="s">
        <v>1201</v>
      </c>
      <c r="K225" s="51" t="s">
        <v>444</v>
      </c>
      <c r="L225" s="55"/>
      <c r="M225" s="49"/>
      <c r="N225" s="49"/>
      <c r="O225" s="49"/>
      <c r="P225" s="49"/>
      <c r="Q225" s="49"/>
      <c r="R225" s="49"/>
      <c r="S225" s="49"/>
      <c r="T225" s="49"/>
      <c r="U225" s="49"/>
      <c r="V225" s="49"/>
      <c r="W225" s="49"/>
      <c r="X225" s="49"/>
      <c r="Y225" s="49"/>
      <c r="Z225" s="49"/>
    </row>
    <row r="226" ht="22.5" customHeight="1">
      <c r="A226" s="56">
        <v>45996.97488725695</v>
      </c>
      <c r="B226" s="57" t="s">
        <v>1202</v>
      </c>
      <c r="C226" s="63" t="s">
        <v>1203</v>
      </c>
      <c r="D226" s="57" t="s">
        <v>5</v>
      </c>
      <c r="E226" s="59">
        <v>261.0</v>
      </c>
      <c r="F226" s="59">
        <v>23.0</v>
      </c>
      <c r="G226" s="57" t="s">
        <v>458</v>
      </c>
      <c r="H226" s="57" t="s">
        <v>1204</v>
      </c>
      <c r="I226" s="59">
        <v>9.323017046E9</v>
      </c>
      <c r="J226" s="60" t="s">
        <v>1205</v>
      </c>
      <c r="K226" s="57" t="s">
        <v>444</v>
      </c>
      <c r="L226" s="61"/>
      <c r="M226" s="49"/>
      <c r="N226" s="49"/>
      <c r="O226" s="49"/>
      <c r="P226" s="49"/>
      <c r="Q226" s="49"/>
      <c r="R226" s="49"/>
      <c r="S226" s="49"/>
      <c r="T226" s="49"/>
      <c r="U226" s="49"/>
      <c r="V226" s="49"/>
      <c r="W226" s="49"/>
      <c r="X226" s="49"/>
      <c r="Y226" s="49"/>
      <c r="Z226" s="49"/>
    </row>
    <row r="227" ht="22.5" customHeight="1">
      <c r="A227" s="50">
        <v>45996.79608540509</v>
      </c>
      <c r="B227" s="51" t="s">
        <v>1206</v>
      </c>
      <c r="C227" s="62" t="s">
        <v>235</v>
      </c>
      <c r="D227" s="51" t="s">
        <v>7</v>
      </c>
      <c r="E227" s="53">
        <v>262.0</v>
      </c>
      <c r="F227" s="53">
        <v>18.0</v>
      </c>
      <c r="G227" s="51" t="s">
        <v>441</v>
      </c>
      <c r="H227" s="51" t="s">
        <v>1207</v>
      </c>
      <c r="I227" s="53">
        <v>8.770882819E9</v>
      </c>
      <c r="J227" s="54" t="s">
        <v>1208</v>
      </c>
      <c r="K227" s="51" t="s">
        <v>444</v>
      </c>
      <c r="L227" s="55"/>
      <c r="M227" s="49"/>
      <c r="N227" s="49"/>
      <c r="O227" s="49"/>
      <c r="P227" s="49"/>
      <c r="Q227" s="49"/>
      <c r="R227" s="49"/>
      <c r="S227" s="49"/>
      <c r="T227" s="49"/>
      <c r="U227" s="49"/>
      <c r="V227" s="49"/>
      <c r="W227" s="49"/>
      <c r="X227" s="49"/>
      <c r="Y227" s="49"/>
      <c r="Z227" s="49"/>
    </row>
    <row r="228" ht="22.5" customHeight="1">
      <c r="A228" s="56">
        <v>45997.704864687505</v>
      </c>
      <c r="B228" s="57" t="s">
        <v>1209</v>
      </c>
      <c r="C228" s="63" t="s">
        <v>237</v>
      </c>
      <c r="D228" s="57" t="s">
        <v>11</v>
      </c>
      <c r="E228" s="59">
        <v>264.0</v>
      </c>
      <c r="F228" s="59">
        <v>14.0</v>
      </c>
      <c r="G228" s="57" t="s">
        <v>447</v>
      </c>
      <c r="H228" s="57" t="s">
        <v>1210</v>
      </c>
      <c r="I228" s="59">
        <v>9.71291323E9</v>
      </c>
      <c r="J228" s="60" t="s">
        <v>1211</v>
      </c>
      <c r="K228" s="57" t="s">
        <v>444</v>
      </c>
      <c r="L228" s="61"/>
      <c r="M228" s="49"/>
      <c r="N228" s="49"/>
      <c r="O228" s="49"/>
      <c r="P228" s="49"/>
      <c r="Q228" s="49"/>
      <c r="R228" s="49"/>
      <c r="S228" s="49"/>
      <c r="T228" s="49"/>
      <c r="U228" s="49"/>
      <c r="V228" s="49"/>
      <c r="W228" s="49"/>
      <c r="X228" s="49"/>
      <c r="Y228" s="49"/>
      <c r="Z228" s="49"/>
    </row>
    <row r="229" ht="22.5" customHeight="1">
      <c r="A229" s="50">
        <v>45998.98395972222</v>
      </c>
      <c r="B229" s="51" t="s">
        <v>1212</v>
      </c>
      <c r="C229" s="62" t="s">
        <v>1213</v>
      </c>
      <c r="D229" s="51" t="s">
        <v>13</v>
      </c>
      <c r="E229" s="53">
        <v>265.0</v>
      </c>
      <c r="F229" s="53">
        <v>46.0</v>
      </c>
      <c r="G229" s="51" t="s">
        <v>447</v>
      </c>
      <c r="H229" s="51" t="s">
        <v>673</v>
      </c>
      <c r="I229" s="53">
        <v>9.824379449E9</v>
      </c>
      <c r="J229" s="54" t="s">
        <v>1214</v>
      </c>
      <c r="K229" s="51" t="s">
        <v>444</v>
      </c>
      <c r="L229" s="55"/>
      <c r="M229" s="49"/>
      <c r="N229" s="49"/>
      <c r="O229" s="49"/>
      <c r="P229" s="49"/>
      <c r="Q229" s="49"/>
      <c r="R229" s="49"/>
      <c r="S229" s="49"/>
      <c r="T229" s="49"/>
      <c r="U229" s="49"/>
      <c r="V229" s="49"/>
      <c r="W229" s="49"/>
      <c r="X229" s="49"/>
      <c r="Y229" s="49"/>
      <c r="Z229" s="49"/>
    </row>
    <row r="230" ht="22.5" customHeight="1">
      <c r="A230" s="56">
        <v>46000.62712755787</v>
      </c>
      <c r="B230" s="57" t="s">
        <v>1215</v>
      </c>
      <c r="C230" s="63" t="s">
        <v>1216</v>
      </c>
      <c r="D230" s="57" t="s">
        <v>965</v>
      </c>
      <c r="E230" s="59">
        <v>266.0</v>
      </c>
      <c r="F230" s="59">
        <v>20.0</v>
      </c>
      <c r="G230" s="57" t="s">
        <v>447</v>
      </c>
      <c r="H230" s="57" t="s">
        <v>1217</v>
      </c>
      <c r="I230" s="59">
        <v>9.360628001E9</v>
      </c>
      <c r="J230" s="60" t="s">
        <v>1218</v>
      </c>
      <c r="K230" s="57" t="s">
        <v>444</v>
      </c>
      <c r="L230" s="61"/>
      <c r="M230" s="49"/>
      <c r="N230" s="49"/>
      <c r="O230" s="49"/>
      <c r="P230" s="49"/>
      <c r="Q230" s="49"/>
      <c r="R230" s="49"/>
      <c r="S230" s="49"/>
      <c r="T230" s="49"/>
      <c r="U230" s="49"/>
      <c r="V230" s="49"/>
      <c r="W230" s="49"/>
      <c r="X230" s="49"/>
      <c r="Y230" s="49"/>
      <c r="Z230" s="49"/>
    </row>
    <row r="231" ht="22.5" customHeight="1">
      <c r="A231" s="50">
        <v>46008.84449592592</v>
      </c>
      <c r="B231" s="51" t="s">
        <v>1219</v>
      </c>
      <c r="C231" s="62" t="s">
        <v>1220</v>
      </c>
      <c r="D231" s="51" t="s">
        <v>7</v>
      </c>
      <c r="E231" s="53">
        <v>182.0</v>
      </c>
      <c r="F231" s="53">
        <v>16.0</v>
      </c>
      <c r="G231" s="51" t="s">
        <v>441</v>
      </c>
      <c r="H231" s="51" t="s">
        <v>1221</v>
      </c>
      <c r="I231" s="53">
        <v>9.829551757E9</v>
      </c>
      <c r="J231" s="54" t="s">
        <v>1222</v>
      </c>
      <c r="K231" s="51" t="s">
        <v>444</v>
      </c>
      <c r="L231" s="55"/>
      <c r="M231" s="49"/>
      <c r="N231" s="49"/>
      <c r="O231" s="49"/>
      <c r="P231" s="49"/>
      <c r="Q231" s="49"/>
      <c r="R231" s="49"/>
      <c r="S231" s="49"/>
      <c r="T231" s="49"/>
      <c r="U231" s="49"/>
      <c r="V231" s="49"/>
      <c r="W231" s="49"/>
      <c r="X231" s="49"/>
      <c r="Y231" s="49"/>
      <c r="Z231" s="49"/>
    </row>
    <row r="232" ht="22.5" customHeight="1">
      <c r="A232" s="56">
        <v>46012.778389432875</v>
      </c>
      <c r="B232" s="57" t="s">
        <v>1223</v>
      </c>
      <c r="C232" s="63" t="s">
        <v>1224</v>
      </c>
      <c r="D232" s="57" t="s">
        <v>5</v>
      </c>
      <c r="E232" s="59">
        <v>443.0</v>
      </c>
      <c r="F232" s="59">
        <v>20.0</v>
      </c>
      <c r="G232" s="57" t="s">
        <v>458</v>
      </c>
      <c r="H232" s="57" t="s">
        <v>1225</v>
      </c>
      <c r="I232" s="59">
        <v>9.039339725E9</v>
      </c>
      <c r="J232" s="60" t="s">
        <v>1226</v>
      </c>
      <c r="K232" s="57" t="s">
        <v>444</v>
      </c>
      <c r="L232" s="61"/>
      <c r="M232" s="49"/>
      <c r="N232" s="49"/>
      <c r="O232" s="49"/>
      <c r="P232" s="49"/>
      <c r="Q232" s="49"/>
      <c r="R232" s="49"/>
      <c r="S232" s="49"/>
      <c r="T232" s="49"/>
      <c r="U232" s="49"/>
      <c r="V232" s="49"/>
      <c r="W232" s="49"/>
      <c r="X232" s="49"/>
      <c r="Y232" s="49"/>
      <c r="Z232" s="49"/>
    </row>
    <row r="233" ht="22.5" customHeight="1">
      <c r="A233" s="50">
        <v>46019.51379442129</v>
      </c>
      <c r="B233" s="51" t="s">
        <v>1227</v>
      </c>
      <c r="C233" s="62" t="s">
        <v>1228</v>
      </c>
      <c r="D233" s="51" t="s">
        <v>5</v>
      </c>
      <c r="E233" s="53">
        <v>271.0</v>
      </c>
      <c r="F233" s="53">
        <v>25.0</v>
      </c>
      <c r="G233" s="51" t="s">
        <v>487</v>
      </c>
      <c r="H233" s="51" t="s">
        <v>1132</v>
      </c>
      <c r="I233" s="53">
        <v>7.000648072E9</v>
      </c>
      <c r="J233" s="54" t="s">
        <v>1229</v>
      </c>
      <c r="K233" s="51" t="s">
        <v>444</v>
      </c>
      <c r="L233" s="55"/>
      <c r="M233" s="49"/>
      <c r="N233" s="49"/>
      <c r="O233" s="49"/>
      <c r="P233" s="49"/>
      <c r="Q233" s="49"/>
      <c r="R233" s="49"/>
      <c r="S233" s="49"/>
      <c r="T233" s="49"/>
      <c r="U233" s="49"/>
      <c r="V233" s="49"/>
      <c r="W233" s="49"/>
      <c r="X233" s="49"/>
      <c r="Y233" s="49"/>
      <c r="Z233" s="49"/>
    </row>
    <row r="234" ht="22.5" customHeight="1">
      <c r="A234" s="56">
        <v>45996.70722253472</v>
      </c>
      <c r="B234" s="57" t="s">
        <v>1230</v>
      </c>
      <c r="C234" s="63" t="s">
        <v>1231</v>
      </c>
      <c r="D234" s="57" t="s">
        <v>9</v>
      </c>
      <c r="E234" s="59">
        <v>273.0</v>
      </c>
      <c r="F234" s="59">
        <v>32.0</v>
      </c>
      <c r="G234" s="57" t="s">
        <v>447</v>
      </c>
      <c r="H234" s="57" t="s">
        <v>900</v>
      </c>
      <c r="I234" s="59">
        <v>7.879097104E9</v>
      </c>
      <c r="J234" s="60" t="s">
        <v>1232</v>
      </c>
      <c r="K234" s="57" t="s">
        <v>444</v>
      </c>
      <c r="L234" s="61"/>
      <c r="M234" s="49"/>
      <c r="N234" s="49"/>
      <c r="O234" s="49"/>
      <c r="P234" s="49"/>
      <c r="Q234" s="49"/>
      <c r="R234" s="49"/>
      <c r="S234" s="49"/>
      <c r="T234" s="49"/>
      <c r="U234" s="49"/>
      <c r="V234" s="49"/>
      <c r="W234" s="49"/>
      <c r="X234" s="49"/>
      <c r="Y234" s="49"/>
      <c r="Z234" s="49"/>
    </row>
    <row r="235" ht="22.5" customHeight="1">
      <c r="A235" s="50">
        <v>45996.51835950231</v>
      </c>
      <c r="B235" s="51" t="s">
        <v>1233</v>
      </c>
      <c r="C235" s="62" t="s">
        <v>1234</v>
      </c>
      <c r="D235" s="51" t="s">
        <v>7</v>
      </c>
      <c r="E235" s="53">
        <v>272.0</v>
      </c>
      <c r="F235" s="53">
        <v>20.0</v>
      </c>
      <c r="G235" s="51" t="s">
        <v>458</v>
      </c>
      <c r="H235" s="51" t="s">
        <v>471</v>
      </c>
      <c r="I235" s="53">
        <v>9.321557778E9</v>
      </c>
      <c r="J235" s="54" t="s">
        <v>1235</v>
      </c>
      <c r="K235" s="51" t="s">
        <v>444</v>
      </c>
      <c r="L235" s="55"/>
      <c r="M235" s="49"/>
      <c r="N235" s="49"/>
      <c r="O235" s="49"/>
      <c r="P235" s="49"/>
      <c r="Q235" s="49"/>
      <c r="R235" s="49"/>
      <c r="S235" s="49"/>
      <c r="T235" s="49"/>
      <c r="U235" s="49"/>
      <c r="V235" s="49"/>
      <c r="W235" s="49"/>
      <c r="X235" s="49"/>
      <c r="Y235" s="49"/>
      <c r="Z235" s="49"/>
    </row>
    <row r="236" ht="22.5" customHeight="1">
      <c r="A236" s="66">
        <v>46007.55024460648</v>
      </c>
      <c r="B236" s="67" t="s">
        <v>1236</v>
      </c>
      <c r="C236" s="68" t="s">
        <v>1237</v>
      </c>
      <c r="D236" s="67">
        <v>399.0</v>
      </c>
      <c r="E236" s="69">
        <v>399.0</v>
      </c>
      <c r="F236" s="67">
        <v>26.0</v>
      </c>
      <c r="G236" s="70" t="s">
        <v>487</v>
      </c>
      <c r="H236" s="70" t="s">
        <v>466</v>
      </c>
      <c r="I236" s="67">
        <v>8.839742689E9</v>
      </c>
      <c r="J236" s="70" t="s">
        <v>1238</v>
      </c>
      <c r="K236" s="70" t="s">
        <v>444</v>
      </c>
      <c r="L236" s="61"/>
      <c r="M236" s="49"/>
      <c r="N236" s="49"/>
      <c r="O236" s="49"/>
      <c r="P236" s="49"/>
      <c r="Q236" s="49"/>
      <c r="R236" s="49"/>
      <c r="S236" s="49"/>
      <c r="T236" s="49"/>
      <c r="U236" s="49"/>
      <c r="V236" s="49"/>
      <c r="W236" s="49"/>
      <c r="X236" s="49"/>
      <c r="Y236" s="49"/>
      <c r="Z236" s="49"/>
    </row>
    <row r="237" ht="22.5" customHeight="1">
      <c r="A237" s="50">
        <v>45996.519477905094</v>
      </c>
      <c r="B237" s="51" t="s">
        <v>1239</v>
      </c>
      <c r="C237" s="62" t="s">
        <v>245</v>
      </c>
      <c r="D237" s="51" t="s">
        <v>11</v>
      </c>
      <c r="E237" s="53">
        <v>274.0</v>
      </c>
      <c r="F237" s="53">
        <v>22.0</v>
      </c>
      <c r="G237" s="51" t="s">
        <v>441</v>
      </c>
      <c r="H237" s="51" t="s">
        <v>1240</v>
      </c>
      <c r="I237" s="53">
        <v>7.737162264E9</v>
      </c>
      <c r="J237" s="54" t="s">
        <v>1241</v>
      </c>
      <c r="K237" s="51" t="s">
        <v>444</v>
      </c>
      <c r="L237" s="55"/>
      <c r="M237" s="49"/>
      <c r="N237" s="49"/>
      <c r="O237" s="49"/>
      <c r="P237" s="49"/>
      <c r="Q237" s="49"/>
      <c r="R237" s="49"/>
      <c r="S237" s="49"/>
      <c r="T237" s="49"/>
      <c r="U237" s="49"/>
      <c r="V237" s="49"/>
      <c r="W237" s="49"/>
      <c r="X237" s="49"/>
      <c r="Y237" s="49"/>
      <c r="Z237" s="49"/>
    </row>
    <row r="238" ht="22.5" customHeight="1">
      <c r="A238" s="56">
        <v>45996.56007762731</v>
      </c>
      <c r="B238" s="57" t="s">
        <v>1242</v>
      </c>
      <c r="C238" s="63" t="s">
        <v>1243</v>
      </c>
      <c r="D238" s="57" t="s">
        <v>9</v>
      </c>
      <c r="E238" s="59">
        <v>278.0</v>
      </c>
      <c r="F238" s="59">
        <v>25.0</v>
      </c>
      <c r="G238" s="57" t="s">
        <v>458</v>
      </c>
      <c r="H238" s="57" t="s">
        <v>1244</v>
      </c>
      <c r="I238" s="59">
        <v>9.58985187E9</v>
      </c>
      <c r="J238" s="60" t="s">
        <v>1245</v>
      </c>
      <c r="K238" s="57" t="s">
        <v>444</v>
      </c>
      <c r="L238" s="61"/>
      <c r="M238" s="49"/>
      <c r="N238" s="49"/>
      <c r="O238" s="49"/>
      <c r="P238" s="49"/>
      <c r="Q238" s="49"/>
      <c r="R238" s="49"/>
      <c r="S238" s="49"/>
      <c r="T238" s="49"/>
      <c r="U238" s="49"/>
      <c r="V238" s="49"/>
      <c r="W238" s="49"/>
      <c r="X238" s="49"/>
      <c r="Y238" s="49"/>
      <c r="Z238" s="49"/>
    </row>
    <row r="239" ht="22.5" customHeight="1">
      <c r="A239" s="50">
        <v>46001.91856972223</v>
      </c>
      <c r="B239" s="51" t="s">
        <v>1246</v>
      </c>
      <c r="C239" s="62" t="s">
        <v>247</v>
      </c>
      <c r="D239" s="51" t="s">
        <v>11</v>
      </c>
      <c r="E239" s="53">
        <v>279.0</v>
      </c>
      <c r="F239" s="53">
        <v>21.0</v>
      </c>
      <c r="G239" s="51" t="s">
        <v>458</v>
      </c>
      <c r="H239" s="51" t="s">
        <v>1247</v>
      </c>
      <c r="I239" s="53">
        <v>9.822500319E9</v>
      </c>
      <c r="J239" s="54" t="s">
        <v>1248</v>
      </c>
      <c r="K239" s="51" t="s">
        <v>444</v>
      </c>
      <c r="L239" s="55"/>
      <c r="M239" s="49"/>
      <c r="N239" s="49"/>
      <c r="O239" s="49"/>
      <c r="P239" s="49"/>
      <c r="Q239" s="49"/>
      <c r="R239" s="49"/>
      <c r="S239" s="49"/>
      <c r="T239" s="49"/>
      <c r="U239" s="49"/>
      <c r="V239" s="49"/>
      <c r="W239" s="49"/>
      <c r="X239" s="49"/>
      <c r="Y239" s="49"/>
      <c r="Z239" s="49"/>
    </row>
    <row r="240" ht="22.5" customHeight="1">
      <c r="A240" s="56">
        <v>45997.530132037034</v>
      </c>
      <c r="B240" s="57" t="s">
        <v>1249</v>
      </c>
      <c r="C240" s="63" t="s">
        <v>1250</v>
      </c>
      <c r="D240" s="57" t="s">
        <v>7</v>
      </c>
      <c r="E240" s="59">
        <v>282.0</v>
      </c>
      <c r="F240" s="59">
        <v>23.0</v>
      </c>
      <c r="G240" s="57" t="s">
        <v>447</v>
      </c>
      <c r="H240" s="57" t="s">
        <v>448</v>
      </c>
      <c r="I240" s="59">
        <v>9.324834354E9</v>
      </c>
      <c r="J240" s="60" t="s">
        <v>1251</v>
      </c>
      <c r="K240" s="57" t="s">
        <v>444</v>
      </c>
      <c r="L240" s="61"/>
      <c r="M240" s="49"/>
      <c r="N240" s="49"/>
      <c r="O240" s="49"/>
      <c r="P240" s="49"/>
      <c r="Q240" s="49"/>
      <c r="R240" s="49"/>
      <c r="S240" s="49"/>
      <c r="T240" s="49"/>
      <c r="U240" s="49"/>
      <c r="V240" s="49"/>
      <c r="W240" s="49"/>
      <c r="X240" s="49"/>
      <c r="Y240" s="49"/>
      <c r="Z240" s="49"/>
    </row>
    <row r="241" ht="22.5" customHeight="1">
      <c r="A241" s="50">
        <v>46016.85919635417</v>
      </c>
      <c r="B241" s="51" t="s">
        <v>1252</v>
      </c>
      <c r="C241" s="62" t="s">
        <v>1253</v>
      </c>
      <c r="D241" s="51" t="s">
        <v>9</v>
      </c>
      <c r="E241" s="53">
        <v>446.0</v>
      </c>
      <c r="F241" s="53">
        <v>26.0</v>
      </c>
      <c r="G241" s="51" t="s">
        <v>447</v>
      </c>
      <c r="H241" s="51" t="s">
        <v>1254</v>
      </c>
      <c r="I241" s="53">
        <v>8.989451245E9</v>
      </c>
      <c r="J241" s="54" t="s">
        <v>1255</v>
      </c>
      <c r="K241" s="51" t="s">
        <v>444</v>
      </c>
      <c r="L241" s="55"/>
      <c r="M241" s="49"/>
      <c r="N241" s="49"/>
      <c r="O241" s="49"/>
      <c r="P241" s="49"/>
      <c r="Q241" s="49"/>
      <c r="R241" s="49"/>
      <c r="S241" s="49"/>
      <c r="T241" s="49"/>
      <c r="U241" s="49"/>
      <c r="V241" s="49"/>
      <c r="W241" s="49"/>
      <c r="X241" s="49"/>
      <c r="Y241" s="49"/>
      <c r="Z241" s="49"/>
    </row>
    <row r="242" ht="22.5" customHeight="1">
      <c r="A242" s="56">
        <v>46000.62386371528</v>
      </c>
      <c r="B242" s="57" t="s">
        <v>1256</v>
      </c>
      <c r="C242" s="63" t="s">
        <v>1257</v>
      </c>
      <c r="D242" s="57" t="s">
        <v>9</v>
      </c>
      <c r="E242" s="59">
        <v>283.0</v>
      </c>
      <c r="F242" s="59">
        <v>24.0</v>
      </c>
      <c r="G242" s="57" t="s">
        <v>458</v>
      </c>
      <c r="H242" s="57" t="s">
        <v>1258</v>
      </c>
      <c r="I242" s="59">
        <v>8.290847487E9</v>
      </c>
      <c r="J242" s="60" t="s">
        <v>1259</v>
      </c>
      <c r="K242" s="57" t="s">
        <v>444</v>
      </c>
      <c r="L242" s="61"/>
      <c r="M242" s="49"/>
      <c r="N242" s="49"/>
      <c r="O242" s="49"/>
      <c r="P242" s="49"/>
      <c r="Q242" s="49"/>
      <c r="R242" s="49"/>
      <c r="S242" s="49"/>
      <c r="T242" s="49"/>
      <c r="U242" s="49"/>
      <c r="V242" s="49"/>
      <c r="W242" s="49"/>
      <c r="X242" s="49"/>
      <c r="Y242" s="49"/>
      <c r="Z242" s="49"/>
    </row>
    <row r="243" ht="22.5" customHeight="1">
      <c r="A243" s="50">
        <v>45999.942217199074</v>
      </c>
      <c r="B243" s="51" t="s">
        <v>1260</v>
      </c>
      <c r="C243" s="62" t="s">
        <v>251</v>
      </c>
      <c r="D243" s="51" t="s">
        <v>11</v>
      </c>
      <c r="E243" s="53">
        <v>284.0</v>
      </c>
      <c r="F243" s="53">
        <v>22.0</v>
      </c>
      <c r="G243" s="51" t="s">
        <v>487</v>
      </c>
      <c r="H243" s="51" t="s">
        <v>471</v>
      </c>
      <c r="I243" s="53">
        <v>9.00475004E9</v>
      </c>
      <c r="J243" s="54" t="s">
        <v>1261</v>
      </c>
      <c r="K243" s="51" t="s">
        <v>444</v>
      </c>
      <c r="L243" s="55"/>
      <c r="M243" s="49"/>
      <c r="N243" s="49"/>
      <c r="O243" s="49"/>
      <c r="P243" s="49"/>
      <c r="Q243" s="49"/>
      <c r="R243" s="49"/>
      <c r="S243" s="49"/>
      <c r="T243" s="49"/>
      <c r="U243" s="49"/>
      <c r="V243" s="49"/>
      <c r="W243" s="49"/>
      <c r="X243" s="49"/>
      <c r="Y243" s="49"/>
      <c r="Z243" s="49"/>
    </row>
    <row r="244" ht="22.5" customHeight="1">
      <c r="A244" s="56">
        <v>46001.65619523148</v>
      </c>
      <c r="B244" s="57" t="s">
        <v>1262</v>
      </c>
      <c r="C244" s="63" t="s">
        <v>1263</v>
      </c>
      <c r="D244" s="57" t="s">
        <v>5</v>
      </c>
      <c r="E244" s="59">
        <v>286.0</v>
      </c>
      <c r="F244" s="59">
        <v>23.0</v>
      </c>
      <c r="G244" s="57" t="s">
        <v>458</v>
      </c>
      <c r="H244" s="57" t="s">
        <v>1264</v>
      </c>
      <c r="I244" s="59">
        <v>7.999841441E9</v>
      </c>
      <c r="J244" s="60" t="s">
        <v>1265</v>
      </c>
      <c r="K244" s="57" t="s">
        <v>444</v>
      </c>
      <c r="L244" s="61"/>
      <c r="M244" s="49"/>
      <c r="N244" s="49"/>
      <c r="O244" s="49"/>
      <c r="P244" s="49"/>
      <c r="Q244" s="49"/>
      <c r="R244" s="49"/>
      <c r="S244" s="49"/>
      <c r="T244" s="49"/>
      <c r="U244" s="49"/>
      <c r="V244" s="49"/>
      <c r="W244" s="49"/>
      <c r="X244" s="49"/>
      <c r="Y244" s="49"/>
      <c r="Z244" s="49"/>
    </row>
    <row r="245" ht="22.5" customHeight="1">
      <c r="A245" s="50">
        <v>45996.635009328704</v>
      </c>
      <c r="B245" s="51" t="s">
        <v>1266</v>
      </c>
      <c r="C245" s="62" t="s">
        <v>1267</v>
      </c>
      <c r="D245" s="51" t="s">
        <v>13</v>
      </c>
      <c r="E245" s="53">
        <v>285.0</v>
      </c>
      <c r="F245" s="53">
        <v>28.0</v>
      </c>
      <c r="G245" s="51" t="s">
        <v>487</v>
      </c>
      <c r="H245" s="51" t="s">
        <v>1268</v>
      </c>
      <c r="I245" s="53">
        <v>9.340793445E9</v>
      </c>
      <c r="J245" s="54" t="s">
        <v>1269</v>
      </c>
      <c r="K245" s="51" t="s">
        <v>444</v>
      </c>
      <c r="L245" s="55"/>
      <c r="M245" s="49"/>
      <c r="N245" s="49"/>
      <c r="O245" s="49"/>
      <c r="P245" s="49"/>
      <c r="Q245" s="49"/>
      <c r="R245" s="49"/>
      <c r="S245" s="49"/>
      <c r="T245" s="49"/>
      <c r="U245" s="49"/>
      <c r="V245" s="49"/>
      <c r="W245" s="49"/>
      <c r="X245" s="49"/>
      <c r="Y245" s="49"/>
      <c r="Z245" s="49"/>
    </row>
    <row r="246" ht="22.5" customHeight="1">
      <c r="A246" s="56">
        <v>45996.553155057874</v>
      </c>
      <c r="B246" s="57" t="s">
        <v>1270</v>
      </c>
      <c r="C246" s="63" t="s">
        <v>1271</v>
      </c>
      <c r="D246" s="57" t="s">
        <v>7</v>
      </c>
      <c r="E246" s="59">
        <v>287.0</v>
      </c>
      <c r="F246" s="59">
        <v>27.0</v>
      </c>
      <c r="G246" s="57" t="s">
        <v>458</v>
      </c>
      <c r="H246" s="57" t="s">
        <v>1272</v>
      </c>
      <c r="I246" s="59">
        <v>8.980451737E9</v>
      </c>
      <c r="J246" s="60" t="s">
        <v>1273</v>
      </c>
      <c r="K246" s="57" t="s">
        <v>444</v>
      </c>
      <c r="L246" s="61"/>
      <c r="M246" s="49"/>
      <c r="N246" s="49"/>
      <c r="O246" s="49"/>
      <c r="P246" s="49"/>
      <c r="Q246" s="49"/>
      <c r="R246" s="49"/>
      <c r="S246" s="49"/>
      <c r="T246" s="49"/>
      <c r="U246" s="49"/>
      <c r="V246" s="49"/>
      <c r="W246" s="49"/>
      <c r="X246" s="49"/>
      <c r="Y246" s="49"/>
      <c r="Z246" s="49"/>
    </row>
    <row r="247" ht="22.5" customHeight="1">
      <c r="A247" s="50">
        <v>46001.9037158912</v>
      </c>
      <c r="B247" s="51" t="s">
        <v>1274</v>
      </c>
      <c r="C247" s="62" t="s">
        <v>255</v>
      </c>
      <c r="D247" s="51" t="s">
        <v>11</v>
      </c>
      <c r="E247" s="53">
        <v>289.0</v>
      </c>
      <c r="F247" s="53">
        <v>18.0</v>
      </c>
      <c r="G247" s="51" t="s">
        <v>447</v>
      </c>
      <c r="H247" s="51" t="s">
        <v>1275</v>
      </c>
      <c r="I247" s="53">
        <v>9.822500319E9</v>
      </c>
      <c r="J247" s="54" t="s">
        <v>1276</v>
      </c>
      <c r="K247" s="51" t="s">
        <v>444</v>
      </c>
      <c r="L247" s="55"/>
      <c r="M247" s="49"/>
      <c r="N247" s="49"/>
      <c r="O247" s="49"/>
      <c r="P247" s="49"/>
      <c r="Q247" s="49"/>
      <c r="R247" s="49"/>
      <c r="S247" s="49"/>
      <c r="T247" s="49"/>
      <c r="U247" s="49"/>
      <c r="V247" s="49"/>
      <c r="W247" s="49"/>
      <c r="X247" s="49"/>
      <c r="Y247" s="49"/>
      <c r="Z247" s="49"/>
    </row>
    <row r="248" ht="22.5" customHeight="1">
      <c r="A248" s="66">
        <v>45996.51078748843</v>
      </c>
      <c r="B248" s="67" t="s">
        <v>1277</v>
      </c>
      <c r="C248" s="68" t="s">
        <v>256</v>
      </c>
      <c r="D248" s="67">
        <v>290.0</v>
      </c>
      <c r="E248" s="69">
        <v>290.0</v>
      </c>
      <c r="F248" s="67">
        <v>40.0</v>
      </c>
      <c r="G248" s="70" t="s">
        <v>447</v>
      </c>
      <c r="H248" s="70" t="s">
        <v>1278</v>
      </c>
      <c r="I248" s="67">
        <v>9.8198846643E10</v>
      </c>
      <c r="J248" s="70" t="s">
        <v>1279</v>
      </c>
      <c r="K248" s="70" t="s">
        <v>444</v>
      </c>
      <c r="L248" s="61"/>
      <c r="M248" s="49"/>
      <c r="N248" s="49"/>
      <c r="O248" s="49"/>
      <c r="P248" s="49"/>
      <c r="Q248" s="49"/>
      <c r="R248" s="49"/>
      <c r="S248" s="49"/>
      <c r="T248" s="49"/>
      <c r="U248" s="49"/>
      <c r="V248" s="49"/>
      <c r="W248" s="49"/>
      <c r="X248" s="49"/>
      <c r="Y248" s="49"/>
      <c r="Z248" s="49"/>
    </row>
    <row r="249" ht="22.5" customHeight="1">
      <c r="A249" s="50">
        <v>45997.66232549769</v>
      </c>
      <c r="B249" s="51" t="s">
        <v>1280</v>
      </c>
      <c r="C249" s="62" t="s">
        <v>1281</v>
      </c>
      <c r="D249" s="51" t="s">
        <v>11</v>
      </c>
      <c r="E249" s="53">
        <v>4.0</v>
      </c>
      <c r="F249" s="53">
        <v>13.0</v>
      </c>
      <c r="G249" s="51" t="s">
        <v>487</v>
      </c>
      <c r="H249" s="51" t="s">
        <v>1282</v>
      </c>
      <c r="I249" s="53">
        <v>9.90408206E9</v>
      </c>
      <c r="J249" s="54" t="s">
        <v>1283</v>
      </c>
      <c r="K249" s="51" t="s">
        <v>444</v>
      </c>
      <c r="L249" s="55"/>
      <c r="M249" s="49"/>
      <c r="N249" s="49"/>
      <c r="O249" s="49"/>
      <c r="P249" s="49"/>
      <c r="Q249" s="49"/>
      <c r="R249" s="49"/>
      <c r="S249" s="49"/>
      <c r="T249" s="49"/>
      <c r="U249" s="49"/>
      <c r="V249" s="49"/>
      <c r="W249" s="49"/>
      <c r="X249" s="49"/>
      <c r="Y249" s="49"/>
      <c r="Z249" s="49"/>
    </row>
    <row r="250" ht="22.5" customHeight="1">
      <c r="A250" s="56">
        <v>46012.507417071756</v>
      </c>
      <c r="B250" s="57" t="s">
        <v>1284</v>
      </c>
      <c r="C250" s="63" t="s">
        <v>1285</v>
      </c>
      <c r="D250" s="57" t="s">
        <v>11</v>
      </c>
      <c r="E250" s="59">
        <v>441.0</v>
      </c>
      <c r="F250" s="59">
        <v>21.0</v>
      </c>
      <c r="G250" s="57" t="s">
        <v>470</v>
      </c>
      <c r="H250" s="57" t="s">
        <v>1043</v>
      </c>
      <c r="I250" s="59">
        <v>9.925258608E9</v>
      </c>
      <c r="J250" s="60" t="s">
        <v>1286</v>
      </c>
      <c r="K250" s="57" t="s">
        <v>444</v>
      </c>
      <c r="L250" s="61"/>
      <c r="M250" s="49"/>
      <c r="N250" s="49"/>
      <c r="O250" s="49"/>
      <c r="P250" s="49"/>
      <c r="Q250" s="49"/>
      <c r="R250" s="49"/>
      <c r="S250" s="49"/>
      <c r="T250" s="49"/>
      <c r="U250" s="49"/>
      <c r="V250" s="49"/>
      <c r="W250" s="49"/>
      <c r="X250" s="49"/>
      <c r="Y250" s="49"/>
      <c r="Z250" s="49"/>
    </row>
    <row r="251" ht="22.5" customHeight="1">
      <c r="A251" s="50">
        <v>45996.81129802083</v>
      </c>
      <c r="B251" s="51" t="s">
        <v>1287</v>
      </c>
      <c r="C251" s="62" t="s">
        <v>1288</v>
      </c>
      <c r="D251" s="51" t="s">
        <v>5</v>
      </c>
      <c r="E251" s="53">
        <v>296.0</v>
      </c>
      <c r="F251" s="53">
        <v>22.0</v>
      </c>
      <c r="G251" s="51" t="s">
        <v>458</v>
      </c>
      <c r="H251" s="51" t="s">
        <v>1289</v>
      </c>
      <c r="I251" s="65">
        <v>9.328715327E9</v>
      </c>
      <c r="J251" s="54" t="s">
        <v>1290</v>
      </c>
      <c r="K251" s="51" t="s">
        <v>444</v>
      </c>
      <c r="L251" s="55"/>
      <c r="M251" s="49"/>
      <c r="N251" s="49"/>
      <c r="O251" s="49"/>
      <c r="P251" s="49"/>
      <c r="Q251" s="49"/>
      <c r="R251" s="49"/>
      <c r="S251" s="49"/>
      <c r="T251" s="49"/>
      <c r="U251" s="49"/>
      <c r="V251" s="49"/>
      <c r="W251" s="49"/>
      <c r="X251" s="49"/>
      <c r="Y251" s="49"/>
      <c r="Z251" s="49"/>
    </row>
    <row r="252" ht="22.5" customHeight="1">
      <c r="A252" s="56">
        <v>45999.85523290509</v>
      </c>
      <c r="B252" s="57" t="s">
        <v>1291</v>
      </c>
      <c r="C252" s="63" t="s">
        <v>1292</v>
      </c>
      <c r="D252" s="57" t="s">
        <v>13</v>
      </c>
      <c r="E252" s="59">
        <v>295.0</v>
      </c>
      <c r="F252" s="59">
        <v>23.0</v>
      </c>
      <c r="G252" s="57" t="s">
        <v>487</v>
      </c>
      <c r="H252" s="57" t="s">
        <v>1293</v>
      </c>
      <c r="I252" s="59">
        <v>8.141458076E9</v>
      </c>
      <c r="J252" s="60" t="s">
        <v>1294</v>
      </c>
      <c r="K252" s="57" t="s">
        <v>444</v>
      </c>
      <c r="L252" s="61"/>
      <c r="M252" s="49"/>
      <c r="N252" s="49"/>
      <c r="O252" s="49"/>
      <c r="P252" s="49"/>
      <c r="Q252" s="49"/>
      <c r="R252" s="49"/>
      <c r="S252" s="49"/>
      <c r="T252" s="49"/>
      <c r="U252" s="49"/>
      <c r="V252" s="49"/>
      <c r="W252" s="49"/>
      <c r="X252" s="49"/>
      <c r="Y252" s="49"/>
      <c r="Z252" s="49"/>
    </row>
    <row r="253" ht="22.5" customHeight="1">
      <c r="A253" s="50">
        <v>45996.52656423611</v>
      </c>
      <c r="B253" s="51" t="s">
        <v>1295</v>
      </c>
      <c r="C253" s="62" t="s">
        <v>1296</v>
      </c>
      <c r="D253" s="51" t="s">
        <v>7</v>
      </c>
      <c r="E253" s="53">
        <v>297.0</v>
      </c>
      <c r="F253" s="53">
        <v>24.0</v>
      </c>
      <c r="G253" s="51" t="s">
        <v>447</v>
      </c>
      <c r="H253" s="51" t="s">
        <v>1297</v>
      </c>
      <c r="I253" s="53">
        <v>9.998478588E9</v>
      </c>
      <c r="J253" s="54" t="s">
        <v>1298</v>
      </c>
      <c r="K253" s="51" t="s">
        <v>444</v>
      </c>
      <c r="L253" s="55"/>
      <c r="M253" s="49"/>
      <c r="N253" s="49"/>
      <c r="O253" s="49"/>
      <c r="P253" s="49"/>
      <c r="Q253" s="49"/>
      <c r="R253" s="49"/>
      <c r="S253" s="49"/>
      <c r="T253" s="49"/>
      <c r="U253" s="49"/>
      <c r="V253" s="49"/>
      <c r="W253" s="49"/>
      <c r="X253" s="49"/>
      <c r="Y253" s="49"/>
      <c r="Z253" s="49"/>
    </row>
    <row r="254" ht="22.5" customHeight="1">
      <c r="A254" s="56">
        <v>45996.50960685185</v>
      </c>
      <c r="B254" s="57" t="s">
        <v>1299</v>
      </c>
      <c r="C254" s="63" t="s">
        <v>1300</v>
      </c>
      <c r="D254" s="57" t="s">
        <v>9</v>
      </c>
      <c r="E254" s="59">
        <v>163.0</v>
      </c>
      <c r="F254" s="59">
        <v>19.0</v>
      </c>
      <c r="G254" s="57" t="s">
        <v>447</v>
      </c>
      <c r="H254" s="57" t="s">
        <v>1301</v>
      </c>
      <c r="I254" s="59">
        <v>9.429955322E9</v>
      </c>
      <c r="J254" s="60" t="s">
        <v>1302</v>
      </c>
      <c r="K254" s="57" t="s">
        <v>444</v>
      </c>
      <c r="L254" s="61"/>
      <c r="M254" s="49"/>
      <c r="N254" s="49"/>
      <c r="O254" s="49"/>
      <c r="P254" s="49"/>
      <c r="Q254" s="49"/>
      <c r="R254" s="49"/>
      <c r="S254" s="49"/>
      <c r="T254" s="49"/>
      <c r="U254" s="49"/>
      <c r="V254" s="49"/>
      <c r="W254" s="49"/>
      <c r="X254" s="49"/>
      <c r="Y254" s="49"/>
      <c r="Z254" s="49"/>
    </row>
    <row r="255" ht="22.5" customHeight="1">
      <c r="A255" s="50">
        <v>45997.449777974536</v>
      </c>
      <c r="B255" s="51" t="s">
        <v>1303</v>
      </c>
      <c r="C255" s="62" t="s">
        <v>1304</v>
      </c>
      <c r="D255" s="51" t="s">
        <v>11</v>
      </c>
      <c r="E255" s="53">
        <v>299.0</v>
      </c>
      <c r="F255" s="53">
        <v>19.0</v>
      </c>
      <c r="G255" s="51" t="s">
        <v>447</v>
      </c>
      <c r="H255" s="51" t="s">
        <v>695</v>
      </c>
      <c r="I255" s="53">
        <v>9.427225286E9</v>
      </c>
      <c r="J255" s="54" t="s">
        <v>1305</v>
      </c>
      <c r="K255" s="51" t="s">
        <v>444</v>
      </c>
      <c r="L255" s="55"/>
      <c r="M255" s="49"/>
      <c r="N255" s="49"/>
      <c r="O255" s="49"/>
      <c r="P255" s="49"/>
      <c r="Q255" s="49"/>
      <c r="R255" s="49"/>
      <c r="S255" s="49"/>
      <c r="T255" s="49"/>
      <c r="U255" s="49"/>
      <c r="V255" s="49"/>
      <c r="W255" s="49"/>
      <c r="X255" s="49"/>
      <c r="Y255" s="49"/>
      <c r="Z255" s="49"/>
    </row>
    <row r="256" ht="22.5" customHeight="1">
      <c r="A256" s="56">
        <v>46010.62001863426</v>
      </c>
      <c r="B256" s="57" t="s">
        <v>1306</v>
      </c>
      <c r="C256" s="63" t="s">
        <v>1307</v>
      </c>
      <c r="D256" s="57" t="s">
        <v>13</v>
      </c>
      <c r="E256" s="59">
        <v>427.0</v>
      </c>
      <c r="F256" s="59">
        <v>19.0</v>
      </c>
      <c r="G256" s="57" t="s">
        <v>458</v>
      </c>
      <c r="H256" s="57" t="s">
        <v>695</v>
      </c>
      <c r="I256" s="59">
        <v>9.376221223E9</v>
      </c>
      <c r="J256" s="60" t="s">
        <v>1308</v>
      </c>
      <c r="K256" s="57" t="s">
        <v>444</v>
      </c>
      <c r="L256" s="61"/>
      <c r="M256" s="49"/>
      <c r="N256" s="49"/>
      <c r="O256" s="49"/>
      <c r="P256" s="49"/>
      <c r="Q256" s="49"/>
      <c r="R256" s="49"/>
      <c r="S256" s="49"/>
      <c r="T256" s="49"/>
      <c r="U256" s="49"/>
      <c r="V256" s="49"/>
      <c r="W256" s="49"/>
      <c r="X256" s="49"/>
      <c r="Y256" s="49"/>
      <c r="Z256" s="49"/>
    </row>
    <row r="257" ht="22.5" customHeight="1">
      <c r="A257" s="50">
        <v>45999.613201238426</v>
      </c>
      <c r="B257" s="51" t="s">
        <v>1309</v>
      </c>
      <c r="C257" s="62" t="s">
        <v>265</v>
      </c>
      <c r="D257" s="51" t="s">
        <v>13</v>
      </c>
      <c r="E257" s="53">
        <v>300.0</v>
      </c>
      <c r="F257" s="53">
        <v>23.0</v>
      </c>
      <c r="G257" s="51" t="s">
        <v>458</v>
      </c>
      <c r="H257" s="51" t="s">
        <v>471</v>
      </c>
      <c r="I257" s="53">
        <v>9.1727443E9</v>
      </c>
      <c r="J257" s="54" t="s">
        <v>1310</v>
      </c>
      <c r="K257" s="51" t="s">
        <v>444</v>
      </c>
      <c r="L257" s="55"/>
      <c r="M257" s="49"/>
      <c r="N257" s="49"/>
      <c r="O257" s="49"/>
      <c r="P257" s="49"/>
      <c r="Q257" s="49"/>
      <c r="R257" s="49"/>
      <c r="S257" s="49"/>
      <c r="T257" s="49"/>
      <c r="U257" s="49"/>
      <c r="V257" s="49"/>
      <c r="W257" s="49"/>
      <c r="X257" s="49"/>
      <c r="Y257" s="49"/>
      <c r="Z257" s="49"/>
    </row>
    <row r="258" ht="22.5" customHeight="1">
      <c r="A258" s="56">
        <v>45996.5159944676</v>
      </c>
      <c r="B258" s="57" t="s">
        <v>1311</v>
      </c>
      <c r="C258" s="63" t="s">
        <v>1312</v>
      </c>
      <c r="D258" s="57" t="s">
        <v>5</v>
      </c>
      <c r="E258" s="59">
        <v>301.0</v>
      </c>
      <c r="F258" s="59">
        <v>27.0</v>
      </c>
      <c r="G258" s="57" t="s">
        <v>458</v>
      </c>
      <c r="H258" s="57" t="s">
        <v>704</v>
      </c>
      <c r="I258" s="59">
        <v>9.820163019E9</v>
      </c>
      <c r="J258" s="60" t="s">
        <v>1313</v>
      </c>
      <c r="K258" s="57" t="s">
        <v>444</v>
      </c>
      <c r="L258" s="61"/>
      <c r="M258" s="49"/>
      <c r="N258" s="49"/>
      <c r="O258" s="49"/>
      <c r="P258" s="49"/>
      <c r="Q258" s="49"/>
      <c r="R258" s="49"/>
      <c r="S258" s="49"/>
      <c r="T258" s="49"/>
      <c r="U258" s="49"/>
      <c r="V258" s="49"/>
      <c r="W258" s="49"/>
      <c r="X258" s="49"/>
      <c r="Y258" s="49"/>
      <c r="Z258" s="49"/>
    </row>
    <row r="259" ht="22.5" customHeight="1">
      <c r="A259" s="73">
        <v>45996.50013997685</v>
      </c>
      <c r="B259" s="74" t="s">
        <v>1314</v>
      </c>
      <c r="C259" s="75" t="s">
        <v>267</v>
      </c>
      <c r="D259" s="74">
        <v>2405.0</v>
      </c>
      <c r="E259" s="76">
        <v>302.0</v>
      </c>
      <c r="F259" s="74">
        <v>28.0</v>
      </c>
      <c r="G259" s="77" t="s">
        <v>447</v>
      </c>
      <c r="H259" s="77" t="s">
        <v>1315</v>
      </c>
      <c r="I259" s="74">
        <v>9.461631046E9</v>
      </c>
      <c r="J259" s="77" t="s">
        <v>1316</v>
      </c>
      <c r="K259" s="77" t="s">
        <v>444</v>
      </c>
      <c r="L259" s="55"/>
      <c r="M259" s="49"/>
      <c r="N259" s="49"/>
      <c r="O259" s="49"/>
      <c r="P259" s="49"/>
      <c r="Q259" s="49"/>
      <c r="R259" s="49"/>
      <c r="S259" s="49"/>
      <c r="T259" s="49"/>
      <c r="U259" s="49"/>
      <c r="V259" s="49"/>
      <c r="W259" s="49"/>
      <c r="X259" s="49"/>
      <c r="Y259" s="49"/>
      <c r="Z259" s="49"/>
    </row>
    <row r="260" ht="22.5" customHeight="1">
      <c r="A260" s="56">
        <v>45997.65346059028</v>
      </c>
      <c r="B260" s="57" t="s">
        <v>1317</v>
      </c>
      <c r="C260" s="63" t="s">
        <v>1318</v>
      </c>
      <c r="D260" s="57" t="s">
        <v>13</v>
      </c>
      <c r="E260" s="59">
        <v>305.0</v>
      </c>
      <c r="F260" s="59">
        <v>36.0</v>
      </c>
      <c r="G260" s="57" t="s">
        <v>458</v>
      </c>
      <c r="H260" s="57" t="s">
        <v>448</v>
      </c>
      <c r="I260" s="59">
        <v>9.86767232E9</v>
      </c>
      <c r="J260" s="60" t="s">
        <v>1319</v>
      </c>
      <c r="K260" s="57" t="s">
        <v>444</v>
      </c>
      <c r="L260" s="61"/>
      <c r="M260" s="49"/>
      <c r="N260" s="49"/>
      <c r="O260" s="49"/>
      <c r="P260" s="49"/>
      <c r="Q260" s="49"/>
      <c r="R260" s="49"/>
      <c r="S260" s="49"/>
      <c r="T260" s="49"/>
      <c r="U260" s="49"/>
      <c r="V260" s="49"/>
      <c r="W260" s="49"/>
      <c r="X260" s="49"/>
      <c r="Y260" s="49"/>
      <c r="Z260" s="49"/>
    </row>
    <row r="261" ht="22.5" customHeight="1">
      <c r="A261" s="50">
        <v>46012.7060700463</v>
      </c>
      <c r="B261" s="51" t="s">
        <v>1320</v>
      </c>
      <c r="C261" s="62" t="s">
        <v>1321</v>
      </c>
      <c r="D261" s="51" t="s">
        <v>9</v>
      </c>
      <c r="E261" s="53">
        <v>435.0</v>
      </c>
      <c r="F261" s="53">
        <v>35.0</v>
      </c>
      <c r="G261" s="51" t="s">
        <v>441</v>
      </c>
      <c r="H261" s="51" t="s">
        <v>1322</v>
      </c>
      <c r="I261" s="65">
        <v>9.773782183E9</v>
      </c>
      <c r="J261" s="54" t="s">
        <v>1323</v>
      </c>
      <c r="K261" s="51" t="s">
        <v>444</v>
      </c>
      <c r="L261" s="55"/>
      <c r="M261" s="49"/>
      <c r="N261" s="49"/>
      <c r="O261" s="49"/>
      <c r="P261" s="49"/>
      <c r="Q261" s="49"/>
      <c r="R261" s="49"/>
      <c r="S261" s="49"/>
      <c r="T261" s="49"/>
      <c r="U261" s="49"/>
      <c r="V261" s="49"/>
      <c r="W261" s="49"/>
      <c r="X261" s="49"/>
      <c r="Y261" s="49"/>
      <c r="Z261" s="49"/>
    </row>
    <row r="262" ht="22.5" customHeight="1">
      <c r="A262" s="56">
        <v>46016.89665931713</v>
      </c>
      <c r="B262" s="57" t="s">
        <v>1324</v>
      </c>
      <c r="C262" s="63" t="s">
        <v>1325</v>
      </c>
      <c r="D262" s="57" t="s">
        <v>9</v>
      </c>
      <c r="E262" s="59">
        <v>418.0</v>
      </c>
      <c r="F262" s="59">
        <v>24.0</v>
      </c>
      <c r="G262" s="57" t="s">
        <v>487</v>
      </c>
      <c r="H262" s="57" t="s">
        <v>1326</v>
      </c>
      <c r="I262" s="59">
        <v>9.977273462E9</v>
      </c>
      <c r="J262" s="60" t="s">
        <v>1327</v>
      </c>
      <c r="K262" s="57" t="s">
        <v>444</v>
      </c>
      <c r="L262" s="61"/>
      <c r="M262" s="49"/>
      <c r="N262" s="49"/>
      <c r="O262" s="49"/>
      <c r="P262" s="49"/>
      <c r="Q262" s="49"/>
      <c r="R262" s="49"/>
      <c r="S262" s="49"/>
      <c r="T262" s="49"/>
      <c r="U262" s="49"/>
      <c r="V262" s="49"/>
      <c r="W262" s="49"/>
      <c r="X262" s="49"/>
      <c r="Y262" s="49"/>
      <c r="Z262" s="49"/>
    </row>
    <row r="263" ht="22.5" customHeight="1">
      <c r="A263" s="50">
        <v>45999.58153829861</v>
      </c>
      <c r="B263" s="51" t="s">
        <v>1328</v>
      </c>
      <c r="C263" s="62" t="s">
        <v>1329</v>
      </c>
      <c r="D263" s="53">
        <v>457555.0</v>
      </c>
      <c r="E263" s="53">
        <v>5.0</v>
      </c>
      <c r="F263" s="53">
        <v>21.0</v>
      </c>
      <c r="G263" s="51" t="s">
        <v>447</v>
      </c>
      <c r="H263" s="51" t="s">
        <v>1330</v>
      </c>
      <c r="I263" s="53">
        <v>7.898954083E9</v>
      </c>
      <c r="J263" s="54" t="s">
        <v>1331</v>
      </c>
      <c r="K263" s="51" t="s">
        <v>444</v>
      </c>
      <c r="L263" s="55"/>
      <c r="M263" s="49"/>
      <c r="N263" s="49"/>
      <c r="O263" s="49"/>
      <c r="P263" s="49"/>
      <c r="Q263" s="49"/>
      <c r="R263" s="49"/>
      <c r="S263" s="49"/>
      <c r="T263" s="49"/>
      <c r="U263" s="49"/>
      <c r="V263" s="49"/>
      <c r="W263" s="49"/>
      <c r="X263" s="49"/>
      <c r="Y263" s="49"/>
      <c r="Z263" s="49"/>
    </row>
    <row r="264" ht="22.5" customHeight="1">
      <c r="A264" s="56">
        <v>46007.68846928241</v>
      </c>
      <c r="B264" s="57" t="s">
        <v>1332</v>
      </c>
      <c r="C264" s="63" t="s">
        <v>1333</v>
      </c>
      <c r="D264" s="57" t="s">
        <v>9</v>
      </c>
      <c r="E264" s="59">
        <v>398.0</v>
      </c>
      <c r="F264" s="59">
        <v>29.0</v>
      </c>
      <c r="G264" s="57" t="s">
        <v>604</v>
      </c>
      <c r="H264" s="57" t="s">
        <v>921</v>
      </c>
      <c r="I264" s="59">
        <v>9.773070052E9</v>
      </c>
      <c r="J264" s="60" t="s">
        <v>1334</v>
      </c>
      <c r="K264" s="57" t="s">
        <v>444</v>
      </c>
      <c r="L264" s="61"/>
      <c r="M264" s="49"/>
      <c r="N264" s="49"/>
      <c r="O264" s="49"/>
      <c r="P264" s="49"/>
      <c r="Q264" s="49"/>
      <c r="R264" s="49"/>
      <c r="S264" s="49"/>
      <c r="T264" s="49"/>
      <c r="U264" s="49"/>
      <c r="V264" s="49"/>
      <c r="W264" s="49"/>
      <c r="X264" s="49"/>
      <c r="Y264" s="49"/>
      <c r="Z264" s="49"/>
    </row>
    <row r="265" ht="22.5" customHeight="1">
      <c r="A265" s="50">
        <v>46000.7324854051</v>
      </c>
      <c r="B265" s="51" t="s">
        <v>1335</v>
      </c>
      <c r="C265" s="62" t="s">
        <v>1336</v>
      </c>
      <c r="D265" s="51" t="s">
        <v>9</v>
      </c>
      <c r="E265" s="53">
        <v>308.0</v>
      </c>
      <c r="F265" s="53">
        <v>17.0</v>
      </c>
      <c r="G265" s="51" t="s">
        <v>487</v>
      </c>
      <c r="H265" s="51" t="s">
        <v>537</v>
      </c>
      <c r="I265" s="53">
        <v>8.602525986E9</v>
      </c>
      <c r="J265" s="54" t="s">
        <v>1337</v>
      </c>
      <c r="K265" s="51" t="s">
        <v>444</v>
      </c>
      <c r="L265" s="55"/>
      <c r="M265" s="49"/>
      <c r="N265" s="49"/>
      <c r="O265" s="49"/>
      <c r="P265" s="49"/>
      <c r="Q265" s="49"/>
      <c r="R265" s="49"/>
      <c r="S265" s="49"/>
      <c r="T265" s="49"/>
      <c r="U265" s="49"/>
      <c r="V265" s="49"/>
      <c r="W265" s="49"/>
      <c r="X265" s="49"/>
      <c r="Y265" s="49"/>
      <c r="Z265" s="49"/>
    </row>
    <row r="266" ht="22.5" customHeight="1">
      <c r="A266" s="56">
        <v>46000.51795358796</v>
      </c>
      <c r="B266" s="57" t="s">
        <v>1338</v>
      </c>
      <c r="C266" s="63" t="s">
        <v>274</v>
      </c>
      <c r="D266" s="57" t="s">
        <v>13</v>
      </c>
      <c r="E266" s="59">
        <v>310.0</v>
      </c>
      <c r="F266" s="59">
        <v>25.0</v>
      </c>
      <c r="G266" s="57" t="s">
        <v>441</v>
      </c>
      <c r="H266" s="57" t="s">
        <v>471</v>
      </c>
      <c r="I266" s="59">
        <v>9.769115162E9</v>
      </c>
      <c r="J266" s="60" t="s">
        <v>1339</v>
      </c>
      <c r="K266" s="57" t="s">
        <v>444</v>
      </c>
      <c r="L266" s="61"/>
      <c r="M266" s="49"/>
      <c r="N266" s="49"/>
      <c r="O266" s="49"/>
      <c r="P266" s="49"/>
      <c r="Q266" s="49"/>
      <c r="R266" s="49"/>
      <c r="S266" s="49"/>
      <c r="T266" s="49"/>
      <c r="U266" s="49"/>
      <c r="V266" s="49"/>
      <c r="W266" s="49"/>
      <c r="X266" s="49"/>
      <c r="Y266" s="49"/>
      <c r="Z266" s="49"/>
    </row>
    <row r="267" ht="22.5" customHeight="1">
      <c r="A267" s="50">
        <v>45996.497400057866</v>
      </c>
      <c r="B267" s="51" t="s">
        <v>1340</v>
      </c>
      <c r="C267" s="62" t="s">
        <v>1341</v>
      </c>
      <c r="D267" s="51" t="s">
        <v>5</v>
      </c>
      <c r="E267" s="53">
        <v>311.0</v>
      </c>
      <c r="F267" s="53">
        <v>23.0</v>
      </c>
      <c r="G267" s="51" t="s">
        <v>447</v>
      </c>
      <c r="H267" s="51" t="s">
        <v>641</v>
      </c>
      <c r="I267" s="53">
        <v>9.004947766E9</v>
      </c>
      <c r="J267" s="54" t="s">
        <v>1342</v>
      </c>
      <c r="K267" s="51" t="s">
        <v>444</v>
      </c>
      <c r="L267" s="55"/>
      <c r="M267" s="49"/>
      <c r="N267" s="49"/>
      <c r="O267" s="49"/>
      <c r="P267" s="49"/>
      <c r="Q267" s="49"/>
      <c r="R267" s="49"/>
      <c r="S267" s="49"/>
      <c r="T267" s="49"/>
      <c r="U267" s="49"/>
      <c r="V267" s="49"/>
      <c r="W267" s="49"/>
      <c r="X267" s="49"/>
      <c r="Y267" s="49"/>
      <c r="Z267" s="49"/>
    </row>
    <row r="268" ht="22.5" customHeight="1">
      <c r="A268" s="56">
        <v>46001.45749020833</v>
      </c>
      <c r="B268" s="57" t="s">
        <v>1343</v>
      </c>
      <c r="C268" s="63" t="s">
        <v>276</v>
      </c>
      <c r="D268" s="57" t="s">
        <v>7</v>
      </c>
      <c r="E268" s="59">
        <v>312.0</v>
      </c>
      <c r="F268" s="59">
        <v>24.0</v>
      </c>
      <c r="G268" s="57" t="s">
        <v>604</v>
      </c>
      <c r="H268" s="57" t="s">
        <v>459</v>
      </c>
      <c r="I268" s="59">
        <v>9.270862848E9</v>
      </c>
      <c r="J268" s="60" t="s">
        <v>1344</v>
      </c>
      <c r="K268" s="57" t="s">
        <v>444</v>
      </c>
      <c r="L268" s="61"/>
      <c r="M268" s="49"/>
      <c r="N268" s="49"/>
      <c r="O268" s="49"/>
      <c r="P268" s="49"/>
      <c r="Q268" s="49"/>
      <c r="R268" s="49"/>
      <c r="S268" s="49"/>
      <c r="T268" s="49"/>
      <c r="U268" s="49"/>
      <c r="V268" s="49"/>
      <c r="W268" s="49"/>
      <c r="X268" s="49"/>
      <c r="Y268" s="49"/>
      <c r="Z268" s="49"/>
    </row>
    <row r="269" ht="22.5" customHeight="1">
      <c r="A269" s="50">
        <v>46010.58747849537</v>
      </c>
      <c r="B269" s="51" t="s">
        <v>1345</v>
      </c>
      <c r="C269" s="62" t="s">
        <v>369</v>
      </c>
      <c r="D269" s="51" t="s">
        <v>11</v>
      </c>
      <c r="E269" s="53">
        <v>419.0</v>
      </c>
      <c r="F269" s="53">
        <v>35.0</v>
      </c>
      <c r="G269" s="51" t="s">
        <v>441</v>
      </c>
      <c r="H269" s="51" t="s">
        <v>658</v>
      </c>
      <c r="I269" s="53">
        <v>9.6869415E9</v>
      </c>
      <c r="J269" s="54" t="s">
        <v>1346</v>
      </c>
      <c r="K269" s="51" t="s">
        <v>444</v>
      </c>
      <c r="L269" s="55"/>
      <c r="M269" s="49"/>
      <c r="N269" s="49"/>
      <c r="O269" s="49"/>
      <c r="P269" s="49"/>
      <c r="Q269" s="49"/>
      <c r="R269" s="49"/>
      <c r="S269" s="49"/>
      <c r="T269" s="49"/>
      <c r="U269" s="49"/>
      <c r="V269" s="49"/>
      <c r="W269" s="49"/>
      <c r="X269" s="49"/>
      <c r="Y269" s="49"/>
      <c r="Z269" s="49"/>
    </row>
    <row r="270" ht="22.5" customHeight="1">
      <c r="A270" s="56">
        <v>46014.43426998843</v>
      </c>
      <c r="B270" s="57" t="s">
        <v>1347</v>
      </c>
      <c r="C270" s="63" t="s">
        <v>1348</v>
      </c>
      <c r="D270" s="57" t="s">
        <v>7</v>
      </c>
      <c r="E270" s="59">
        <v>444.0</v>
      </c>
      <c r="F270" s="59">
        <v>18.0</v>
      </c>
      <c r="G270" s="57" t="s">
        <v>458</v>
      </c>
      <c r="H270" s="57" t="s">
        <v>1349</v>
      </c>
      <c r="I270" s="72">
        <v>8.983021828E9</v>
      </c>
      <c r="J270" s="60" t="s">
        <v>1350</v>
      </c>
      <c r="K270" s="57" t="s">
        <v>444</v>
      </c>
      <c r="L270" s="61"/>
      <c r="M270" s="49"/>
      <c r="N270" s="49"/>
      <c r="O270" s="49"/>
      <c r="P270" s="49"/>
      <c r="Q270" s="49"/>
      <c r="R270" s="49"/>
      <c r="S270" s="49"/>
      <c r="T270" s="49"/>
      <c r="U270" s="49"/>
      <c r="V270" s="49"/>
      <c r="W270" s="49"/>
      <c r="X270" s="49"/>
      <c r="Y270" s="49"/>
      <c r="Z270" s="49"/>
    </row>
    <row r="271" ht="22.5" customHeight="1">
      <c r="A271" s="50">
        <v>45997.59983748842</v>
      </c>
      <c r="B271" s="51" t="s">
        <v>1351</v>
      </c>
      <c r="C271" s="62" t="s">
        <v>279</v>
      </c>
      <c r="D271" s="51" t="s">
        <v>5</v>
      </c>
      <c r="E271" s="53">
        <v>316.0</v>
      </c>
      <c r="F271" s="53">
        <v>21.0</v>
      </c>
      <c r="G271" s="51" t="s">
        <v>447</v>
      </c>
      <c r="H271" s="51" t="s">
        <v>1352</v>
      </c>
      <c r="I271" s="53">
        <v>9.111630011E9</v>
      </c>
      <c r="J271" s="54" t="s">
        <v>1353</v>
      </c>
      <c r="K271" s="51" t="s">
        <v>444</v>
      </c>
      <c r="L271" s="55"/>
      <c r="M271" s="49"/>
      <c r="N271" s="49"/>
      <c r="O271" s="49"/>
      <c r="P271" s="49"/>
      <c r="Q271" s="49"/>
      <c r="R271" s="49"/>
      <c r="S271" s="49"/>
      <c r="T271" s="49"/>
      <c r="U271" s="49"/>
      <c r="V271" s="49"/>
      <c r="W271" s="49"/>
      <c r="X271" s="49"/>
      <c r="Y271" s="49"/>
      <c r="Z271" s="49"/>
    </row>
    <row r="272" ht="22.5" customHeight="1">
      <c r="A272" s="56">
        <v>45996.93389803241</v>
      </c>
      <c r="B272" s="57" t="s">
        <v>1354</v>
      </c>
      <c r="C272" s="63" t="s">
        <v>282</v>
      </c>
      <c r="D272" s="57" t="s">
        <v>13</v>
      </c>
      <c r="E272" s="59">
        <v>320.0</v>
      </c>
      <c r="F272" s="59">
        <v>34.0</v>
      </c>
      <c r="G272" s="57" t="s">
        <v>458</v>
      </c>
      <c r="H272" s="57" t="s">
        <v>471</v>
      </c>
      <c r="I272" s="72">
        <v>9.76940604E9</v>
      </c>
      <c r="J272" s="60" t="s">
        <v>1355</v>
      </c>
      <c r="K272" s="57" t="s">
        <v>444</v>
      </c>
      <c r="L272" s="61"/>
      <c r="M272" s="49"/>
      <c r="N272" s="49"/>
      <c r="O272" s="49"/>
      <c r="P272" s="49"/>
      <c r="Q272" s="49"/>
      <c r="R272" s="49"/>
      <c r="S272" s="49"/>
      <c r="T272" s="49"/>
      <c r="U272" s="49"/>
      <c r="V272" s="49"/>
      <c r="W272" s="49"/>
      <c r="X272" s="49"/>
      <c r="Y272" s="49"/>
      <c r="Z272" s="49"/>
    </row>
    <row r="273" ht="22.5" customHeight="1">
      <c r="A273" s="50">
        <v>46002.05838637731</v>
      </c>
      <c r="B273" s="51" t="s">
        <v>1356</v>
      </c>
      <c r="C273" s="62" t="s">
        <v>1357</v>
      </c>
      <c r="D273" s="51" t="s">
        <v>5</v>
      </c>
      <c r="E273" s="53">
        <v>321.0</v>
      </c>
      <c r="F273" s="53">
        <v>37.0</v>
      </c>
      <c r="G273" s="51" t="s">
        <v>487</v>
      </c>
      <c r="H273" s="51" t="s">
        <v>749</v>
      </c>
      <c r="I273" s="53">
        <v>9.820983862E9</v>
      </c>
      <c r="J273" s="54" t="s">
        <v>1358</v>
      </c>
      <c r="K273" s="51" t="s">
        <v>444</v>
      </c>
      <c r="L273" s="55"/>
      <c r="M273" s="49"/>
      <c r="N273" s="49"/>
      <c r="O273" s="49"/>
      <c r="P273" s="49"/>
      <c r="Q273" s="49"/>
      <c r="R273" s="49"/>
      <c r="S273" s="49"/>
      <c r="T273" s="49"/>
      <c r="U273" s="49"/>
      <c r="V273" s="49"/>
      <c r="W273" s="49"/>
      <c r="X273" s="49"/>
      <c r="Y273" s="49"/>
      <c r="Z273" s="49"/>
    </row>
    <row r="274" ht="22.5" customHeight="1">
      <c r="A274" s="56">
        <v>45998.9252565625</v>
      </c>
      <c r="B274" s="57" t="s">
        <v>1359</v>
      </c>
      <c r="C274" s="63" t="s">
        <v>1360</v>
      </c>
      <c r="D274" s="57" t="s">
        <v>7</v>
      </c>
      <c r="E274" s="59">
        <v>322.0</v>
      </c>
      <c r="F274" s="59">
        <v>35.0</v>
      </c>
      <c r="G274" s="57" t="s">
        <v>441</v>
      </c>
      <c r="H274" s="57" t="s">
        <v>1361</v>
      </c>
      <c r="I274" s="59">
        <v>9.893260745E9</v>
      </c>
      <c r="J274" s="60" t="s">
        <v>1362</v>
      </c>
      <c r="K274" s="57" t="s">
        <v>444</v>
      </c>
      <c r="L274" s="61"/>
      <c r="M274" s="49"/>
      <c r="N274" s="49"/>
      <c r="O274" s="49"/>
      <c r="P274" s="49"/>
      <c r="Q274" s="49"/>
      <c r="R274" s="49"/>
      <c r="S274" s="49"/>
      <c r="T274" s="49"/>
      <c r="U274" s="49"/>
      <c r="V274" s="49"/>
      <c r="W274" s="49"/>
      <c r="X274" s="49"/>
      <c r="Y274" s="49"/>
      <c r="Z274" s="49"/>
    </row>
    <row r="275" ht="22.5" customHeight="1">
      <c r="A275" s="73">
        <v>46001.89033484954</v>
      </c>
      <c r="B275" s="74" t="s">
        <v>1363</v>
      </c>
      <c r="C275" s="75" t="s">
        <v>1360</v>
      </c>
      <c r="D275" s="77" t="s">
        <v>1364</v>
      </c>
      <c r="E275" s="76">
        <v>322.0</v>
      </c>
      <c r="F275" s="74">
        <v>35.0</v>
      </c>
      <c r="G275" s="77" t="s">
        <v>458</v>
      </c>
      <c r="H275" s="77" t="s">
        <v>1365</v>
      </c>
      <c r="I275" s="74">
        <v>9.821213637E9</v>
      </c>
      <c r="J275" s="77" t="s">
        <v>1366</v>
      </c>
      <c r="K275" s="77" t="s">
        <v>444</v>
      </c>
      <c r="L275" s="55"/>
      <c r="M275" s="49"/>
      <c r="N275" s="49"/>
      <c r="O275" s="49"/>
      <c r="P275" s="49"/>
      <c r="Q275" s="49"/>
      <c r="R275" s="49"/>
      <c r="S275" s="49"/>
      <c r="T275" s="49"/>
      <c r="U275" s="49"/>
      <c r="V275" s="49"/>
      <c r="W275" s="49"/>
      <c r="X275" s="49"/>
      <c r="Y275" s="49"/>
      <c r="Z275" s="49"/>
    </row>
    <row r="276" ht="22.5" customHeight="1">
      <c r="A276" s="56">
        <v>46009.89165292824</v>
      </c>
      <c r="B276" s="57" t="s">
        <v>1367</v>
      </c>
      <c r="C276" s="63" t="s">
        <v>1368</v>
      </c>
      <c r="D276" s="57" t="s">
        <v>1369</v>
      </c>
      <c r="E276" s="59">
        <v>323.0</v>
      </c>
      <c r="F276" s="59">
        <v>35.0</v>
      </c>
      <c r="G276" s="57" t="s">
        <v>458</v>
      </c>
      <c r="H276" s="57" t="s">
        <v>641</v>
      </c>
      <c r="I276" s="59">
        <v>9.821213637E9</v>
      </c>
      <c r="J276" s="60" t="s">
        <v>1370</v>
      </c>
      <c r="K276" s="57" t="s">
        <v>444</v>
      </c>
      <c r="L276" s="61"/>
      <c r="M276" s="49"/>
      <c r="N276" s="49"/>
      <c r="O276" s="49"/>
      <c r="P276" s="49"/>
      <c r="Q276" s="49"/>
      <c r="R276" s="49"/>
      <c r="S276" s="49"/>
      <c r="T276" s="49"/>
      <c r="U276" s="49"/>
      <c r="V276" s="49"/>
      <c r="W276" s="49"/>
      <c r="X276" s="49"/>
      <c r="Y276" s="49"/>
      <c r="Z276" s="49"/>
    </row>
    <row r="277" ht="22.5" customHeight="1">
      <c r="A277" s="50">
        <v>45996.525458159726</v>
      </c>
      <c r="B277" s="51" t="s">
        <v>1371</v>
      </c>
      <c r="C277" s="62" t="s">
        <v>287</v>
      </c>
      <c r="D277" s="51" t="s">
        <v>13</v>
      </c>
      <c r="E277" s="53">
        <v>325.0</v>
      </c>
      <c r="F277" s="53">
        <v>25.0</v>
      </c>
      <c r="G277" s="51" t="s">
        <v>458</v>
      </c>
      <c r="H277" s="51" t="s">
        <v>471</v>
      </c>
      <c r="I277" s="53">
        <v>9.930259525E9</v>
      </c>
      <c r="J277" s="54" t="s">
        <v>1372</v>
      </c>
      <c r="K277" s="51" t="s">
        <v>444</v>
      </c>
      <c r="L277" s="55"/>
      <c r="M277" s="49"/>
      <c r="N277" s="49"/>
      <c r="O277" s="49"/>
      <c r="P277" s="49"/>
      <c r="Q277" s="49"/>
      <c r="R277" s="49"/>
      <c r="S277" s="49"/>
      <c r="T277" s="49"/>
      <c r="U277" s="49"/>
      <c r="V277" s="49"/>
      <c r="W277" s="49"/>
      <c r="X277" s="49"/>
      <c r="Y277" s="49"/>
      <c r="Z277" s="49"/>
    </row>
    <row r="278" ht="22.5" customHeight="1">
      <c r="A278" s="56">
        <v>45997.42049491898</v>
      </c>
      <c r="B278" s="57" t="s">
        <v>1373</v>
      </c>
      <c r="C278" s="63" t="s">
        <v>291</v>
      </c>
      <c r="D278" s="57" t="s">
        <v>5</v>
      </c>
      <c r="E278" s="59">
        <v>331.0</v>
      </c>
      <c r="F278" s="59">
        <v>21.0</v>
      </c>
      <c r="G278" s="57" t="s">
        <v>458</v>
      </c>
      <c r="H278" s="57" t="s">
        <v>1374</v>
      </c>
      <c r="I278" s="59">
        <v>8.719032004E9</v>
      </c>
      <c r="J278" s="60" t="s">
        <v>1375</v>
      </c>
      <c r="K278" s="57" t="s">
        <v>444</v>
      </c>
      <c r="L278" s="61"/>
      <c r="M278" s="49"/>
      <c r="N278" s="49"/>
      <c r="O278" s="49"/>
      <c r="P278" s="49"/>
      <c r="Q278" s="49"/>
      <c r="R278" s="49"/>
      <c r="S278" s="49"/>
      <c r="T278" s="49"/>
      <c r="U278" s="49"/>
      <c r="V278" s="49"/>
      <c r="W278" s="49"/>
      <c r="X278" s="49"/>
      <c r="Y278" s="49"/>
      <c r="Z278" s="49"/>
    </row>
    <row r="279" ht="22.5" customHeight="1">
      <c r="A279" s="50">
        <v>45999.3575672338</v>
      </c>
      <c r="B279" s="51" t="s">
        <v>1376</v>
      </c>
      <c r="C279" s="62" t="s">
        <v>295</v>
      </c>
      <c r="D279" s="51" t="s">
        <v>5</v>
      </c>
      <c r="E279" s="53">
        <v>336.0</v>
      </c>
      <c r="F279" s="53">
        <v>36.0</v>
      </c>
      <c r="G279" s="51" t="s">
        <v>458</v>
      </c>
      <c r="H279" s="51" t="s">
        <v>641</v>
      </c>
      <c r="I279" s="53">
        <v>9.773532004E9</v>
      </c>
      <c r="J279" s="54" t="s">
        <v>1377</v>
      </c>
      <c r="K279" s="51" t="s">
        <v>444</v>
      </c>
      <c r="L279" s="55"/>
      <c r="M279" s="49"/>
      <c r="N279" s="49"/>
      <c r="O279" s="49"/>
      <c r="P279" s="49"/>
      <c r="Q279" s="49"/>
      <c r="R279" s="49"/>
      <c r="S279" s="49"/>
      <c r="T279" s="49"/>
      <c r="U279" s="49"/>
      <c r="V279" s="49"/>
      <c r="W279" s="49"/>
      <c r="X279" s="49"/>
      <c r="Y279" s="49"/>
      <c r="Z279" s="49"/>
    </row>
    <row r="280" ht="22.5" customHeight="1">
      <c r="A280" s="56">
        <v>45996.964119965276</v>
      </c>
      <c r="B280" s="57" t="s">
        <v>1378</v>
      </c>
      <c r="C280" s="63" t="s">
        <v>1379</v>
      </c>
      <c r="D280" s="57" t="s">
        <v>9</v>
      </c>
      <c r="E280" s="59">
        <v>338.0</v>
      </c>
      <c r="F280" s="59">
        <v>20.0</v>
      </c>
      <c r="G280" s="57" t="s">
        <v>458</v>
      </c>
      <c r="H280" s="57" t="s">
        <v>1380</v>
      </c>
      <c r="I280" s="59">
        <v>8.889133721E9</v>
      </c>
      <c r="J280" s="60" t="s">
        <v>1381</v>
      </c>
      <c r="K280" s="57" t="s">
        <v>444</v>
      </c>
      <c r="L280" s="61"/>
      <c r="M280" s="49"/>
      <c r="N280" s="49"/>
      <c r="O280" s="49"/>
      <c r="P280" s="49"/>
      <c r="Q280" s="49"/>
      <c r="R280" s="49"/>
      <c r="S280" s="49"/>
      <c r="T280" s="49"/>
      <c r="U280" s="49"/>
      <c r="V280" s="49"/>
      <c r="W280" s="49"/>
      <c r="X280" s="49"/>
      <c r="Y280" s="49"/>
      <c r="Z280" s="49"/>
    </row>
    <row r="281" ht="22.5" customHeight="1">
      <c r="A281" s="50">
        <v>45998.56832456018</v>
      </c>
      <c r="B281" s="51" t="s">
        <v>1382</v>
      </c>
      <c r="C281" s="62" t="s">
        <v>298</v>
      </c>
      <c r="D281" s="51" t="s">
        <v>5</v>
      </c>
      <c r="E281" s="53">
        <v>341.0</v>
      </c>
      <c r="F281" s="53">
        <v>18.0</v>
      </c>
      <c r="G281" s="51" t="s">
        <v>458</v>
      </c>
      <c r="H281" s="51" t="s">
        <v>1383</v>
      </c>
      <c r="I281" s="53">
        <v>9.425980413E9</v>
      </c>
      <c r="J281" s="54" t="s">
        <v>1384</v>
      </c>
      <c r="K281" s="51" t="s">
        <v>444</v>
      </c>
      <c r="L281" s="55"/>
      <c r="M281" s="49"/>
      <c r="N281" s="49"/>
      <c r="O281" s="49"/>
      <c r="P281" s="49"/>
      <c r="Q281" s="49"/>
      <c r="R281" s="49"/>
      <c r="S281" s="49"/>
      <c r="T281" s="49"/>
      <c r="U281" s="49"/>
      <c r="V281" s="49"/>
      <c r="W281" s="49"/>
      <c r="X281" s="49"/>
      <c r="Y281" s="49"/>
      <c r="Z281" s="49"/>
    </row>
    <row r="282" ht="22.5" customHeight="1">
      <c r="A282" s="56">
        <v>45999.728353865736</v>
      </c>
      <c r="B282" s="57" t="s">
        <v>1385</v>
      </c>
      <c r="C282" s="63" t="s">
        <v>299</v>
      </c>
      <c r="D282" s="57" t="s">
        <v>492</v>
      </c>
      <c r="E282" s="59">
        <v>343.0</v>
      </c>
      <c r="F282" s="59">
        <v>25.0</v>
      </c>
      <c r="G282" s="57" t="s">
        <v>447</v>
      </c>
      <c r="H282" s="57" t="s">
        <v>1386</v>
      </c>
      <c r="I282" s="72">
        <v>9.752635357E9</v>
      </c>
      <c r="J282" s="60" t="s">
        <v>1387</v>
      </c>
      <c r="K282" s="57" t="s">
        <v>444</v>
      </c>
      <c r="L282" s="61"/>
      <c r="M282" s="49"/>
      <c r="N282" s="49"/>
      <c r="O282" s="49"/>
      <c r="P282" s="49"/>
      <c r="Q282" s="49"/>
      <c r="R282" s="49"/>
      <c r="S282" s="49"/>
      <c r="T282" s="49"/>
      <c r="U282" s="49"/>
      <c r="V282" s="49"/>
      <c r="W282" s="49"/>
      <c r="X282" s="49"/>
      <c r="Y282" s="49"/>
      <c r="Z282" s="49"/>
    </row>
    <row r="283" ht="22.5" customHeight="1">
      <c r="A283" s="50">
        <v>45999.755989502315</v>
      </c>
      <c r="B283" s="51" t="s">
        <v>1388</v>
      </c>
      <c r="C283" s="62" t="s">
        <v>1389</v>
      </c>
      <c r="D283" s="51" t="s">
        <v>13</v>
      </c>
      <c r="E283" s="53">
        <v>345.0</v>
      </c>
      <c r="F283" s="53">
        <v>36.0</v>
      </c>
      <c r="G283" s="51" t="s">
        <v>458</v>
      </c>
      <c r="H283" s="51" t="s">
        <v>1390</v>
      </c>
      <c r="I283" s="53">
        <v>9.426629266E9</v>
      </c>
      <c r="J283" s="54" t="s">
        <v>1391</v>
      </c>
      <c r="K283" s="51" t="s">
        <v>444</v>
      </c>
      <c r="L283" s="55"/>
      <c r="M283" s="49"/>
      <c r="N283" s="49"/>
      <c r="O283" s="49"/>
      <c r="P283" s="49"/>
      <c r="Q283" s="49"/>
      <c r="R283" s="49"/>
      <c r="S283" s="49"/>
      <c r="T283" s="49"/>
      <c r="U283" s="49"/>
      <c r="V283" s="49"/>
      <c r="W283" s="49"/>
      <c r="X283" s="49"/>
      <c r="Y283" s="49"/>
      <c r="Z283" s="49"/>
    </row>
    <row r="284" ht="22.5" customHeight="1">
      <c r="A284" s="66">
        <v>45996.49786591435</v>
      </c>
      <c r="B284" s="67" t="s">
        <v>1392</v>
      </c>
      <c r="C284" s="68" t="s">
        <v>1393</v>
      </c>
      <c r="D284" s="70" t="s">
        <v>5</v>
      </c>
      <c r="E284" s="69">
        <v>346.0</v>
      </c>
      <c r="F284" s="67">
        <v>20.0</v>
      </c>
      <c r="G284" s="70" t="s">
        <v>447</v>
      </c>
      <c r="H284" s="70" t="s">
        <v>704</v>
      </c>
      <c r="I284" s="67">
        <v>7.021786769E9</v>
      </c>
      <c r="J284" s="70" t="s">
        <v>1394</v>
      </c>
      <c r="K284" s="70" t="s">
        <v>444</v>
      </c>
      <c r="L284" s="61"/>
      <c r="M284" s="49"/>
      <c r="N284" s="49"/>
      <c r="O284" s="49"/>
      <c r="P284" s="49"/>
      <c r="Q284" s="49"/>
      <c r="R284" s="49"/>
      <c r="S284" s="49"/>
      <c r="T284" s="49"/>
      <c r="U284" s="49"/>
      <c r="V284" s="49"/>
      <c r="W284" s="49"/>
      <c r="X284" s="49"/>
      <c r="Y284" s="49"/>
      <c r="Z284" s="49"/>
    </row>
    <row r="285" ht="22.5" customHeight="1">
      <c r="A285" s="50">
        <v>46010.59769601852</v>
      </c>
      <c r="B285" s="51" t="s">
        <v>1395</v>
      </c>
      <c r="C285" s="62" t="s">
        <v>1396</v>
      </c>
      <c r="D285" s="51" t="s">
        <v>11</v>
      </c>
      <c r="E285" s="53">
        <v>414.0</v>
      </c>
      <c r="F285" s="53">
        <v>22.0</v>
      </c>
      <c r="G285" s="51" t="s">
        <v>604</v>
      </c>
      <c r="H285" s="51" t="s">
        <v>669</v>
      </c>
      <c r="I285" s="53">
        <v>7.066886661E9</v>
      </c>
      <c r="J285" s="54" t="s">
        <v>1397</v>
      </c>
      <c r="K285" s="51" t="s">
        <v>444</v>
      </c>
      <c r="L285" s="55"/>
      <c r="M285" s="49"/>
      <c r="N285" s="49"/>
      <c r="O285" s="49"/>
      <c r="P285" s="49"/>
      <c r="Q285" s="49"/>
      <c r="R285" s="49"/>
      <c r="S285" s="49"/>
      <c r="T285" s="49"/>
      <c r="U285" s="49"/>
      <c r="V285" s="49"/>
      <c r="W285" s="49"/>
      <c r="X285" s="49"/>
      <c r="Y285" s="49"/>
      <c r="Z285" s="49"/>
    </row>
    <row r="286" ht="22.5" customHeight="1">
      <c r="A286" s="56">
        <v>45996.636825925925</v>
      </c>
      <c r="B286" s="57" t="s">
        <v>1398</v>
      </c>
      <c r="C286" s="63" t="s">
        <v>1399</v>
      </c>
      <c r="D286" s="57" t="s">
        <v>7</v>
      </c>
      <c r="E286" s="59">
        <v>347.0</v>
      </c>
      <c r="F286" s="59">
        <v>35.0</v>
      </c>
      <c r="G286" s="57" t="s">
        <v>441</v>
      </c>
      <c r="H286" s="57" t="s">
        <v>641</v>
      </c>
      <c r="I286" s="59">
        <v>9.82027913E9</v>
      </c>
      <c r="J286" s="60" t="s">
        <v>1400</v>
      </c>
      <c r="K286" s="57" t="s">
        <v>444</v>
      </c>
      <c r="L286" s="61"/>
      <c r="M286" s="49"/>
      <c r="N286" s="49"/>
      <c r="O286" s="49"/>
      <c r="P286" s="49"/>
      <c r="Q286" s="49"/>
      <c r="R286" s="49"/>
      <c r="S286" s="49"/>
      <c r="T286" s="49"/>
      <c r="U286" s="49"/>
      <c r="V286" s="49"/>
      <c r="W286" s="49"/>
      <c r="X286" s="49"/>
      <c r="Y286" s="49"/>
      <c r="Z286" s="49"/>
    </row>
    <row r="287" ht="22.5" customHeight="1">
      <c r="A287" s="50">
        <v>45999.724593252315</v>
      </c>
      <c r="B287" s="51" t="s">
        <v>1401</v>
      </c>
      <c r="C287" s="62" t="s">
        <v>1402</v>
      </c>
      <c r="D287" s="51" t="s">
        <v>9</v>
      </c>
      <c r="E287" s="53">
        <v>348.0</v>
      </c>
      <c r="F287" s="53">
        <v>26.0</v>
      </c>
      <c r="G287" s="51" t="s">
        <v>458</v>
      </c>
      <c r="H287" s="51" t="s">
        <v>1403</v>
      </c>
      <c r="I287" s="53">
        <v>9.689588922E9</v>
      </c>
      <c r="J287" s="54" t="s">
        <v>1404</v>
      </c>
      <c r="K287" s="51" t="s">
        <v>444</v>
      </c>
      <c r="L287" s="55"/>
      <c r="M287" s="49"/>
      <c r="N287" s="49"/>
      <c r="O287" s="49"/>
      <c r="P287" s="49"/>
      <c r="Q287" s="49"/>
      <c r="R287" s="49"/>
      <c r="S287" s="49"/>
      <c r="T287" s="49"/>
      <c r="U287" s="49"/>
      <c r="V287" s="49"/>
      <c r="W287" s="49"/>
      <c r="X287" s="49"/>
      <c r="Y287" s="49"/>
      <c r="Z287" s="49"/>
    </row>
    <row r="288" ht="22.5" customHeight="1">
      <c r="A288" s="56">
        <v>45996.55455980324</v>
      </c>
      <c r="B288" s="57" t="s">
        <v>1405</v>
      </c>
      <c r="C288" s="63" t="s">
        <v>305</v>
      </c>
      <c r="D288" s="57" t="s">
        <v>11</v>
      </c>
      <c r="E288" s="59">
        <v>349.0</v>
      </c>
      <c r="F288" s="59">
        <v>19.0</v>
      </c>
      <c r="G288" s="57" t="s">
        <v>447</v>
      </c>
      <c r="H288" s="57" t="s">
        <v>1406</v>
      </c>
      <c r="I288" s="59">
        <v>8.779505934E9</v>
      </c>
      <c r="J288" s="60" t="s">
        <v>1407</v>
      </c>
      <c r="K288" s="57" t="s">
        <v>444</v>
      </c>
      <c r="L288" s="61"/>
      <c r="M288" s="49"/>
      <c r="N288" s="49"/>
      <c r="O288" s="49"/>
      <c r="P288" s="49"/>
      <c r="Q288" s="49"/>
      <c r="R288" s="49"/>
      <c r="S288" s="49"/>
      <c r="T288" s="49"/>
      <c r="U288" s="49"/>
      <c r="V288" s="49"/>
      <c r="W288" s="49"/>
      <c r="X288" s="49"/>
      <c r="Y288" s="49"/>
      <c r="Z288" s="49"/>
    </row>
    <row r="289" ht="22.5" customHeight="1">
      <c r="A289" s="50">
        <v>46009.44430011574</v>
      </c>
      <c r="B289" s="51" t="s">
        <v>1408</v>
      </c>
      <c r="C289" s="62" t="s">
        <v>1409</v>
      </c>
      <c r="D289" s="51" t="s">
        <v>9</v>
      </c>
      <c r="E289" s="53">
        <v>403.0</v>
      </c>
      <c r="F289" s="53">
        <v>17.0</v>
      </c>
      <c r="G289" s="51" t="s">
        <v>458</v>
      </c>
      <c r="H289" s="51" t="s">
        <v>1410</v>
      </c>
      <c r="I289" s="53">
        <v>9.5845327E9</v>
      </c>
      <c r="J289" s="54" t="s">
        <v>1411</v>
      </c>
      <c r="K289" s="51" t="s">
        <v>444</v>
      </c>
      <c r="L289" s="55"/>
      <c r="M289" s="49"/>
      <c r="N289" s="49"/>
      <c r="O289" s="49"/>
      <c r="P289" s="49"/>
      <c r="Q289" s="49"/>
      <c r="R289" s="49"/>
      <c r="S289" s="49"/>
      <c r="T289" s="49"/>
      <c r="U289" s="49"/>
      <c r="V289" s="49"/>
      <c r="W289" s="49"/>
      <c r="X289" s="49"/>
      <c r="Y289" s="49"/>
      <c r="Z289" s="49"/>
    </row>
    <row r="290" ht="22.5" customHeight="1">
      <c r="A290" s="56">
        <v>45999.510963877314</v>
      </c>
      <c r="B290" s="57" t="s">
        <v>1412</v>
      </c>
      <c r="C290" s="63" t="s">
        <v>306</v>
      </c>
      <c r="D290" s="57" t="s">
        <v>13</v>
      </c>
      <c r="E290" s="59">
        <v>350.0</v>
      </c>
      <c r="F290" s="59">
        <v>20.0</v>
      </c>
      <c r="G290" s="57" t="s">
        <v>604</v>
      </c>
      <c r="H290" s="57" t="s">
        <v>641</v>
      </c>
      <c r="I290" s="59">
        <v>9.987442429E9</v>
      </c>
      <c r="J290" s="60" t="s">
        <v>1413</v>
      </c>
      <c r="K290" s="57" t="s">
        <v>444</v>
      </c>
      <c r="L290" s="61"/>
      <c r="M290" s="49"/>
      <c r="N290" s="49"/>
      <c r="O290" s="49"/>
      <c r="P290" s="49"/>
      <c r="Q290" s="49"/>
      <c r="R290" s="49"/>
      <c r="S290" s="49"/>
      <c r="T290" s="49"/>
      <c r="U290" s="49"/>
      <c r="V290" s="49"/>
      <c r="W290" s="49"/>
      <c r="X290" s="49"/>
      <c r="Y290" s="49"/>
      <c r="Z290" s="49"/>
    </row>
    <row r="291" ht="22.5" customHeight="1">
      <c r="A291" s="50">
        <v>45996.49742194444</v>
      </c>
      <c r="B291" s="51" t="s">
        <v>1414</v>
      </c>
      <c r="C291" s="62" t="s">
        <v>1415</v>
      </c>
      <c r="D291" s="51" t="s">
        <v>5</v>
      </c>
      <c r="E291" s="53">
        <v>351.0</v>
      </c>
      <c r="F291" s="53">
        <v>19.0</v>
      </c>
      <c r="G291" s="51" t="s">
        <v>447</v>
      </c>
      <c r="H291" s="51" t="s">
        <v>1416</v>
      </c>
      <c r="I291" s="53">
        <v>8.306636404E9</v>
      </c>
      <c r="J291" s="54" t="s">
        <v>1417</v>
      </c>
      <c r="K291" s="51" t="s">
        <v>444</v>
      </c>
      <c r="L291" s="55"/>
      <c r="M291" s="49"/>
      <c r="N291" s="49"/>
      <c r="O291" s="49"/>
      <c r="P291" s="49"/>
      <c r="Q291" s="49"/>
      <c r="R291" s="49"/>
      <c r="S291" s="49"/>
      <c r="T291" s="49"/>
      <c r="U291" s="49"/>
      <c r="V291" s="49"/>
      <c r="W291" s="49"/>
      <c r="X291" s="49"/>
      <c r="Y291" s="49"/>
      <c r="Z291" s="49"/>
    </row>
    <row r="292" ht="22.5" customHeight="1">
      <c r="A292" s="56">
        <v>45996.600237245366</v>
      </c>
      <c r="B292" s="57" t="s">
        <v>1418</v>
      </c>
      <c r="C292" s="63" t="s">
        <v>1419</v>
      </c>
      <c r="D292" s="57" t="s">
        <v>7</v>
      </c>
      <c r="E292" s="59">
        <v>352.0</v>
      </c>
      <c r="F292" s="59">
        <v>23.0</v>
      </c>
      <c r="G292" s="57" t="s">
        <v>604</v>
      </c>
      <c r="H292" s="57" t="s">
        <v>1420</v>
      </c>
      <c r="I292" s="59">
        <v>9.922408775E9</v>
      </c>
      <c r="J292" s="60" t="s">
        <v>1421</v>
      </c>
      <c r="K292" s="57" t="s">
        <v>444</v>
      </c>
      <c r="L292" s="61"/>
      <c r="M292" s="49"/>
      <c r="N292" s="49"/>
      <c r="O292" s="49"/>
      <c r="P292" s="49"/>
      <c r="Q292" s="49"/>
      <c r="R292" s="49"/>
      <c r="S292" s="49"/>
      <c r="T292" s="49"/>
      <c r="U292" s="49"/>
      <c r="V292" s="49"/>
      <c r="W292" s="49"/>
      <c r="X292" s="49"/>
      <c r="Y292" s="49"/>
      <c r="Z292" s="49"/>
    </row>
    <row r="293" ht="22.5" customHeight="1">
      <c r="A293" s="50">
        <v>45996.51090415509</v>
      </c>
      <c r="B293" s="51" t="s">
        <v>1422</v>
      </c>
      <c r="C293" s="62" t="s">
        <v>310</v>
      </c>
      <c r="D293" s="51" t="s">
        <v>11</v>
      </c>
      <c r="E293" s="53">
        <v>354.0</v>
      </c>
      <c r="F293" s="53">
        <v>19.0</v>
      </c>
      <c r="G293" s="51" t="s">
        <v>447</v>
      </c>
      <c r="H293" s="51" t="s">
        <v>739</v>
      </c>
      <c r="I293" s="53">
        <v>9.870538394E9</v>
      </c>
      <c r="J293" s="54" t="s">
        <v>1423</v>
      </c>
      <c r="K293" s="51" t="s">
        <v>444</v>
      </c>
      <c r="L293" s="55"/>
      <c r="M293" s="49"/>
      <c r="N293" s="49"/>
      <c r="O293" s="49"/>
      <c r="P293" s="49"/>
      <c r="Q293" s="49"/>
      <c r="R293" s="49"/>
      <c r="S293" s="49"/>
      <c r="T293" s="49"/>
      <c r="U293" s="49"/>
      <c r="V293" s="49"/>
      <c r="W293" s="49"/>
      <c r="X293" s="49"/>
      <c r="Y293" s="49"/>
      <c r="Z293" s="49"/>
    </row>
    <row r="294" ht="22.5" customHeight="1">
      <c r="A294" s="56">
        <v>46001.5221402662</v>
      </c>
      <c r="B294" s="57" t="s">
        <v>1424</v>
      </c>
      <c r="C294" s="63" t="s">
        <v>311</v>
      </c>
      <c r="D294" s="57" t="s">
        <v>13</v>
      </c>
      <c r="E294" s="59">
        <v>355.0</v>
      </c>
      <c r="F294" s="59">
        <v>21.0</v>
      </c>
      <c r="G294" s="57" t="s">
        <v>487</v>
      </c>
      <c r="H294" s="57" t="s">
        <v>1425</v>
      </c>
      <c r="I294" s="59">
        <v>9.821257265E9</v>
      </c>
      <c r="J294" s="60" t="s">
        <v>1426</v>
      </c>
      <c r="K294" s="57" t="s">
        <v>444</v>
      </c>
      <c r="L294" s="61"/>
      <c r="M294" s="49"/>
      <c r="N294" s="49"/>
      <c r="O294" s="49"/>
      <c r="P294" s="49"/>
      <c r="Q294" s="49"/>
      <c r="R294" s="49"/>
      <c r="S294" s="49"/>
      <c r="T294" s="49"/>
      <c r="U294" s="49"/>
      <c r="V294" s="49"/>
      <c r="W294" s="49"/>
      <c r="X294" s="49"/>
      <c r="Y294" s="49"/>
      <c r="Z294" s="49"/>
    </row>
    <row r="295" ht="22.5" customHeight="1">
      <c r="A295" s="50">
        <v>45999.935371064814</v>
      </c>
      <c r="B295" s="51" t="s">
        <v>1427</v>
      </c>
      <c r="C295" s="62" t="s">
        <v>312</v>
      </c>
      <c r="D295" s="51" t="s">
        <v>847</v>
      </c>
      <c r="E295" s="53">
        <v>357.0</v>
      </c>
      <c r="F295" s="53">
        <v>35.0</v>
      </c>
      <c r="G295" s="51" t="s">
        <v>447</v>
      </c>
      <c r="H295" s="51" t="s">
        <v>1428</v>
      </c>
      <c r="I295" s="53">
        <v>7.000496236E9</v>
      </c>
      <c r="J295" s="54" t="s">
        <v>1429</v>
      </c>
      <c r="K295" s="51" t="s">
        <v>444</v>
      </c>
      <c r="L295" s="55"/>
      <c r="M295" s="49"/>
      <c r="N295" s="49"/>
      <c r="O295" s="49"/>
      <c r="P295" s="49"/>
      <c r="Q295" s="49"/>
      <c r="R295" s="49"/>
      <c r="S295" s="49"/>
      <c r="T295" s="49"/>
      <c r="U295" s="49"/>
      <c r="V295" s="49"/>
      <c r="W295" s="49"/>
      <c r="X295" s="49"/>
      <c r="Y295" s="49"/>
      <c r="Z295" s="49"/>
    </row>
    <row r="296" ht="22.5" customHeight="1">
      <c r="A296" s="56">
        <v>46000.6097434838</v>
      </c>
      <c r="B296" s="57" t="s">
        <v>1430</v>
      </c>
      <c r="C296" s="63" t="s">
        <v>1431</v>
      </c>
      <c r="D296" s="57" t="s">
        <v>9</v>
      </c>
      <c r="E296" s="59">
        <v>358.0</v>
      </c>
      <c r="F296" s="59">
        <v>42.0</v>
      </c>
      <c r="G296" s="57" t="s">
        <v>458</v>
      </c>
      <c r="H296" s="57" t="s">
        <v>809</v>
      </c>
      <c r="I296" s="59">
        <v>9.649566062E9</v>
      </c>
      <c r="J296" s="60" t="s">
        <v>1432</v>
      </c>
      <c r="K296" s="57" t="s">
        <v>444</v>
      </c>
      <c r="L296" s="61"/>
      <c r="M296" s="49"/>
      <c r="N296" s="49"/>
      <c r="O296" s="49"/>
      <c r="P296" s="49"/>
      <c r="Q296" s="49"/>
      <c r="R296" s="49"/>
      <c r="S296" s="49"/>
      <c r="T296" s="49"/>
      <c r="U296" s="49"/>
      <c r="V296" s="49"/>
      <c r="W296" s="49"/>
      <c r="X296" s="49"/>
      <c r="Y296" s="49"/>
      <c r="Z296" s="49"/>
    </row>
    <row r="297" ht="22.5" customHeight="1">
      <c r="A297" s="50">
        <v>45996.49847978009</v>
      </c>
      <c r="B297" s="51" t="s">
        <v>1433</v>
      </c>
      <c r="C297" s="62" t="s">
        <v>1434</v>
      </c>
      <c r="D297" s="51" t="s">
        <v>13</v>
      </c>
      <c r="E297" s="53">
        <v>360.0</v>
      </c>
      <c r="F297" s="53">
        <v>19.0</v>
      </c>
      <c r="G297" s="51" t="s">
        <v>447</v>
      </c>
      <c r="H297" s="51" t="s">
        <v>1435</v>
      </c>
      <c r="I297" s="53">
        <v>7.024325588E9</v>
      </c>
      <c r="J297" s="54" t="s">
        <v>1436</v>
      </c>
      <c r="K297" s="51" t="s">
        <v>444</v>
      </c>
      <c r="L297" s="55"/>
      <c r="M297" s="49"/>
      <c r="N297" s="49"/>
      <c r="O297" s="49"/>
      <c r="P297" s="49"/>
      <c r="Q297" s="49"/>
      <c r="R297" s="49"/>
      <c r="S297" s="49"/>
      <c r="T297" s="49"/>
      <c r="U297" s="49"/>
      <c r="V297" s="49"/>
      <c r="W297" s="49"/>
      <c r="X297" s="49"/>
      <c r="Y297" s="49"/>
      <c r="Z297" s="49"/>
    </row>
    <row r="298" ht="22.5" customHeight="1">
      <c r="A298" s="56">
        <v>45999.79333288195</v>
      </c>
      <c r="B298" s="57" t="s">
        <v>1437</v>
      </c>
      <c r="C298" s="63" t="s">
        <v>316</v>
      </c>
      <c r="D298" s="57" t="s">
        <v>5</v>
      </c>
      <c r="E298" s="59">
        <v>361.0</v>
      </c>
      <c r="F298" s="59">
        <v>18.0</v>
      </c>
      <c r="G298" s="57" t="s">
        <v>1438</v>
      </c>
      <c r="H298" s="57" t="s">
        <v>471</v>
      </c>
      <c r="I298" s="59">
        <v>7.039033501E9</v>
      </c>
      <c r="J298" s="60" t="s">
        <v>1439</v>
      </c>
      <c r="K298" s="57" t="s">
        <v>444</v>
      </c>
      <c r="L298" s="61"/>
      <c r="M298" s="49"/>
      <c r="N298" s="49"/>
      <c r="O298" s="49"/>
      <c r="P298" s="49"/>
      <c r="Q298" s="49"/>
      <c r="R298" s="49"/>
      <c r="S298" s="49"/>
      <c r="T298" s="49"/>
      <c r="U298" s="49"/>
      <c r="V298" s="49"/>
      <c r="W298" s="49"/>
      <c r="X298" s="49"/>
      <c r="Y298" s="49"/>
      <c r="Z298" s="49"/>
    </row>
    <row r="299" ht="22.5" customHeight="1">
      <c r="A299" s="50">
        <v>46001.6874459838</v>
      </c>
      <c r="B299" s="51" t="s">
        <v>1440</v>
      </c>
      <c r="C299" s="62" t="s">
        <v>1441</v>
      </c>
      <c r="D299" s="51" t="s">
        <v>7</v>
      </c>
      <c r="E299" s="53">
        <v>362.0</v>
      </c>
      <c r="F299" s="53">
        <v>20.0</v>
      </c>
      <c r="G299" s="51" t="s">
        <v>447</v>
      </c>
      <c r="H299" s="51" t="s">
        <v>1442</v>
      </c>
      <c r="I299" s="53">
        <v>9.892981015E9</v>
      </c>
      <c r="J299" s="54" t="s">
        <v>1443</v>
      </c>
      <c r="K299" s="51" t="s">
        <v>444</v>
      </c>
      <c r="L299" s="55"/>
      <c r="M299" s="49"/>
      <c r="N299" s="49"/>
      <c r="O299" s="49"/>
      <c r="P299" s="49"/>
      <c r="Q299" s="49"/>
      <c r="R299" s="49"/>
      <c r="S299" s="49"/>
      <c r="T299" s="49"/>
      <c r="U299" s="49"/>
      <c r="V299" s="49"/>
      <c r="W299" s="49"/>
      <c r="X299" s="49"/>
      <c r="Y299" s="49"/>
      <c r="Z299" s="49"/>
    </row>
    <row r="300" ht="22.5" customHeight="1">
      <c r="A300" s="66">
        <v>46000.6029330787</v>
      </c>
      <c r="B300" s="67" t="s">
        <v>1444</v>
      </c>
      <c r="C300" s="68" t="s">
        <v>318</v>
      </c>
      <c r="D300" s="67">
        <v>563101.0</v>
      </c>
      <c r="E300" s="69">
        <v>363.0</v>
      </c>
      <c r="F300" s="67">
        <v>23.0</v>
      </c>
      <c r="G300" s="70" t="s">
        <v>487</v>
      </c>
      <c r="H300" s="70" t="s">
        <v>665</v>
      </c>
      <c r="I300" s="67">
        <v>8.147304722E9</v>
      </c>
      <c r="J300" s="70" t="s">
        <v>1445</v>
      </c>
      <c r="K300" s="70" t="s">
        <v>444</v>
      </c>
      <c r="L300" s="61"/>
      <c r="M300" s="49"/>
      <c r="N300" s="49"/>
      <c r="O300" s="49"/>
      <c r="P300" s="49"/>
      <c r="Q300" s="49"/>
      <c r="R300" s="49"/>
      <c r="S300" s="49"/>
      <c r="T300" s="49"/>
      <c r="U300" s="49"/>
      <c r="V300" s="49"/>
      <c r="W300" s="49"/>
      <c r="X300" s="49"/>
      <c r="Y300" s="49"/>
      <c r="Z300" s="49"/>
    </row>
    <row r="301" ht="22.5" customHeight="1">
      <c r="A301" s="50">
        <v>45999.712087395834</v>
      </c>
      <c r="B301" s="51" t="s">
        <v>1446</v>
      </c>
      <c r="C301" s="62" t="s">
        <v>1447</v>
      </c>
      <c r="D301" s="51" t="s">
        <v>5</v>
      </c>
      <c r="E301" s="53">
        <v>366.0</v>
      </c>
      <c r="F301" s="53">
        <v>20.0</v>
      </c>
      <c r="G301" s="51" t="s">
        <v>447</v>
      </c>
      <c r="H301" s="51" t="s">
        <v>471</v>
      </c>
      <c r="I301" s="53">
        <v>9.869076421E9</v>
      </c>
      <c r="J301" s="54" t="s">
        <v>1448</v>
      </c>
      <c r="K301" s="51" t="s">
        <v>444</v>
      </c>
      <c r="L301" s="55"/>
      <c r="M301" s="49"/>
      <c r="N301" s="49"/>
      <c r="O301" s="49"/>
      <c r="P301" s="49"/>
      <c r="Q301" s="49"/>
      <c r="R301" s="49"/>
      <c r="S301" s="49"/>
      <c r="T301" s="49"/>
      <c r="U301" s="49"/>
      <c r="V301" s="49"/>
      <c r="W301" s="49"/>
      <c r="X301" s="49"/>
      <c r="Y301" s="49"/>
      <c r="Z301" s="49"/>
    </row>
    <row r="302" ht="22.5" customHeight="1">
      <c r="A302" s="56">
        <v>45996.548492789356</v>
      </c>
      <c r="B302" s="57" t="s">
        <v>1449</v>
      </c>
      <c r="C302" s="63" t="s">
        <v>1450</v>
      </c>
      <c r="D302" s="57" t="s">
        <v>11</v>
      </c>
      <c r="E302" s="59">
        <v>364.0</v>
      </c>
      <c r="F302" s="59">
        <v>22.0</v>
      </c>
      <c r="G302" s="57" t="s">
        <v>458</v>
      </c>
      <c r="H302" s="57" t="s">
        <v>1451</v>
      </c>
      <c r="I302" s="59">
        <v>9.320864365E9</v>
      </c>
      <c r="J302" s="60" t="s">
        <v>1452</v>
      </c>
      <c r="K302" s="57" t="s">
        <v>444</v>
      </c>
      <c r="L302" s="61"/>
      <c r="M302" s="49"/>
      <c r="N302" s="49"/>
      <c r="O302" s="49"/>
      <c r="P302" s="49"/>
      <c r="Q302" s="49"/>
      <c r="R302" s="49"/>
      <c r="S302" s="49"/>
      <c r="T302" s="49"/>
      <c r="U302" s="49"/>
      <c r="V302" s="49"/>
      <c r="W302" s="49"/>
      <c r="X302" s="49"/>
      <c r="Y302" s="49"/>
      <c r="Z302" s="49"/>
    </row>
    <row r="303" ht="22.5" customHeight="1">
      <c r="A303" s="50">
        <v>45996.49892949074</v>
      </c>
      <c r="B303" s="51" t="s">
        <v>1453</v>
      </c>
      <c r="C303" s="62" t="s">
        <v>1454</v>
      </c>
      <c r="D303" s="51" t="s">
        <v>13</v>
      </c>
      <c r="E303" s="53">
        <v>365.0</v>
      </c>
      <c r="F303" s="53">
        <v>16.0</v>
      </c>
      <c r="G303" s="51" t="s">
        <v>458</v>
      </c>
      <c r="H303" s="51" t="s">
        <v>1455</v>
      </c>
      <c r="I303" s="53">
        <v>9.82118066E9</v>
      </c>
      <c r="J303" s="54" t="s">
        <v>1456</v>
      </c>
      <c r="K303" s="51" t="s">
        <v>444</v>
      </c>
      <c r="L303" s="55"/>
      <c r="M303" s="49"/>
      <c r="N303" s="49"/>
      <c r="O303" s="49"/>
      <c r="P303" s="49"/>
      <c r="Q303" s="49"/>
      <c r="R303" s="49"/>
      <c r="S303" s="49"/>
      <c r="T303" s="49"/>
      <c r="U303" s="49"/>
      <c r="V303" s="49"/>
      <c r="W303" s="49"/>
      <c r="X303" s="49"/>
      <c r="Y303" s="49"/>
      <c r="Z303" s="49"/>
    </row>
    <row r="304" ht="22.5" customHeight="1">
      <c r="A304" s="56">
        <v>46000.875266863426</v>
      </c>
      <c r="B304" s="57" t="s">
        <v>1457</v>
      </c>
      <c r="C304" s="63" t="s">
        <v>322</v>
      </c>
      <c r="D304" s="57" t="s">
        <v>7</v>
      </c>
      <c r="E304" s="59">
        <v>367.0</v>
      </c>
      <c r="F304" s="59">
        <v>16.0</v>
      </c>
      <c r="G304" s="57" t="s">
        <v>470</v>
      </c>
      <c r="H304" s="57" t="s">
        <v>669</v>
      </c>
      <c r="I304" s="59">
        <v>8.149880999E9</v>
      </c>
      <c r="J304" s="60" t="s">
        <v>1458</v>
      </c>
      <c r="K304" s="57" t="s">
        <v>444</v>
      </c>
      <c r="L304" s="61"/>
      <c r="M304" s="49"/>
      <c r="N304" s="49"/>
      <c r="O304" s="49"/>
      <c r="P304" s="49"/>
      <c r="Q304" s="49"/>
      <c r="R304" s="49"/>
      <c r="S304" s="49"/>
      <c r="T304" s="49"/>
      <c r="U304" s="49"/>
      <c r="V304" s="49"/>
      <c r="W304" s="49"/>
      <c r="X304" s="49"/>
      <c r="Y304" s="49"/>
      <c r="Z304" s="49"/>
    </row>
    <row r="305" ht="22.5" customHeight="1">
      <c r="A305" s="50">
        <v>45996.86603122685</v>
      </c>
      <c r="B305" s="51" t="s">
        <v>1459</v>
      </c>
      <c r="C305" s="62" t="s">
        <v>1460</v>
      </c>
      <c r="D305" s="51" t="s">
        <v>9</v>
      </c>
      <c r="E305" s="53">
        <v>368.0</v>
      </c>
      <c r="F305" s="53">
        <v>23.0</v>
      </c>
      <c r="G305" s="51" t="s">
        <v>487</v>
      </c>
      <c r="H305" s="51" t="s">
        <v>1461</v>
      </c>
      <c r="I305" s="53">
        <v>9.51163432E9</v>
      </c>
      <c r="J305" s="54" t="s">
        <v>1462</v>
      </c>
      <c r="K305" s="51" t="s">
        <v>444</v>
      </c>
      <c r="L305" s="55"/>
      <c r="M305" s="49"/>
      <c r="N305" s="49"/>
      <c r="O305" s="49"/>
      <c r="P305" s="49"/>
      <c r="Q305" s="49"/>
      <c r="R305" s="49"/>
      <c r="S305" s="49"/>
      <c r="T305" s="49"/>
      <c r="U305" s="49"/>
      <c r="V305" s="49"/>
      <c r="W305" s="49"/>
      <c r="X305" s="49"/>
      <c r="Y305" s="49"/>
      <c r="Z305" s="49"/>
    </row>
    <row r="306" ht="22.5" customHeight="1">
      <c r="A306" s="56">
        <v>46000.90487105324</v>
      </c>
      <c r="B306" s="57" t="s">
        <v>1463</v>
      </c>
      <c r="C306" s="63" t="s">
        <v>325</v>
      </c>
      <c r="D306" s="57" t="s">
        <v>13</v>
      </c>
      <c r="E306" s="59">
        <v>370.0</v>
      </c>
      <c r="F306" s="59">
        <v>19.0</v>
      </c>
      <c r="G306" s="57" t="s">
        <v>487</v>
      </c>
      <c r="H306" s="57" t="s">
        <v>1464</v>
      </c>
      <c r="I306" s="59">
        <v>8.369404892E9</v>
      </c>
      <c r="J306" s="60" t="s">
        <v>1465</v>
      </c>
      <c r="K306" s="57" t="s">
        <v>444</v>
      </c>
      <c r="L306" s="61"/>
      <c r="M306" s="49"/>
      <c r="N306" s="49"/>
      <c r="O306" s="49"/>
      <c r="P306" s="49"/>
      <c r="Q306" s="49"/>
      <c r="R306" s="49"/>
      <c r="S306" s="49"/>
      <c r="T306" s="49"/>
      <c r="U306" s="49"/>
      <c r="V306" s="49"/>
      <c r="W306" s="49"/>
      <c r="X306" s="49"/>
      <c r="Y306" s="49"/>
      <c r="Z306" s="49"/>
    </row>
    <row r="307" ht="22.5" customHeight="1">
      <c r="A307" s="50">
        <v>46016.950855057876</v>
      </c>
      <c r="B307" s="51" t="s">
        <v>1466</v>
      </c>
      <c r="C307" s="62" t="s">
        <v>326</v>
      </c>
      <c r="D307" s="51" t="s">
        <v>1467</v>
      </c>
      <c r="E307" s="51" t="s">
        <v>1467</v>
      </c>
      <c r="F307" s="53">
        <v>35.0</v>
      </c>
      <c r="G307" s="51" t="s">
        <v>447</v>
      </c>
      <c r="H307" s="51" t="s">
        <v>1101</v>
      </c>
      <c r="I307" s="53">
        <v>9.7140912E9</v>
      </c>
      <c r="J307" s="54" t="s">
        <v>1468</v>
      </c>
      <c r="K307" s="51" t="s">
        <v>444</v>
      </c>
      <c r="L307" s="55"/>
      <c r="M307" s="49"/>
      <c r="N307" s="49"/>
      <c r="O307" s="49"/>
      <c r="P307" s="49"/>
      <c r="Q307" s="49"/>
      <c r="R307" s="49"/>
      <c r="S307" s="49"/>
      <c r="T307" s="49"/>
      <c r="U307" s="49"/>
      <c r="V307" s="49"/>
      <c r="W307" s="49"/>
      <c r="X307" s="49"/>
      <c r="Y307" s="49"/>
      <c r="Z307" s="49"/>
    </row>
    <row r="308" ht="22.5" customHeight="1">
      <c r="A308" s="56">
        <v>46016.41549</v>
      </c>
      <c r="B308" s="57" t="s">
        <v>1469</v>
      </c>
      <c r="C308" s="63" t="s">
        <v>1470</v>
      </c>
      <c r="D308" s="57" t="s">
        <v>9</v>
      </c>
      <c r="E308" s="59">
        <v>450.0</v>
      </c>
      <c r="F308" s="59">
        <v>21.0</v>
      </c>
      <c r="G308" s="57" t="s">
        <v>458</v>
      </c>
      <c r="H308" s="57" t="s">
        <v>1471</v>
      </c>
      <c r="I308" s="59">
        <v>9.97985076E9</v>
      </c>
      <c r="J308" s="60" t="s">
        <v>1472</v>
      </c>
      <c r="K308" s="57" t="s">
        <v>444</v>
      </c>
      <c r="L308" s="61"/>
      <c r="M308" s="49"/>
      <c r="N308" s="49"/>
      <c r="O308" s="49"/>
      <c r="P308" s="49"/>
      <c r="Q308" s="49"/>
      <c r="R308" s="49"/>
      <c r="S308" s="49"/>
      <c r="T308" s="49"/>
      <c r="U308" s="49"/>
      <c r="V308" s="49"/>
      <c r="W308" s="49"/>
      <c r="X308" s="49"/>
      <c r="Y308" s="49"/>
      <c r="Z308" s="49"/>
    </row>
    <row r="309" ht="22.5" customHeight="1">
      <c r="A309" s="50">
        <v>45996.58882693287</v>
      </c>
      <c r="B309" s="51" t="s">
        <v>1473</v>
      </c>
      <c r="C309" s="62" t="s">
        <v>1474</v>
      </c>
      <c r="D309" s="53">
        <v>400068.0</v>
      </c>
      <c r="E309" s="53">
        <v>372.0</v>
      </c>
      <c r="F309" s="53">
        <v>33.0</v>
      </c>
      <c r="G309" s="51" t="s">
        <v>458</v>
      </c>
      <c r="H309" s="51" t="s">
        <v>752</v>
      </c>
      <c r="I309" s="53">
        <v>9.833199923E9</v>
      </c>
      <c r="J309" s="54" t="s">
        <v>1475</v>
      </c>
      <c r="K309" s="51" t="s">
        <v>444</v>
      </c>
      <c r="L309" s="55"/>
      <c r="M309" s="49"/>
      <c r="N309" s="49"/>
      <c r="O309" s="49"/>
      <c r="P309" s="49"/>
      <c r="Q309" s="49"/>
      <c r="R309" s="49"/>
      <c r="S309" s="49"/>
      <c r="T309" s="49"/>
      <c r="U309" s="49"/>
      <c r="V309" s="49"/>
      <c r="W309" s="49"/>
      <c r="X309" s="49"/>
      <c r="Y309" s="49"/>
      <c r="Z309" s="49"/>
    </row>
    <row r="310" ht="22.5" customHeight="1">
      <c r="A310" s="56">
        <v>46010.728773622686</v>
      </c>
      <c r="B310" s="57" t="s">
        <v>1476</v>
      </c>
      <c r="C310" s="63" t="s">
        <v>370</v>
      </c>
      <c r="D310" s="57" t="s">
        <v>13</v>
      </c>
      <c r="E310" s="59">
        <v>420.0</v>
      </c>
      <c r="F310" s="59">
        <v>22.0</v>
      </c>
      <c r="G310" s="57" t="s">
        <v>458</v>
      </c>
      <c r="H310" s="57" t="s">
        <v>471</v>
      </c>
      <c r="I310" s="59">
        <v>9.224617878E9</v>
      </c>
      <c r="J310" s="60" t="s">
        <v>1477</v>
      </c>
      <c r="K310" s="57" t="s">
        <v>444</v>
      </c>
      <c r="L310" s="61"/>
      <c r="M310" s="49"/>
      <c r="N310" s="49"/>
      <c r="O310" s="49"/>
      <c r="P310" s="49"/>
      <c r="Q310" s="49"/>
      <c r="R310" s="49"/>
      <c r="S310" s="49"/>
      <c r="T310" s="49"/>
      <c r="U310" s="49"/>
      <c r="V310" s="49"/>
      <c r="W310" s="49"/>
      <c r="X310" s="49"/>
      <c r="Y310" s="49"/>
      <c r="Z310" s="49"/>
    </row>
    <row r="311" ht="22.5" customHeight="1">
      <c r="A311" s="50">
        <v>46012.598287835644</v>
      </c>
      <c r="B311" s="51" t="s">
        <v>1478</v>
      </c>
      <c r="C311" s="62" t="s">
        <v>1479</v>
      </c>
      <c r="D311" s="51" t="s">
        <v>7</v>
      </c>
      <c r="E311" s="53">
        <v>424.0</v>
      </c>
      <c r="F311" s="53">
        <v>21.0</v>
      </c>
      <c r="G311" s="51" t="s">
        <v>447</v>
      </c>
      <c r="H311" s="51" t="s">
        <v>695</v>
      </c>
      <c r="I311" s="53">
        <v>9.327661474E9</v>
      </c>
      <c r="J311" s="54" t="s">
        <v>1480</v>
      </c>
      <c r="K311" s="51" t="s">
        <v>444</v>
      </c>
      <c r="L311" s="55"/>
      <c r="M311" s="49"/>
      <c r="N311" s="49"/>
      <c r="O311" s="49"/>
      <c r="P311" s="49"/>
      <c r="Q311" s="49"/>
      <c r="R311" s="49"/>
      <c r="S311" s="49"/>
      <c r="T311" s="49"/>
      <c r="U311" s="49"/>
      <c r="V311" s="49"/>
      <c r="W311" s="49"/>
      <c r="X311" s="49"/>
      <c r="Y311" s="49"/>
      <c r="Z311" s="49"/>
    </row>
    <row r="312" ht="22.5" customHeight="1">
      <c r="A312" s="56">
        <v>45997.90317550926</v>
      </c>
      <c r="B312" s="57" t="s">
        <v>1481</v>
      </c>
      <c r="C312" s="63" t="s">
        <v>329</v>
      </c>
      <c r="D312" s="57" t="s">
        <v>11</v>
      </c>
      <c r="E312" s="59">
        <v>374.0</v>
      </c>
      <c r="F312" s="59">
        <v>25.0</v>
      </c>
      <c r="G312" s="57" t="s">
        <v>458</v>
      </c>
      <c r="H312" s="57" t="s">
        <v>471</v>
      </c>
      <c r="I312" s="59">
        <v>9.324834354E9</v>
      </c>
      <c r="J312" s="60" t="s">
        <v>1482</v>
      </c>
      <c r="K312" s="57" t="s">
        <v>444</v>
      </c>
      <c r="L312" s="61"/>
      <c r="M312" s="49"/>
      <c r="N312" s="49"/>
      <c r="O312" s="49"/>
      <c r="P312" s="49"/>
      <c r="Q312" s="49"/>
      <c r="R312" s="49"/>
      <c r="S312" s="49"/>
      <c r="T312" s="49"/>
      <c r="U312" s="49"/>
      <c r="V312" s="49"/>
      <c r="W312" s="49"/>
      <c r="X312" s="49"/>
      <c r="Y312" s="49"/>
      <c r="Z312" s="49"/>
    </row>
    <row r="313" ht="22.5" customHeight="1">
      <c r="A313" s="50">
        <v>45997.70824078703</v>
      </c>
      <c r="B313" s="51" t="s">
        <v>1209</v>
      </c>
      <c r="C313" s="62" t="s">
        <v>1483</v>
      </c>
      <c r="D313" s="51" t="s">
        <v>13</v>
      </c>
      <c r="E313" s="53">
        <v>375.0</v>
      </c>
      <c r="F313" s="53">
        <v>23.0</v>
      </c>
      <c r="G313" s="51" t="s">
        <v>447</v>
      </c>
      <c r="H313" s="51" t="s">
        <v>1210</v>
      </c>
      <c r="I313" s="53">
        <v>9.71291323E9</v>
      </c>
      <c r="J313" s="54" t="s">
        <v>1484</v>
      </c>
      <c r="K313" s="51" t="s">
        <v>444</v>
      </c>
      <c r="L313" s="55"/>
      <c r="M313" s="49"/>
      <c r="N313" s="49"/>
      <c r="O313" s="49"/>
      <c r="P313" s="49"/>
      <c r="Q313" s="49"/>
      <c r="R313" s="49"/>
      <c r="S313" s="49"/>
      <c r="T313" s="49"/>
      <c r="U313" s="49"/>
      <c r="V313" s="49"/>
      <c r="W313" s="49"/>
      <c r="X313" s="49"/>
      <c r="Y313" s="49"/>
      <c r="Z313" s="49"/>
    </row>
    <row r="314" ht="22.5" customHeight="1">
      <c r="A314" s="56">
        <v>45996.56496741898</v>
      </c>
      <c r="B314" s="57" t="s">
        <v>1485</v>
      </c>
      <c r="C314" s="63" t="s">
        <v>1486</v>
      </c>
      <c r="D314" s="57" t="s">
        <v>9</v>
      </c>
      <c r="E314" s="59">
        <v>373.0</v>
      </c>
      <c r="F314" s="59">
        <v>41.0</v>
      </c>
      <c r="G314" s="57" t="s">
        <v>458</v>
      </c>
      <c r="H314" s="57" t="s">
        <v>1487</v>
      </c>
      <c r="I314" s="59">
        <v>9.725555541E9</v>
      </c>
      <c r="J314" s="60" t="s">
        <v>1488</v>
      </c>
      <c r="K314" s="57" t="s">
        <v>444</v>
      </c>
      <c r="L314" s="61"/>
      <c r="M314" s="49"/>
      <c r="N314" s="49"/>
      <c r="O314" s="49"/>
      <c r="P314" s="49"/>
      <c r="Q314" s="49"/>
      <c r="R314" s="49"/>
      <c r="S314" s="49"/>
      <c r="T314" s="49"/>
      <c r="U314" s="49"/>
      <c r="V314" s="49"/>
      <c r="W314" s="49"/>
      <c r="X314" s="49"/>
      <c r="Y314" s="49"/>
      <c r="Z314" s="49"/>
    </row>
    <row r="315" ht="22.5" customHeight="1">
      <c r="A315" s="50">
        <v>46001.89325606481</v>
      </c>
      <c r="B315" s="51" t="s">
        <v>1489</v>
      </c>
      <c r="C315" s="62" t="s">
        <v>1490</v>
      </c>
      <c r="D315" s="51" t="s">
        <v>5</v>
      </c>
      <c r="E315" s="53">
        <v>376.0</v>
      </c>
      <c r="F315" s="53">
        <v>20.0</v>
      </c>
      <c r="G315" s="51" t="s">
        <v>458</v>
      </c>
      <c r="H315" s="51" t="s">
        <v>641</v>
      </c>
      <c r="I315" s="53">
        <v>9.819528088E9</v>
      </c>
      <c r="J315" s="54" t="s">
        <v>1491</v>
      </c>
      <c r="K315" s="51" t="s">
        <v>444</v>
      </c>
      <c r="L315" s="55"/>
      <c r="M315" s="49"/>
      <c r="N315" s="49"/>
      <c r="O315" s="49"/>
      <c r="P315" s="49"/>
      <c r="Q315" s="49"/>
      <c r="R315" s="49"/>
      <c r="S315" s="49"/>
      <c r="T315" s="49"/>
      <c r="U315" s="49"/>
      <c r="V315" s="49"/>
      <c r="W315" s="49"/>
      <c r="X315" s="49"/>
      <c r="Y315" s="49"/>
      <c r="Z315" s="49"/>
    </row>
    <row r="316" ht="22.5" customHeight="1">
      <c r="A316" s="56">
        <v>45999.594999699075</v>
      </c>
      <c r="B316" s="57" t="s">
        <v>1492</v>
      </c>
      <c r="C316" s="63" t="s">
        <v>1493</v>
      </c>
      <c r="D316" s="57" t="s">
        <v>7</v>
      </c>
      <c r="E316" s="59">
        <v>377.0</v>
      </c>
      <c r="F316" s="59">
        <v>19.0</v>
      </c>
      <c r="G316" s="57" t="s">
        <v>458</v>
      </c>
      <c r="H316" s="57" t="s">
        <v>641</v>
      </c>
      <c r="I316" s="59">
        <v>9.892613366E9</v>
      </c>
      <c r="J316" s="60" t="s">
        <v>1494</v>
      </c>
      <c r="K316" s="57" t="s">
        <v>444</v>
      </c>
      <c r="L316" s="61"/>
      <c r="M316" s="49"/>
      <c r="N316" s="49"/>
      <c r="O316" s="49"/>
      <c r="P316" s="49"/>
      <c r="Q316" s="49"/>
      <c r="R316" s="49"/>
      <c r="S316" s="49"/>
      <c r="T316" s="49"/>
      <c r="U316" s="49"/>
      <c r="V316" s="49"/>
      <c r="W316" s="49"/>
      <c r="X316" s="49"/>
      <c r="Y316" s="49"/>
      <c r="Z316" s="49"/>
    </row>
    <row r="317" ht="22.5" customHeight="1">
      <c r="A317" s="73">
        <v>46001.71080548612</v>
      </c>
      <c r="B317" s="74" t="s">
        <v>1495</v>
      </c>
      <c r="C317" s="75" t="s">
        <v>1496</v>
      </c>
      <c r="D317" s="77" t="s">
        <v>9</v>
      </c>
      <c r="E317" s="76">
        <v>378.0</v>
      </c>
      <c r="F317" s="74">
        <v>28.0</v>
      </c>
      <c r="G317" s="77" t="s">
        <v>458</v>
      </c>
      <c r="H317" s="77" t="s">
        <v>1195</v>
      </c>
      <c r="I317" s="74">
        <v>9.829188428E9</v>
      </c>
      <c r="J317" s="77" t="s">
        <v>1497</v>
      </c>
      <c r="K317" s="77" t="s">
        <v>444</v>
      </c>
      <c r="L317" s="55"/>
      <c r="M317" s="49"/>
      <c r="N317" s="49"/>
      <c r="O317" s="49"/>
      <c r="P317" s="49"/>
      <c r="Q317" s="49"/>
      <c r="R317" s="49"/>
      <c r="S317" s="49"/>
      <c r="T317" s="49"/>
      <c r="U317" s="49"/>
      <c r="V317" s="49"/>
      <c r="W317" s="49"/>
      <c r="X317" s="49"/>
      <c r="Y317" s="49"/>
      <c r="Z317" s="49"/>
    </row>
    <row r="318" ht="22.5" customHeight="1">
      <c r="A318" s="66">
        <v>45996.50215719907</v>
      </c>
      <c r="B318" s="67" t="s">
        <v>1498</v>
      </c>
      <c r="C318" s="68" t="s">
        <v>334</v>
      </c>
      <c r="D318" s="70" t="s">
        <v>11</v>
      </c>
      <c r="E318" s="69">
        <v>379.0</v>
      </c>
      <c r="F318" s="67">
        <v>18.0</v>
      </c>
      <c r="G318" s="70" t="s">
        <v>447</v>
      </c>
      <c r="H318" s="70" t="s">
        <v>669</v>
      </c>
      <c r="I318" s="67">
        <v>9.422666062E9</v>
      </c>
      <c r="J318" s="70" t="s">
        <v>1499</v>
      </c>
      <c r="K318" s="70" t="s">
        <v>444</v>
      </c>
      <c r="L318" s="61"/>
      <c r="M318" s="49"/>
      <c r="N318" s="49"/>
      <c r="O318" s="49"/>
      <c r="P318" s="49"/>
      <c r="Q318" s="49"/>
      <c r="R318" s="49"/>
      <c r="S318" s="49"/>
      <c r="T318" s="49"/>
      <c r="U318" s="49"/>
      <c r="V318" s="49"/>
      <c r="W318" s="49"/>
      <c r="X318" s="49"/>
      <c r="Y318" s="49"/>
      <c r="Z318" s="49"/>
    </row>
    <row r="319" ht="22.5" customHeight="1">
      <c r="A319" s="50">
        <v>45996.800270567124</v>
      </c>
      <c r="B319" s="51" t="s">
        <v>1500</v>
      </c>
      <c r="C319" s="62" t="s">
        <v>335</v>
      </c>
      <c r="D319" s="51" t="s">
        <v>13</v>
      </c>
      <c r="E319" s="53">
        <v>380.0</v>
      </c>
      <c r="F319" s="53">
        <v>24.0</v>
      </c>
      <c r="G319" s="51" t="s">
        <v>447</v>
      </c>
      <c r="H319" s="51" t="s">
        <v>1501</v>
      </c>
      <c r="I319" s="53">
        <v>8.16078341E9</v>
      </c>
      <c r="J319" s="54" t="s">
        <v>1502</v>
      </c>
      <c r="K319" s="51" t="s">
        <v>444</v>
      </c>
      <c r="L319" s="55"/>
      <c r="M319" s="49"/>
      <c r="N319" s="49"/>
      <c r="O319" s="49"/>
      <c r="P319" s="49"/>
      <c r="Q319" s="49"/>
      <c r="R319" s="49"/>
      <c r="S319" s="49"/>
      <c r="T319" s="49"/>
      <c r="U319" s="49"/>
      <c r="V319" s="49"/>
      <c r="W319" s="49"/>
      <c r="X319" s="49"/>
      <c r="Y319" s="49"/>
      <c r="Z319" s="49"/>
    </row>
    <row r="320" ht="22.5" customHeight="1">
      <c r="A320" s="56">
        <v>46001.45418356481</v>
      </c>
      <c r="B320" s="57" t="s">
        <v>1503</v>
      </c>
      <c r="C320" s="63" t="s">
        <v>336</v>
      </c>
      <c r="D320" s="57" t="s">
        <v>7</v>
      </c>
      <c r="E320" s="59">
        <v>382.0</v>
      </c>
      <c r="F320" s="59">
        <v>18.0</v>
      </c>
      <c r="G320" s="57" t="s">
        <v>447</v>
      </c>
      <c r="H320" s="57" t="s">
        <v>1504</v>
      </c>
      <c r="I320" s="59">
        <v>9.427066925E9</v>
      </c>
      <c r="J320" s="60" t="s">
        <v>1505</v>
      </c>
      <c r="K320" s="57" t="s">
        <v>444</v>
      </c>
      <c r="L320" s="61"/>
      <c r="M320" s="49"/>
      <c r="N320" s="49"/>
      <c r="O320" s="49"/>
      <c r="P320" s="49"/>
      <c r="Q320" s="49"/>
      <c r="R320" s="49"/>
      <c r="S320" s="49"/>
      <c r="T320" s="49"/>
      <c r="U320" s="49"/>
      <c r="V320" s="49"/>
      <c r="W320" s="49"/>
      <c r="X320" s="49"/>
      <c r="Y320" s="49"/>
      <c r="Z320" s="49"/>
    </row>
    <row r="321" ht="22.5" customHeight="1">
      <c r="A321" s="50">
        <v>46001.87255638889</v>
      </c>
      <c r="B321" s="51" t="s">
        <v>1506</v>
      </c>
      <c r="C321" s="62" t="s">
        <v>337</v>
      </c>
      <c r="D321" s="51" t="s">
        <v>9</v>
      </c>
      <c r="E321" s="53">
        <v>383.0</v>
      </c>
      <c r="F321" s="53">
        <v>21.0</v>
      </c>
      <c r="G321" s="51" t="s">
        <v>458</v>
      </c>
      <c r="H321" s="51" t="s">
        <v>1507</v>
      </c>
      <c r="I321" s="53">
        <v>9.925995882E9</v>
      </c>
      <c r="J321" s="54" t="s">
        <v>1508</v>
      </c>
      <c r="K321" s="51" t="s">
        <v>444</v>
      </c>
      <c r="L321" s="55"/>
      <c r="M321" s="49"/>
      <c r="N321" s="49"/>
      <c r="O321" s="49"/>
      <c r="P321" s="49"/>
      <c r="Q321" s="49"/>
      <c r="R321" s="49"/>
      <c r="S321" s="49"/>
      <c r="T321" s="49"/>
      <c r="U321" s="49"/>
      <c r="V321" s="49"/>
      <c r="W321" s="49"/>
      <c r="X321" s="49"/>
      <c r="Y321" s="49"/>
      <c r="Z321" s="49"/>
    </row>
    <row r="322" ht="22.5" customHeight="1">
      <c r="A322" s="66">
        <v>45996.95628125</v>
      </c>
      <c r="B322" s="67" t="s">
        <v>1509</v>
      </c>
      <c r="C322" s="68" t="s">
        <v>1510</v>
      </c>
      <c r="D322" s="70" t="s">
        <v>11</v>
      </c>
      <c r="E322" s="69">
        <v>384.0</v>
      </c>
      <c r="F322" s="67">
        <v>16.0</v>
      </c>
      <c r="G322" s="70" t="s">
        <v>447</v>
      </c>
      <c r="H322" s="70" t="s">
        <v>914</v>
      </c>
      <c r="I322" s="67">
        <v>7.058053936E9</v>
      </c>
      <c r="J322" s="70" t="s">
        <v>1511</v>
      </c>
      <c r="K322" s="70" t="s">
        <v>444</v>
      </c>
      <c r="L322" s="61"/>
      <c r="M322" s="49"/>
      <c r="N322" s="49"/>
      <c r="O322" s="49"/>
      <c r="P322" s="49"/>
      <c r="Q322" s="49"/>
      <c r="R322" s="49"/>
      <c r="S322" s="49"/>
      <c r="T322" s="49"/>
      <c r="U322" s="49"/>
      <c r="V322" s="49"/>
      <c r="W322" s="49"/>
      <c r="X322" s="49"/>
      <c r="Y322" s="49"/>
      <c r="Z322" s="49"/>
    </row>
    <row r="323" ht="22.5" customHeight="1">
      <c r="A323" s="50">
        <v>46019.921141666666</v>
      </c>
      <c r="B323" s="51" t="s">
        <v>1512</v>
      </c>
      <c r="C323" s="62" t="s">
        <v>1513</v>
      </c>
      <c r="D323" s="51" t="s">
        <v>5</v>
      </c>
      <c r="E323" s="53">
        <v>453.0</v>
      </c>
      <c r="F323" s="53">
        <v>20.0</v>
      </c>
      <c r="G323" s="51" t="s">
        <v>458</v>
      </c>
      <c r="H323" s="51" t="s">
        <v>635</v>
      </c>
      <c r="I323" s="53">
        <v>9.886534226E9</v>
      </c>
      <c r="J323" s="54" t="s">
        <v>1514</v>
      </c>
      <c r="K323" s="51" t="s">
        <v>444</v>
      </c>
      <c r="L323" s="55"/>
      <c r="M323" s="49"/>
      <c r="N323" s="49"/>
      <c r="O323" s="49"/>
      <c r="P323" s="49"/>
      <c r="Q323" s="49"/>
      <c r="R323" s="49"/>
      <c r="S323" s="49"/>
      <c r="T323" s="49"/>
      <c r="U323" s="49"/>
      <c r="V323" s="49"/>
      <c r="W323" s="49"/>
      <c r="X323" s="49"/>
      <c r="Y323" s="49"/>
      <c r="Z323" s="49"/>
    </row>
    <row r="324" ht="22.5" customHeight="1">
      <c r="A324" s="56">
        <v>46020.44034829861</v>
      </c>
      <c r="B324" s="57" t="s">
        <v>1515</v>
      </c>
      <c r="C324" s="58" t="s">
        <v>1516</v>
      </c>
      <c r="D324" s="57" t="s">
        <v>7</v>
      </c>
      <c r="E324" s="59">
        <v>454.0</v>
      </c>
      <c r="F324" s="59">
        <v>29.0</v>
      </c>
      <c r="G324" s="57" t="s">
        <v>458</v>
      </c>
      <c r="H324" s="57" t="s">
        <v>848</v>
      </c>
      <c r="I324" s="59">
        <v>9.860567263E9</v>
      </c>
      <c r="J324" s="60" t="s">
        <v>1517</v>
      </c>
      <c r="K324" s="57" t="s">
        <v>444</v>
      </c>
      <c r="L324" s="61"/>
      <c r="M324" s="49"/>
      <c r="N324" s="49"/>
      <c r="O324" s="49"/>
      <c r="P324" s="49"/>
      <c r="Q324" s="49"/>
      <c r="R324" s="49"/>
      <c r="S324" s="49"/>
      <c r="T324" s="49"/>
      <c r="U324" s="49"/>
      <c r="V324" s="49"/>
      <c r="W324" s="49"/>
      <c r="X324" s="49"/>
      <c r="Y324" s="49"/>
      <c r="Z324" s="49"/>
    </row>
    <row r="325" ht="22.5" customHeight="1">
      <c r="A325" s="50">
        <v>46020.46065918982</v>
      </c>
      <c r="B325" s="51" t="s">
        <v>1518</v>
      </c>
      <c r="C325" s="62" t="s">
        <v>1519</v>
      </c>
      <c r="D325" s="51" t="s">
        <v>9</v>
      </c>
      <c r="E325" s="53">
        <v>455.0</v>
      </c>
      <c r="F325" s="53">
        <v>18.0</v>
      </c>
      <c r="G325" s="51" t="s">
        <v>487</v>
      </c>
      <c r="H325" s="51" t="s">
        <v>459</v>
      </c>
      <c r="I325" s="53">
        <v>9.428163345E9</v>
      </c>
      <c r="J325" s="54" t="s">
        <v>1520</v>
      </c>
      <c r="K325" s="51" t="s">
        <v>444</v>
      </c>
      <c r="L325" s="55"/>
      <c r="M325" s="49"/>
      <c r="N325" s="49"/>
      <c r="O325" s="49"/>
      <c r="P325" s="49"/>
      <c r="Q325" s="49"/>
      <c r="R325" s="49"/>
      <c r="S325" s="49"/>
      <c r="T325" s="49"/>
      <c r="U325" s="49"/>
      <c r="V325" s="49"/>
      <c r="W325" s="49"/>
      <c r="X325" s="49"/>
      <c r="Y325" s="49"/>
      <c r="Z325" s="49"/>
    </row>
    <row r="326" ht="22.5" customHeight="1">
      <c r="A326" s="56">
        <v>46020.48542532408</v>
      </c>
      <c r="B326" s="57" t="s">
        <v>1521</v>
      </c>
      <c r="C326" s="63" t="s">
        <v>1522</v>
      </c>
      <c r="D326" s="57" t="s">
        <v>13</v>
      </c>
      <c r="E326" s="59">
        <v>457.0</v>
      </c>
      <c r="F326" s="59">
        <v>34.0</v>
      </c>
      <c r="G326" s="57" t="s">
        <v>441</v>
      </c>
      <c r="H326" s="57" t="s">
        <v>1523</v>
      </c>
      <c r="I326" s="59">
        <v>6.260188588E9</v>
      </c>
      <c r="J326" s="60" t="s">
        <v>1524</v>
      </c>
      <c r="K326" s="57" t="s">
        <v>444</v>
      </c>
      <c r="L326" s="61"/>
      <c r="M326" s="49"/>
      <c r="N326" s="49"/>
      <c r="O326" s="49"/>
      <c r="P326" s="49"/>
      <c r="Q326" s="49"/>
      <c r="R326" s="49"/>
      <c r="S326" s="49"/>
      <c r="T326" s="49"/>
      <c r="U326" s="49"/>
      <c r="V326" s="49"/>
      <c r="W326" s="49"/>
      <c r="X326" s="49"/>
      <c r="Y326" s="49"/>
      <c r="Z326" s="49"/>
    </row>
    <row r="327" ht="22.5" customHeight="1">
      <c r="A327" s="50">
        <v>46020.496454050925</v>
      </c>
      <c r="B327" s="51" t="s">
        <v>1525</v>
      </c>
      <c r="C327" s="62" t="s">
        <v>1526</v>
      </c>
      <c r="D327" s="51" t="s">
        <v>11</v>
      </c>
      <c r="E327" s="53">
        <v>456.0</v>
      </c>
      <c r="F327" s="53">
        <v>36.0</v>
      </c>
      <c r="G327" s="51" t="s">
        <v>441</v>
      </c>
      <c r="H327" s="51" t="s">
        <v>1527</v>
      </c>
      <c r="I327" s="53">
        <v>8.34949286E9</v>
      </c>
      <c r="J327" s="54" t="s">
        <v>1528</v>
      </c>
      <c r="K327" s="51" t="s">
        <v>444</v>
      </c>
      <c r="L327" s="55"/>
      <c r="M327" s="49"/>
      <c r="N327" s="49"/>
      <c r="O327" s="49"/>
      <c r="P327" s="49"/>
      <c r="Q327" s="49"/>
      <c r="R327" s="49"/>
      <c r="S327" s="49"/>
      <c r="T327" s="49"/>
      <c r="U327" s="49"/>
      <c r="V327" s="49"/>
      <c r="W327" s="49"/>
      <c r="X327" s="49"/>
      <c r="Y327" s="49"/>
      <c r="Z327" s="49"/>
    </row>
    <row r="328" ht="22.5" customHeight="1">
      <c r="A328" s="56">
        <v>46020.50368594908</v>
      </c>
      <c r="B328" s="57" t="s">
        <v>1529</v>
      </c>
      <c r="C328" s="63" t="s">
        <v>1530</v>
      </c>
      <c r="D328" s="57" t="s">
        <v>7</v>
      </c>
      <c r="E328" s="59">
        <v>412.0</v>
      </c>
      <c r="F328" s="59">
        <v>20.0</v>
      </c>
      <c r="G328" s="57" t="s">
        <v>458</v>
      </c>
      <c r="H328" s="57" t="s">
        <v>471</v>
      </c>
      <c r="I328" s="59">
        <v>9.167040701E9</v>
      </c>
      <c r="J328" s="60" t="s">
        <v>1531</v>
      </c>
      <c r="K328" s="57" t="s">
        <v>444</v>
      </c>
      <c r="L328" s="61"/>
      <c r="M328" s="49"/>
      <c r="N328" s="49"/>
      <c r="O328" s="49"/>
      <c r="P328" s="49"/>
      <c r="Q328" s="49"/>
      <c r="R328" s="49"/>
      <c r="S328" s="49"/>
      <c r="T328" s="49"/>
      <c r="U328" s="49"/>
      <c r="V328" s="49"/>
      <c r="W328" s="49"/>
      <c r="X328" s="49"/>
      <c r="Y328" s="49"/>
      <c r="Z328" s="49"/>
    </row>
    <row r="329" ht="22.5" customHeight="1">
      <c r="A329" s="50">
        <v>46020.53264640046</v>
      </c>
      <c r="B329" s="51" t="s">
        <v>1532</v>
      </c>
      <c r="C329" s="62" t="s">
        <v>1533</v>
      </c>
      <c r="D329" s="51" t="s">
        <v>5</v>
      </c>
      <c r="E329" s="53">
        <v>463.0</v>
      </c>
      <c r="F329" s="53">
        <v>16.0</v>
      </c>
      <c r="G329" s="51" t="s">
        <v>458</v>
      </c>
      <c r="H329" s="51" t="s">
        <v>1534</v>
      </c>
      <c r="I329" s="53">
        <v>9.201696457E9</v>
      </c>
      <c r="J329" s="54" t="s">
        <v>1535</v>
      </c>
      <c r="K329" s="51" t="s">
        <v>444</v>
      </c>
      <c r="L329" s="55"/>
      <c r="M329" s="49"/>
      <c r="N329" s="49"/>
      <c r="O329" s="49"/>
      <c r="P329" s="49"/>
      <c r="Q329" s="49"/>
      <c r="R329" s="49"/>
      <c r="S329" s="49"/>
      <c r="T329" s="49"/>
      <c r="U329" s="49"/>
      <c r="V329" s="49"/>
      <c r="W329" s="49"/>
      <c r="X329" s="49"/>
      <c r="Y329" s="49"/>
      <c r="Z329" s="49"/>
    </row>
    <row r="330" ht="22.5" customHeight="1">
      <c r="A330" s="56">
        <v>46020.579567824076</v>
      </c>
      <c r="B330" s="57" t="s">
        <v>1536</v>
      </c>
      <c r="C330" s="63" t="s">
        <v>1537</v>
      </c>
      <c r="D330" s="57" t="s">
        <v>7</v>
      </c>
      <c r="E330" s="59">
        <v>464.0</v>
      </c>
      <c r="F330" s="59">
        <v>26.0</v>
      </c>
      <c r="G330" s="57" t="s">
        <v>447</v>
      </c>
      <c r="H330" s="57" t="s">
        <v>848</v>
      </c>
      <c r="I330" s="59">
        <v>9.834083806E9</v>
      </c>
      <c r="J330" s="60" t="s">
        <v>1538</v>
      </c>
      <c r="K330" s="57" t="s">
        <v>444</v>
      </c>
      <c r="L330" s="61"/>
      <c r="M330" s="49"/>
      <c r="N330" s="49"/>
      <c r="O330" s="49"/>
      <c r="P330" s="49"/>
      <c r="Q330" s="49"/>
      <c r="R330" s="49"/>
      <c r="S330" s="49"/>
      <c r="T330" s="49"/>
      <c r="U330" s="49"/>
      <c r="V330" s="49"/>
      <c r="W330" s="49"/>
      <c r="X330" s="49"/>
      <c r="Y330" s="49"/>
      <c r="Z330" s="49"/>
    </row>
    <row r="331" ht="22.5" customHeight="1">
      <c r="A331" s="50">
        <v>46020.59962814815</v>
      </c>
      <c r="B331" s="51" t="s">
        <v>1539</v>
      </c>
      <c r="C331" s="62" t="s">
        <v>1540</v>
      </c>
      <c r="D331" s="51" t="s">
        <v>9</v>
      </c>
      <c r="E331" s="53">
        <v>460.0</v>
      </c>
      <c r="F331" s="53">
        <v>20.0</v>
      </c>
      <c r="G331" s="51" t="s">
        <v>447</v>
      </c>
      <c r="H331" s="51" t="s">
        <v>1541</v>
      </c>
      <c r="I331" s="65">
        <v>9.372197799E9</v>
      </c>
      <c r="J331" s="54" t="s">
        <v>1542</v>
      </c>
      <c r="K331" s="51" t="s">
        <v>444</v>
      </c>
      <c r="L331" s="55"/>
      <c r="M331" s="49"/>
      <c r="N331" s="49"/>
      <c r="O331" s="49"/>
      <c r="P331" s="49"/>
      <c r="Q331" s="49"/>
      <c r="R331" s="49"/>
      <c r="S331" s="49"/>
      <c r="T331" s="49"/>
      <c r="U331" s="49"/>
      <c r="V331" s="49"/>
      <c r="W331" s="49"/>
      <c r="X331" s="49"/>
      <c r="Y331" s="49"/>
      <c r="Z331" s="49"/>
    </row>
    <row r="332" ht="22.5" customHeight="1">
      <c r="A332" s="56">
        <v>46020.61982241899</v>
      </c>
      <c r="B332" s="57" t="s">
        <v>1543</v>
      </c>
      <c r="C332" s="63" t="s">
        <v>1544</v>
      </c>
      <c r="D332" s="57" t="s">
        <v>9</v>
      </c>
      <c r="E332" s="59">
        <v>465.0</v>
      </c>
      <c r="F332" s="59">
        <v>22.0</v>
      </c>
      <c r="G332" s="57" t="s">
        <v>447</v>
      </c>
      <c r="H332" s="57" t="s">
        <v>459</v>
      </c>
      <c r="I332" s="59">
        <v>7.226890093E9</v>
      </c>
      <c r="J332" s="60" t="s">
        <v>1545</v>
      </c>
      <c r="K332" s="57" t="s">
        <v>444</v>
      </c>
      <c r="L332" s="61"/>
      <c r="M332" s="49"/>
      <c r="N332" s="49"/>
      <c r="O332" s="49"/>
      <c r="P332" s="49"/>
      <c r="Q332" s="49"/>
      <c r="R332" s="49"/>
      <c r="S332" s="49"/>
      <c r="T332" s="49"/>
      <c r="U332" s="49"/>
      <c r="V332" s="49"/>
      <c r="W332" s="49"/>
      <c r="X332" s="49"/>
      <c r="Y332" s="49"/>
      <c r="Z332" s="49"/>
    </row>
    <row r="333" ht="22.5" customHeight="1">
      <c r="A333" s="50">
        <v>46020.63311177083</v>
      </c>
      <c r="B333" s="51" t="s">
        <v>1546</v>
      </c>
      <c r="C333" s="52" t="s">
        <v>1547</v>
      </c>
      <c r="D333" s="51" t="s">
        <v>9</v>
      </c>
      <c r="E333" s="53">
        <v>470.0</v>
      </c>
      <c r="F333" s="53">
        <v>22.0</v>
      </c>
      <c r="G333" s="51" t="s">
        <v>447</v>
      </c>
      <c r="H333" s="51" t="s">
        <v>1548</v>
      </c>
      <c r="I333" s="53">
        <v>8.320063574E9</v>
      </c>
      <c r="J333" s="54" t="s">
        <v>1549</v>
      </c>
      <c r="K333" s="51" t="s">
        <v>444</v>
      </c>
      <c r="L333" s="55"/>
      <c r="M333" s="49"/>
      <c r="N333" s="49"/>
      <c r="O333" s="49"/>
      <c r="P333" s="49"/>
      <c r="Q333" s="49"/>
      <c r="R333" s="49"/>
      <c r="S333" s="49"/>
      <c r="T333" s="49"/>
      <c r="U333" s="49"/>
      <c r="V333" s="49"/>
      <c r="W333" s="49"/>
      <c r="X333" s="49"/>
      <c r="Y333" s="49"/>
      <c r="Z333" s="49"/>
    </row>
    <row r="334" ht="22.5" customHeight="1">
      <c r="A334" s="56">
        <v>46020.6373715625</v>
      </c>
      <c r="B334" s="57" t="s">
        <v>1550</v>
      </c>
      <c r="C334" s="63" t="s">
        <v>1551</v>
      </c>
      <c r="D334" s="57" t="s">
        <v>11</v>
      </c>
      <c r="E334" s="59">
        <v>471.0</v>
      </c>
      <c r="F334" s="59">
        <v>52.0</v>
      </c>
      <c r="G334" s="57" t="s">
        <v>447</v>
      </c>
      <c r="H334" s="57" t="s">
        <v>1552</v>
      </c>
      <c r="I334" s="59">
        <v>7.069835119E9</v>
      </c>
      <c r="J334" s="60" t="s">
        <v>1553</v>
      </c>
      <c r="K334" s="57" t="s">
        <v>444</v>
      </c>
      <c r="L334" s="61"/>
      <c r="M334" s="49"/>
      <c r="N334" s="49"/>
      <c r="O334" s="49"/>
      <c r="P334" s="49"/>
      <c r="Q334" s="49"/>
      <c r="R334" s="49"/>
      <c r="S334" s="49"/>
      <c r="T334" s="49"/>
      <c r="U334" s="49"/>
      <c r="V334" s="49"/>
      <c r="W334" s="49"/>
      <c r="X334" s="49"/>
      <c r="Y334" s="49"/>
      <c r="Z334" s="49"/>
    </row>
    <row r="335" ht="22.5" customHeight="1">
      <c r="A335" s="50">
        <v>46020.65054310185</v>
      </c>
      <c r="B335" s="51" t="s">
        <v>1554</v>
      </c>
      <c r="C335" s="62" t="s">
        <v>1555</v>
      </c>
      <c r="D335" s="51" t="s">
        <v>13</v>
      </c>
      <c r="E335" s="53">
        <v>467.0</v>
      </c>
      <c r="F335" s="53">
        <v>22.0</v>
      </c>
      <c r="G335" s="51" t="s">
        <v>487</v>
      </c>
      <c r="H335" s="51" t="s">
        <v>459</v>
      </c>
      <c r="I335" s="53">
        <v>9.173035986E9</v>
      </c>
      <c r="J335" s="54" t="s">
        <v>1556</v>
      </c>
      <c r="K335" s="51" t="s">
        <v>444</v>
      </c>
      <c r="L335" s="55"/>
      <c r="M335" s="49"/>
      <c r="N335" s="49"/>
      <c r="O335" s="49"/>
      <c r="P335" s="49"/>
      <c r="Q335" s="49"/>
      <c r="R335" s="49"/>
      <c r="S335" s="49"/>
      <c r="T335" s="49"/>
      <c r="U335" s="49"/>
      <c r="V335" s="49"/>
      <c r="W335" s="49"/>
      <c r="X335" s="49"/>
      <c r="Y335" s="49"/>
      <c r="Z335" s="49"/>
    </row>
    <row r="336" ht="22.5" customHeight="1">
      <c r="A336" s="56">
        <v>46020.6522705324</v>
      </c>
      <c r="B336" s="57" t="s">
        <v>1557</v>
      </c>
      <c r="C336" s="63" t="s">
        <v>1558</v>
      </c>
      <c r="D336" s="57" t="s">
        <v>13</v>
      </c>
      <c r="E336" s="59">
        <v>472.0</v>
      </c>
      <c r="F336" s="59">
        <v>43.0</v>
      </c>
      <c r="G336" s="57" t="s">
        <v>447</v>
      </c>
      <c r="H336" s="57" t="s">
        <v>544</v>
      </c>
      <c r="I336" s="59">
        <v>9.755283303E9</v>
      </c>
      <c r="J336" s="60" t="s">
        <v>1559</v>
      </c>
      <c r="K336" s="57" t="s">
        <v>444</v>
      </c>
      <c r="L336" s="61"/>
      <c r="M336" s="49"/>
      <c r="N336" s="49"/>
      <c r="O336" s="49"/>
      <c r="P336" s="49"/>
      <c r="Q336" s="49"/>
      <c r="R336" s="49"/>
      <c r="S336" s="49"/>
      <c r="T336" s="49"/>
      <c r="U336" s="49"/>
      <c r="V336" s="49"/>
      <c r="W336" s="49"/>
      <c r="X336" s="49"/>
      <c r="Y336" s="49"/>
      <c r="Z336" s="49"/>
    </row>
    <row r="337" ht="22.5" customHeight="1">
      <c r="A337" s="50">
        <v>46020.66641771991</v>
      </c>
      <c r="B337" s="51" t="s">
        <v>1560</v>
      </c>
      <c r="C337" s="62" t="s">
        <v>1561</v>
      </c>
      <c r="D337" s="51" t="s">
        <v>5</v>
      </c>
      <c r="E337" s="53">
        <v>473.0</v>
      </c>
      <c r="F337" s="53">
        <v>14.0</v>
      </c>
      <c r="G337" s="51" t="s">
        <v>458</v>
      </c>
      <c r="H337" s="51" t="s">
        <v>1562</v>
      </c>
      <c r="I337" s="53">
        <v>9.826319193E9</v>
      </c>
      <c r="J337" s="54" t="s">
        <v>1563</v>
      </c>
      <c r="K337" s="51" t="s">
        <v>444</v>
      </c>
      <c r="L337" s="55"/>
      <c r="M337" s="49"/>
      <c r="N337" s="49"/>
      <c r="O337" s="49"/>
      <c r="P337" s="49"/>
      <c r="Q337" s="49"/>
      <c r="R337" s="49"/>
      <c r="S337" s="49"/>
      <c r="T337" s="49"/>
      <c r="U337" s="49"/>
      <c r="V337" s="49"/>
      <c r="W337" s="49"/>
      <c r="X337" s="49"/>
      <c r="Y337" s="49"/>
      <c r="Z337" s="49"/>
    </row>
    <row r="338" ht="22.5" customHeight="1">
      <c r="A338" s="56">
        <v>46020.68668820602</v>
      </c>
      <c r="B338" s="57" t="s">
        <v>1564</v>
      </c>
      <c r="C338" s="63" t="s">
        <v>1565</v>
      </c>
      <c r="D338" s="57" t="s">
        <v>7</v>
      </c>
      <c r="E338" s="59">
        <v>459.0</v>
      </c>
      <c r="F338" s="59">
        <v>26.0</v>
      </c>
      <c r="G338" s="57" t="s">
        <v>487</v>
      </c>
      <c r="H338" s="57" t="s">
        <v>1566</v>
      </c>
      <c r="I338" s="59">
        <v>8.45979757E9</v>
      </c>
      <c r="J338" s="60" t="s">
        <v>1567</v>
      </c>
      <c r="K338" s="57" t="s">
        <v>444</v>
      </c>
      <c r="L338" s="61"/>
      <c r="M338" s="49"/>
      <c r="N338" s="49"/>
      <c r="O338" s="49"/>
      <c r="P338" s="49"/>
      <c r="Q338" s="49"/>
      <c r="R338" s="49"/>
      <c r="S338" s="49"/>
      <c r="T338" s="49"/>
      <c r="U338" s="49"/>
      <c r="V338" s="49"/>
      <c r="W338" s="49"/>
      <c r="X338" s="49"/>
      <c r="Y338" s="49"/>
      <c r="Z338" s="49"/>
    </row>
    <row r="339" ht="22.5" customHeight="1">
      <c r="A339" s="50">
        <v>46020.69807853009</v>
      </c>
      <c r="B339" s="51" t="s">
        <v>1568</v>
      </c>
      <c r="C339" s="62" t="s">
        <v>1569</v>
      </c>
      <c r="D339" s="51" t="s">
        <v>9</v>
      </c>
      <c r="E339" s="53">
        <v>475.0</v>
      </c>
      <c r="F339" s="53">
        <v>23.0</v>
      </c>
      <c r="G339" s="51" t="s">
        <v>441</v>
      </c>
      <c r="H339" s="51" t="s">
        <v>1570</v>
      </c>
      <c r="I339" s="53">
        <v>9.427608729E9</v>
      </c>
      <c r="J339" s="54" t="s">
        <v>1571</v>
      </c>
      <c r="K339" s="51" t="s">
        <v>444</v>
      </c>
      <c r="L339" s="55"/>
      <c r="M339" s="49"/>
      <c r="N339" s="49"/>
      <c r="O339" s="49"/>
      <c r="P339" s="49"/>
      <c r="Q339" s="49"/>
      <c r="R339" s="49"/>
      <c r="S339" s="49"/>
      <c r="T339" s="49"/>
      <c r="U339" s="49"/>
      <c r="V339" s="49"/>
      <c r="W339" s="49"/>
      <c r="X339" s="49"/>
      <c r="Y339" s="49"/>
      <c r="Z339" s="49"/>
    </row>
    <row r="340" ht="22.5" customHeight="1">
      <c r="A340" s="79">
        <v>46020.715779328704</v>
      </c>
      <c r="B340" s="80" t="s">
        <v>1572</v>
      </c>
      <c r="C340" s="81" t="s">
        <v>1573</v>
      </c>
      <c r="D340" s="80" t="s">
        <v>7</v>
      </c>
      <c r="E340" s="82">
        <v>469.0</v>
      </c>
      <c r="F340" s="82">
        <v>29.0</v>
      </c>
      <c r="G340" s="80" t="s">
        <v>458</v>
      </c>
      <c r="H340" s="80" t="s">
        <v>669</v>
      </c>
      <c r="I340" s="82">
        <v>8.971996137E9</v>
      </c>
      <c r="J340" s="83" t="s">
        <v>1574</v>
      </c>
      <c r="K340" s="80" t="s">
        <v>444</v>
      </c>
      <c r="L340" s="84"/>
      <c r="M340" s="49"/>
      <c r="N340" s="49"/>
      <c r="O340" s="49"/>
      <c r="P340" s="49"/>
      <c r="Q340" s="49"/>
      <c r="R340" s="49"/>
      <c r="S340" s="49"/>
      <c r="T340" s="49"/>
      <c r="U340" s="49"/>
      <c r="V340" s="49"/>
      <c r="W340" s="49"/>
      <c r="X340" s="49"/>
      <c r="Y340" s="49"/>
      <c r="Z340" s="49"/>
    </row>
    <row r="341">
      <c r="A341" s="85">
        <v>46020.73383357639</v>
      </c>
      <c r="B341" s="86" t="s">
        <v>1575</v>
      </c>
      <c r="C341" s="87" t="s">
        <v>1576</v>
      </c>
      <c r="D341" s="86" t="s">
        <v>11</v>
      </c>
      <c r="E341" s="88">
        <v>461.0</v>
      </c>
      <c r="F341" s="88">
        <v>22.0</v>
      </c>
      <c r="G341" s="86" t="s">
        <v>447</v>
      </c>
      <c r="H341" s="86" t="s">
        <v>1577</v>
      </c>
      <c r="I341" s="88">
        <v>9.373329244E9</v>
      </c>
      <c r="J341" s="89" t="s">
        <v>1578</v>
      </c>
      <c r="K341" s="86" t="s">
        <v>444</v>
      </c>
      <c r="L341" s="90"/>
      <c r="M341" s="49"/>
      <c r="N341" s="49"/>
      <c r="O341" s="49"/>
      <c r="P341" s="49"/>
      <c r="Q341" s="49"/>
      <c r="R341" s="49"/>
      <c r="S341" s="49"/>
      <c r="T341" s="49"/>
      <c r="U341" s="49"/>
      <c r="V341" s="49"/>
      <c r="W341" s="49"/>
      <c r="X341" s="49"/>
      <c r="Y341" s="49"/>
      <c r="Z341" s="49"/>
    </row>
    <row r="342">
      <c r="A342" s="49"/>
      <c r="B342" s="49"/>
      <c r="C342" s="91"/>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91"/>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91"/>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91"/>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91"/>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91"/>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91"/>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91"/>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91"/>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91"/>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91"/>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91"/>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91"/>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91"/>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91"/>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91"/>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91"/>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91"/>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91"/>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91"/>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91"/>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91"/>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91"/>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91"/>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91"/>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91"/>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91"/>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91"/>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91"/>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91"/>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91"/>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91"/>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91"/>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91"/>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91"/>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91"/>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91"/>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91"/>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91"/>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91"/>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91"/>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91"/>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91"/>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91"/>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91"/>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91"/>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91"/>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91"/>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91"/>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91"/>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91"/>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91"/>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91"/>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91"/>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91"/>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91"/>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91"/>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91"/>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91"/>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91"/>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91"/>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91"/>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91"/>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91"/>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91"/>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91"/>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91"/>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91"/>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91"/>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91"/>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91"/>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91"/>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91"/>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91"/>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91"/>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91"/>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91"/>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91"/>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91"/>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91"/>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91"/>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91"/>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91"/>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91"/>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91"/>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91"/>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91"/>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91"/>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91"/>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91"/>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91"/>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91"/>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91"/>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91"/>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91"/>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91"/>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91"/>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91"/>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91"/>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91"/>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91"/>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91"/>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91"/>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91"/>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91"/>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91"/>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91"/>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91"/>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91"/>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91"/>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91"/>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91"/>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91"/>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91"/>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91"/>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91"/>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91"/>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91"/>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91"/>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91"/>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91"/>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91"/>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91"/>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91"/>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91"/>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91"/>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91"/>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91"/>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91"/>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91"/>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91"/>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91"/>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91"/>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91"/>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91"/>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91"/>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91"/>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91"/>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91"/>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91"/>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91"/>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91"/>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91"/>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91"/>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91"/>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91"/>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91"/>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91"/>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91"/>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91"/>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91"/>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91"/>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91"/>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91"/>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91"/>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91"/>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91"/>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91"/>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91"/>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91"/>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91"/>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91"/>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91"/>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91"/>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91"/>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91"/>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91"/>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91"/>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91"/>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91"/>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91"/>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91"/>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91"/>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91"/>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91"/>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91"/>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91"/>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91"/>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91"/>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91"/>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91"/>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91"/>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91"/>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91"/>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91"/>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91"/>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91"/>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91"/>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91"/>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91"/>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91"/>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91"/>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91"/>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91"/>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91"/>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91"/>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91"/>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91"/>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91"/>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91"/>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91"/>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91"/>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91"/>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91"/>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91"/>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91"/>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91"/>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91"/>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91"/>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91"/>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91"/>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91"/>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91"/>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91"/>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91"/>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91"/>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91"/>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91"/>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91"/>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91"/>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91"/>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91"/>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91"/>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91"/>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91"/>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91"/>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91"/>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91"/>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91"/>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91"/>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91"/>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91"/>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91"/>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91"/>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91"/>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91"/>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91"/>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91"/>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91"/>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91"/>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91"/>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91"/>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91"/>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91"/>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91"/>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91"/>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91"/>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91"/>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91"/>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91"/>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91"/>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91"/>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91"/>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91"/>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91"/>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91"/>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91"/>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91"/>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91"/>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91"/>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91"/>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91"/>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91"/>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91"/>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91"/>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91"/>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91"/>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91"/>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91"/>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91"/>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91"/>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91"/>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91"/>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91"/>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91"/>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91"/>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91"/>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91"/>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91"/>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91"/>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91"/>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91"/>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91"/>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91"/>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91"/>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91"/>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91"/>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91"/>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91"/>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91"/>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91"/>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91"/>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91"/>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91"/>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91"/>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91"/>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91"/>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91"/>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91"/>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91"/>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91"/>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91"/>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91"/>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91"/>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91"/>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91"/>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91"/>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91"/>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91"/>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91"/>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91"/>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91"/>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91"/>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91"/>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91"/>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91"/>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91"/>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91"/>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91"/>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91"/>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91"/>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91"/>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91"/>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91"/>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91"/>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91"/>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91"/>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91"/>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91"/>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91"/>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91"/>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91"/>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91"/>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91"/>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91"/>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91"/>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91"/>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91"/>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91"/>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91"/>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91"/>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91"/>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91"/>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91"/>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91"/>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91"/>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91"/>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91"/>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91"/>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91"/>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91"/>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91"/>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91"/>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91"/>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91"/>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91"/>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91"/>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91"/>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91"/>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91"/>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91"/>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91"/>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91"/>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91"/>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91"/>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91"/>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91"/>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91"/>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91"/>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91"/>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91"/>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91"/>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91"/>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91"/>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91"/>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91"/>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91"/>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91"/>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91"/>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91"/>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91"/>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91"/>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91"/>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91"/>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91"/>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91"/>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91"/>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91"/>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91"/>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91"/>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91"/>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91"/>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91"/>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91"/>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91"/>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91"/>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91"/>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91"/>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91"/>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91"/>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91"/>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91"/>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91"/>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91"/>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91"/>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91"/>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91"/>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91"/>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91"/>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91"/>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91"/>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91"/>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91"/>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91"/>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91"/>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91"/>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91"/>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91"/>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91"/>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91"/>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91"/>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91"/>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91"/>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91"/>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91"/>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91"/>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91"/>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91"/>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91"/>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91"/>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91"/>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91"/>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91"/>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91"/>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91"/>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91"/>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91"/>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91"/>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91"/>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91"/>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91"/>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91"/>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91"/>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91"/>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91"/>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91"/>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91"/>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91"/>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91"/>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91"/>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91"/>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91"/>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91"/>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91"/>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91"/>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91"/>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91"/>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91"/>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91"/>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91"/>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91"/>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91"/>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91"/>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91"/>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91"/>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91"/>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91"/>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91"/>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91"/>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91"/>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91"/>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91"/>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91"/>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91"/>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91"/>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91"/>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91"/>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91"/>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91"/>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91"/>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91"/>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91"/>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91"/>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91"/>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91"/>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91"/>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91"/>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91"/>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91"/>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91"/>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91"/>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91"/>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91"/>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91"/>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91"/>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91"/>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91"/>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91"/>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91"/>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91"/>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91"/>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91"/>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91"/>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91"/>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91"/>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91"/>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91"/>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91"/>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91"/>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91"/>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91"/>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91"/>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91"/>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91"/>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91"/>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91"/>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91"/>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91"/>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91"/>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91"/>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91"/>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91"/>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91"/>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91"/>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91"/>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91"/>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91"/>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91"/>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91"/>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91"/>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91"/>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91"/>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91"/>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91"/>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91"/>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91"/>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91"/>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91"/>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91"/>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91"/>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91"/>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91"/>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91"/>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91"/>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91"/>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91"/>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91"/>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91"/>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91"/>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91"/>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91"/>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91"/>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91"/>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91"/>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91"/>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91"/>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91"/>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91"/>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91"/>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91"/>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91"/>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91"/>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91"/>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91"/>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91"/>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91"/>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91"/>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91"/>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91"/>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91"/>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91"/>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91"/>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91"/>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91"/>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91"/>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91"/>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91"/>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91"/>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91"/>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91"/>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91"/>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91"/>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91"/>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91"/>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91"/>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91"/>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91"/>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91"/>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91"/>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91"/>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91"/>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91"/>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91"/>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91"/>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91"/>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91"/>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91"/>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91"/>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91"/>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91"/>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91"/>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91"/>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91"/>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91"/>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91"/>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91"/>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91"/>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91"/>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91"/>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91"/>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91"/>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91"/>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91"/>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91"/>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91"/>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91"/>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91"/>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91"/>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91"/>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91"/>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91"/>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91"/>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91"/>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91"/>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91"/>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91"/>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91"/>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91"/>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91"/>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91"/>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91"/>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91"/>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91"/>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91"/>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91"/>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91"/>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91"/>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91"/>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91"/>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91"/>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91"/>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91"/>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91"/>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91"/>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91"/>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91"/>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91"/>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91"/>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91"/>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91"/>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91"/>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91"/>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91"/>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91"/>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91"/>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91"/>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91"/>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91"/>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91"/>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row r="1001">
      <c r="A1001" s="49"/>
      <c r="B1001" s="49"/>
      <c r="C1001" s="91"/>
      <c r="D1001" s="49"/>
      <c r="E1001" s="49"/>
      <c r="F1001" s="49"/>
      <c r="G1001" s="49"/>
      <c r="H1001" s="49"/>
      <c r="I1001" s="49"/>
      <c r="J1001" s="49"/>
      <c r="K1001" s="49"/>
      <c r="L1001" s="49"/>
      <c r="M1001" s="49"/>
      <c r="N1001" s="49"/>
      <c r="O1001" s="49"/>
      <c r="P1001" s="49"/>
      <c r="Q1001" s="49"/>
      <c r="R1001" s="49"/>
      <c r="S1001" s="49"/>
      <c r="T1001" s="49"/>
      <c r="U1001" s="49"/>
      <c r="V1001" s="49"/>
      <c r="W1001" s="49"/>
      <c r="X1001" s="49"/>
      <c r="Y1001" s="49"/>
      <c r="Z1001" s="49"/>
    </row>
    <row r="1002">
      <c r="A1002" s="49"/>
      <c r="B1002" s="49"/>
      <c r="C1002" s="91"/>
      <c r="D1002" s="49"/>
      <c r="E1002" s="49"/>
      <c r="F1002" s="49"/>
      <c r="G1002" s="49"/>
      <c r="H1002" s="49"/>
      <c r="I1002" s="49"/>
      <c r="J1002" s="49"/>
      <c r="K1002" s="49"/>
      <c r="L1002" s="49"/>
      <c r="M1002" s="49"/>
      <c r="N1002" s="49"/>
      <c r="O1002" s="49"/>
      <c r="P1002" s="49"/>
      <c r="Q1002" s="49"/>
      <c r="R1002" s="49"/>
      <c r="S1002" s="49"/>
      <c r="T1002" s="49"/>
      <c r="U1002" s="49"/>
      <c r="V1002" s="49"/>
      <c r="W1002" s="49"/>
      <c r="X1002" s="49"/>
      <c r="Y1002" s="49"/>
      <c r="Z1002" s="49"/>
    </row>
    <row r="1003">
      <c r="A1003" s="49"/>
      <c r="B1003" s="49"/>
      <c r="C1003" s="91"/>
      <c r="D1003" s="49"/>
      <c r="E1003" s="49"/>
      <c r="F1003" s="49"/>
      <c r="G1003" s="49"/>
      <c r="H1003" s="49"/>
      <c r="I1003" s="49"/>
      <c r="J1003" s="49"/>
      <c r="K1003" s="49"/>
      <c r="L1003" s="49"/>
      <c r="M1003" s="49"/>
      <c r="N1003" s="49"/>
      <c r="O1003" s="49"/>
      <c r="P1003" s="49"/>
      <c r="Q1003" s="49"/>
      <c r="R1003" s="49"/>
      <c r="S1003" s="49"/>
      <c r="T1003" s="49"/>
      <c r="U1003" s="49"/>
      <c r="V1003" s="49"/>
      <c r="W1003" s="49"/>
      <c r="X1003" s="49"/>
      <c r="Y1003" s="49"/>
      <c r="Z1003" s="49"/>
    </row>
    <row r="1004">
      <c r="A1004" s="49"/>
      <c r="B1004" s="49"/>
      <c r="C1004" s="91"/>
      <c r="D1004" s="49"/>
      <c r="E1004" s="49"/>
      <c r="F1004" s="49"/>
      <c r="G1004" s="49"/>
      <c r="H1004" s="49"/>
      <c r="I1004" s="49"/>
      <c r="J1004" s="49"/>
      <c r="K1004" s="49"/>
      <c r="L1004" s="49"/>
      <c r="M1004" s="49"/>
      <c r="N1004" s="49"/>
      <c r="O1004" s="49"/>
      <c r="P1004" s="49"/>
      <c r="Q1004" s="49"/>
      <c r="R1004" s="49"/>
      <c r="S1004" s="49"/>
      <c r="T1004" s="49"/>
      <c r="U1004" s="49"/>
      <c r="V1004" s="49"/>
      <c r="W1004" s="49"/>
      <c r="X1004" s="49"/>
      <c r="Y1004" s="49"/>
      <c r="Z1004" s="49"/>
    </row>
    <row r="1005">
      <c r="A1005" s="49"/>
      <c r="B1005" s="49"/>
      <c r="C1005" s="91"/>
      <c r="D1005" s="49"/>
      <c r="E1005" s="49"/>
      <c r="F1005" s="49"/>
      <c r="G1005" s="49"/>
      <c r="H1005" s="49"/>
      <c r="I1005" s="49"/>
      <c r="J1005" s="49"/>
      <c r="K1005" s="49"/>
      <c r="L1005" s="49"/>
      <c r="M1005" s="49"/>
      <c r="N1005" s="49"/>
      <c r="O1005" s="49"/>
      <c r="P1005" s="49"/>
      <c r="Q1005" s="49"/>
      <c r="R1005" s="49"/>
      <c r="S1005" s="49"/>
      <c r="T1005" s="49"/>
      <c r="U1005" s="49"/>
      <c r="V1005" s="49"/>
      <c r="W1005" s="49"/>
      <c r="X1005" s="49"/>
      <c r="Y1005" s="49"/>
      <c r="Z1005" s="49"/>
    </row>
    <row r="1006">
      <c r="A1006" s="49"/>
      <c r="B1006" s="49"/>
      <c r="C1006" s="91"/>
      <c r="D1006" s="49"/>
      <c r="E1006" s="49"/>
      <c r="F1006" s="49"/>
      <c r="G1006" s="49"/>
      <c r="H1006" s="49"/>
      <c r="I1006" s="49"/>
      <c r="J1006" s="49"/>
      <c r="K1006" s="49"/>
      <c r="L1006" s="49"/>
      <c r="M1006" s="49"/>
      <c r="N1006" s="49"/>
      <c r="O1006" s="49"/>
      <c r="P1006" s="49"/>
      <c r="Q1006" s="49"/>
      <c r="R1006" s="49"/>
      <c r="S1006" s="49"/>
      <c r="T1006" s="49"/>
      <c r="U1006" s="49"/>
      <c r="V1006" s="49"/>
      <c r="W1006" s="49"/>
      <c r="X1006" s="49"/>
      <c r="Y1006" s="49"/>
      <c r="Z1006" s="49"/>
    </row>
    <row r="1007">
      <c r="A1007" s="49"/>
      <c r="B1007" s="49"/>
      <c r="C1007" s="91"/>
      <c r="D1007" s="49"/>
      <c r="E1007" s="49"/>
      <c r="F1007" s="49"/>
      <c r="G1007" s="49"/>
      <c r="H1007" s="49"/>
      <c r="I1007" s="49"/>
      <c r="J1007" s="49"/>
      <c r="K1007" s="49"/>
      <c r="L1007" s="49"/>
      <c r="M1007" s="49"/>
      <c r="N1007" s="49"/>
      <c r="O1007" s="49"/>
      <c r="P1007" s="49"/>
      <c r="Q1007" s="49"/>
      <c r="R1007" s="49"/>
      <c r="S1007" s="49"/>
      <c r="T1007" s="49"/>
      <c r="U1007" s="49"/>
      <c r="V1007" s="49"/>
      <c r="W1007" s="49"/>
      <c r="X1007" s="49"/>
      <c r="Y1007" s="49"/>
      <c r="Z1007" s="49"/>
    </row>
    <row r="1008">
      <c r="A1008" s="49"/>
      <c r="B1008" s="49"/>
      <c r="C1008" s="91"/>
      <c r="D1008" s="49"/>
      <c r="E1008" s="49"/>
      <c r="F1008" s="49"/>
      <c r="G1008" s="49"/>
      <c r="H1008" s="49"/>
      <c r="I1008" s="49"/>
      <c r="J1008" s="49"/>
      <c r="K1008" s="49"/>
      <c r="L1008" s="49"/>
      <c r="M1008" s="49"/>
      <c r="N1008" s="49"/>
      <c r="O1008" s="49"/>
      <c r="P1008" s="49"/>
      <c r="Q1008" s="49"/>
      <c r="R1008" s="49"/>
      <c r="S1008" s="49"/>
      <c r="T1008" s="49"/>
      <c r="U1008" s="49"/>
      <c r="V1008" s="49"/>
      <c r="W1008" s="49"/>
      <c r="X1008" s="49"/>
      <c r="Y1008" s="49"/>
      <c r="Z1008" s="49"/>
    </row>
    <row r="1009">
      <c r="A1009" s="49"/>
      <c r="B1009" s="49"/>
      <c r="C1009" s="91"/>
      <c r="D1009" s="49"/>
      <c r="E1009" s="49"/>
      <c r="F1009" s="49"/>
      <c r="G1009" s="49"/>
      <c r="H1009" s="49"/>
      <c r="I1009" s="49"/>
      <c r="J1009" s="49"/>
      <c r="K1009" s="49"/>
      <c r="L1009" s="49"/>
      <c r="M1009" s="49"/>
      <c r="N1009" s="49"/>
      <c r="O1009" s="49"/>
      <c r="P1009" s="49"/>
      <c r="Q1009" s="49"/>
      <c r="R1009" s="49"/>
      <c r="S1009" s="49"/>
      <c r="T1009" s="49"/>
      <c r="U1009" s="49"/>
      <c r="V1009" s="49"/>
      <c r="W1009" s="49"/>
      <c r="X1009" s="49"/>
      <c r="Y1009" s="49"/>
      <c r="Z1009" s="49"/>
    </row>
    <row r="1010">
      <c r="A1010" s="49"/>
      <c r="B1010" s="49"/>
      <c r="C1010" s="91"/>
      <c r="D1010" s="49"/>
      <c r="E1010" s="49"/>
      <c r="F1010" s="49"/>
      <c r="G1010" s="49"/>
      <c r="H1010" s="49"/>
      <c r="I1010" s="49"/>
      <c r="J1010" s="49"/>
      <c r="K1010" s="49"/>
      <c r="L1010" s="49"/>
      <c r="M1010" s="49"/>
      <c r="N1010" s="49"/>
      <c r="O1010" s="49"/>
      <c r="P1010" s="49"/>
      <c r="Q1010" s="49"/>
      <c r="R1010" s="49"/>
      <c r="S1010" s="49"/>
      <c r="T1010" s="49"/>
      <c r="U1010" s="49"/>
      <c r="V1010" s="49"/>
      <c r="W1010" s="49"/>
      <c r="X1010" s="49"/>
      <c r="Y1010" s="49"/>
      <c r="Z1010" s="49"/>
    </row>
    <row r="1011">
      <c r="A1011" s="49"/>
      <c r="B1011" s="49"/>
      <c r="C1011" s="91"/>
      <c r="D1011" s="49"/>
      <c r="E1011" s="49"/>
      <c r="F1011" s="49"/>
      <c r="G1011" s="49"/>
      <c r="H1011" s="49"/>
      <c r="I1011" s="49"/>
      <c r="J1011" s="49"/>
      <c r="K1011" s="49"/>
      <c r="L1011" s="49"/>
      <c r="M1011" s="49"/>
      <c r="N1011" s="49"/>
      <c r="O1011" s="49"/>
      <c r="P1011" s="49"/>
      <c r="Q1011" s="49"/>
      <c r="R1011" s="49"/>
      <c r="S1011" s="49"/>
      <c r="T1011" s="49"/>
      <c r="U1011" s="49"/>
      <c r="V1011" s="49"/>
      <c r="W1011" s="49"/>
      <c r="X1011" s="49"/>
      <c r="Y1011" s="49"/>
      <c r="Z1011" s="49"/>
    </row>
    <row r="1012">
      <c r="A1012" s="49"/>
      <c r="B1012" s="49"/>
      <c r="C1012" s="91"/>
      <c r="D1012" s="49"/>
      <c r="E1012" s="49"/>
      <c r="F1012" s="49"/>
      <c r="G1012" s="49"/>
      <c r="H1012" s="49"/>
      <c r="I1012" s="49"/>
      <c r="J1012" s="49"/>
      <c r="K1012" s="49"/>
      <c r="L1012" s="49"/>
      <c r="M1012" s="49"/>
      <c r="N1012" s="49"/>
      <c r="O1012" s="49"/>
      <c r="P1012" s="49"/>
      <c r="Q1012" s="49"/>
      <c r="R1012" s="49"/>
      <c r="S1012" s="49"/>
      <c r="T1012" s="49"/>
      <c r="U1012" s="49"/>
      <c r="V1012" s="49"/>
      <c r="W1012" s="49"/>
      <c r="X1012" s="49"/>
      <c r="Y1012" s="49"/>
      <c r="Z1012" s="49"/>
    </row>
    <row r="1013">
      <c r="A1013" s="49"/>
      <c r="B1013" s="49"/>
      <c r="C1013" s="91"/>
      <c r="D1013" s="49"/>
      <c r="E1013" s="49"/>
      <c r="F1013" s="49"/>
      <c r="G1013" s="49"/>
      <c r="H1013" s="49"/>
      <c r="I1013" s="49"/>
      <c r="J1013" s="49"/>
      <c r="K1013" s="49"/>
      <c r="L1013" s="49"/>
      <c r="M1013" s="49"/>
      <c r="N1013" s="49"/>
      <c r="O1013" s="49"/>
      <c r="P1013" s="49"/>
      <c r="Q1013" s="49"/>
      <c r="R1013" s="49"/>
      <c r="S1013" s="49"/>
      <c r="T1013" s="49"/>
      <c r="U1013" s="49"/>
      <c r="V1013" s="49"/>
      <c r="W1013" s="49"/>
      <c r="X1013" s="49"/>
      <c r="Y1013" s="49"/>
      <c r="Z1013" s="49"/>
    </row>
    <row r="1014">
      <c r="A1014" s="49"/>
      <c r="B1014" s="49"/>
      <c r="C1014" s="91"/>
      <c r="D1014" s="49"/>
      <c r="E1014" s="49"/>
      <c r="F1014" s="49"/>
      <c r="G1014" s="49"/>
      <c r="H1014" s="49"/>
      <c r="I1014" s="49"/>
      <c r="J1014" s="49"/>
      <c r="K1014" s="49"/>
      <c r="L1014" s="49"/>
      <c r="M1014" s="49"/>
      <c r="N1014" s="49"/>
      <c r="O1014" s="49"/>
      <c r="P1014" s="49"/>
      <c r="Q1014" s="49"/>
      <c r="R1014" s="49"/>
      <c r="S1014" s="49"/>
      <c r="T1014" s="49"/>
      <c r="U1014" s="49"/>
      <c r="V1014" s="49"/>
      <c r="W1014" s="49"/>
      <c r="X1014" s="49"/>
      <c r="Y1014" s="49"/>
      <c r="Z1014" s="49"/>
    </row>
    <row r="1015">
      <c r="A1015" s="49"/>
      <c r="B1015" s="49"/>
      <c r="C1015" s="91"/>
      <c r="D1015" s="49"/>
      <c r="E1015" s="49"/>
      <c r="F1015" s="49"/>
      <c r="G1015" s="49"/>
      <c r="H1015" s="49"/>
      <c r="I1015" s="49"/>
      <c r="J1015" s="49"/>
      <c r="K1015" s="49"/>
      <c r="L1015" s="49"/>
      <c r="M1015" s="49"/>
      <c r="N1015" s="49"/>
      <c r="O1015" s="49"/>
      <c r="P1015" s="49"/>
      <c r="Q1015" s="49"/>
      <c r="R1015" s="49"/>
      <c r="S1015" s="49"/>
      <c r="T1015" s="49"/>
      <c r="U1015" s="49"/>
      <c r="V1015" s="49"/>
      <c r="W1015" s="49"/>
      <c r="X1015" s="49"/>
      <c r="Y1015" s="49"/>
      <c r="Z1015" s="49"/>
    </row>
    <row r="1016">
      <c r="A1016" s="49"/>
      <c r="B1016" s="49"/>
      <c r="C1016" s="91"/>
      <c r="D1016" s="49"/>
      <c r="E1016" s="49"/>
      <c r="F1016" s="49"/>
      <c r="G1016" s="49"/>
      <c r="H1016" s="49"/>
      <c r="I1016" s="49"/>
      <c r="J1016" s="49"/>
      <c r="K1016" s="49"/>
      <c r="L1016" s="49"/>
      <c r="M1016" s="49"/>
      <c r="N1016" s="49"/>
      <c r="O1016" s="49"/>
      <c r="P1016" s="49"/>
      <c r="Q1016" s="49"/>
      <c r="R1016" s="49"/>
      <c r="S1016" s="49"/>
      <c r="T1016" s="49"/>
      <c r="U1016" s="49"/>
      <c r="V1016" s="49"/>
      <c r="W1016" s="49"/>
      <c r="X1016" s="49"/>
      <c r="Y1016" s="49"/>
      <c r="Z1016" s="49"/>
    </row>
    <row r="1017">
      <c r="A1017" s="49"/>
      <c r="B1017" s="49"/>
      <c r="C1017" s="91"/>
      <c r="D1017" s="49"/>
      <c r="E1017" s="49"/>
      <c r="F1017" s="49"/>
      <c r="G1017" s="49"/>
      <c r="H1017" s="49"/>
      <c r="I1017" s="49"/>
      <c r="J1017" s="49"/>
      <c r="K1017" s="49"/>
      <c r="L1017" s="49"/>
      <c r="M1017" s="49"/>
      <c r="N1017" s="49"/>
      <c r="O1017" s="49"/>
      <c r="P1017" s="49"/>
      <c r="Q1017" s="49"/>
      <c r="R1017" s="49"/>
      <c r="S1017" s="49"/>
      <c r="T1017" s="49"/>
      <c r="U1017" s="49"/>
      <c r="V1017" s="49"/>
      <c r="W1017" s="49"/>
      <c r="X1017" s="49"/>
      <c r="Y1017" s="49"/>
      <c r="Z1017" s="49"/>
    </row>
    <row r="1018">
      <c r="A1018" s="49"/>
      <c r="B1018" s="49"/>
      <c r="C1018" s="91"/>
      <c r="D1018" s="49"/>
      <c r="E1018" s="49"/>
      <c r="F1018" s="49"/>
      <c r="G1018" s="49"/>
      <c r="H1018" s="49"/>
      <c r="I1018" s="49"/>
      <c r="J1018" s="49"/>
      <c r="K1018" s="49"/>
      <c r="L1018" s="49"/>
      <c r="M1018" s="49"/>
      <c r="N1018" s="49"/>
      <c r="O1018" s="49"/>
      <c r="P1018" s="49"/>
      <c r="Q1018" s="49"/>
      <c r="R1018" s="49"/>
      <c r="S1018" s="49"/>
      <c r="T1018" s="49"/>
      <c r="U1018" s="49"/>
      <c r="V1018" s="49"/>
      <c r="W1018" s="49"/>
      <c r="X1018" s="49"/>
      <c r="Y1018" s="49"/>
      <c r="Z1018" s="49"/>
    </row>
    <row r="1019">
      <c r="A1019" s="49"/>
      <c r="B1019" s="49"/>
      <c r="C1019" s="91"/>
      <c r="D1019" s="49"/>
      <c r="E1019" s="49"/>
      <c r="F1019" s="49"/>
      <c r="G1019" s="49"/>
      <c r="H1019" s="49"/>
      <c r="I1019" s="49"/>
      <c r="J1019" s="49"/>
      <c r="K1019" s="49"/>
      <c r="L1019" s="49"/>
      <c r="M1019" s="49"/>
      <c r="N1019" s="49"/>
      <c r="O1019" s="49"/>
      <c r="P1019" s="49"/>
      <c r="Q1019" s="49"/>
      <c r="R1019" s="49"/>
      <c r="S1019" s="49"/>
      <c r="T1019" s="49"/>
      <c r="U1019" s="49"/>
      <c r="V1019" s="49"/>
      <c r="W1019" s="49"/>
      <c r="X1019" s="49"/>
      <c r="Y1019" s="49"/>
      <c r="Z1019" s="49"/>
    </row>
    <row r="1020">
      <c r="A1020" s="49"/>
      <c r="B1020" s="49"/>
      <c r="C1020" s="91"/>
      <c r="D1020" s="49"/>
      <c r="E1020" s="49"/>
      <c r="F1020" s="49"/>
      <c r="G1020" s="49"/>
      <c r="H1020" s="49"/>
      <c r="I1020" s="49"/>
      <c r="J1020" s="49"/>
      <c r="K1020" s="49"/>
      <c r="L1020" s="49"/>
      <c r="M1020" s="49"/>
      <c r="N1020" s="49"/>
      <c r="O1020" s="49"/>
      <c r="P1020" s="49"/>
      <c r="Q1020" s="49"/>
      <c r="R1020" s="49"/>
      <c r="S1020" s="49"/>
      <c r="T1020" s="49"/>
      <c r="U1020" s="49"/>
      <c r="V1020" s="49"/>
      <c r="W1020" s="49"/>
      <c r="X1020" s="49"/>
      <c r="Y1020" s="49"/>
      <c r="Z1020" s="49"/>
    </row>
    <row r="1021">
      <c r="A1021" s="49"/>
      <c r="B1021" s="49"/>
      <c r="C1021" s="91"/>
      <c r="D1021" s="49"/>
      <c r="E1021" s="49"/>
      <c r="F1021" s="49"/>
      <c r="G1021" s="49"/>
      <c r="H1021" s="49"/>
      <c r="I1021" s="49"/>
      <c r="J1021" s="49"/>
      <c r="K1021" s="49"/>
      <c r="L1021" s="49"/>
      <c r="M1021" s="49"/>
      <c r="N1021" s="49"/>
      <c r="O1021" s="49"/>
      <c r="P1021" s="49"/>
      <c r="Q1021" s="49"/>
      <c r="R1021" s="49"/>
      <c r="S1021" s="49"/>
      <c r="T1021" s="49"/>
      <c r="U1021" s="49"/>
      <c r="V1021" s="49"/>
      <c r="W1021" s="49"/>
      <c r="X1021" s="49"/>
      <c r="Y1021" s="49"/>
      <c r="Z1021" s="49"/>
    </row>
    <row r="1022">
      <c r="A1022" s="49"/>
      <c r="B1022" s="49"/>
      <c r="C1022" s="91"/>
      <c r="D1022" s="49"/>
      <c r="E1022" s="49"/>
      <c r="F1022" s="49"/>
      <c r="G1022" s="49"/>
      <c r="H1022" s="49"/>
      <c r="I1022" s="49"/>
      <c r="J1022" s="49"/>
      <c r="K1022" s="49"/>
      <c r="L1022" s="49"/>
      <c r="M1022" s="49"/>
      <c r="N1022" s="49"/>
      <c r="O1022" s="49"/>
      <c r="P1022" s="49"/>
      <c r="Q1022" s="49"/>
      <c r="R1022" s="49"/>
      <c r="S1022" s="49"/>
      <c r="T1022" s="49"/>
      <c r="U1022" s="49"/>
      <c r="V1022" s="49"/>
      <c r="W1022" s="49"/>
      <c r="X1022" s="49"/>
      <c r="Y1022" s="49"/>
      <c r="Z1022" s="49"/>
    </row>
    <row r="1023">
      <c r="A1023" s="49"/>
      <c r="B1023" s="49"/>
      <c r="C1023" s="91"/>
      <c r="D1023" s="49"/>
      <c r="E1023" s="49"/>
      <c r="F1023" s="49"/>
      <c r="G1023" s="49"/>
      <c r="H1023" s="49"/>
      <c r="I1023" s="49"/>
      <c r="J1023" s="49"/>
      <c r="K1023" s="49"/>
      <c r="L1023" s="49"/>
      <c r="M1023" s="49"/>
      <c r="N1023" s="49"/>
      <c r="O1023" s="49"/>
      <c r="P1023" s="49"/>
      <c r="Q1023" s="49"/>
      <c r="R1023" s="49"/>
      <c r="S1023" s="49"/>
      <c r="T1023" s="49"/>
      <c r="U1023" s="49"/>
      <c r="V1023" s="49"/>
      <c r="W1023" s="49"/>
      <c r="X1023" s="49"/>
      <c r="Y1023" s="49"/>
      <c r="Z1023" s="49"/>
    </row>
    <row r="1024">
      <c r="A1024" s="49"/>
      <c r="B1024" s="49"/>
      <c r="C1024" s="91"/>
      <c r="D1024" s="49"/>
      <c r="E1024" s="49"/>
      <c r="F1024" s="49"/>
      <c r="G1024" s="49"/>
      <c r="H1024" s="49"/>
      <c r="I1024" s="49"/>
      <c r="J1024" s="49"/>
      <c r="K1024" s="49"/>
      <c r="L1024" s="49"/>
      <c r="M1024" s="49"/>
      <c r="N1024" s="49"/>
      <c r="O1024" s="49"/>
      <c r="P1024" s="49"/>
      <c r="Q1024" s="49"/>
      <c r="R1024" s="49"/>
      <c r="S1024" s="49"/>
      <c r="T1024" s="49"/>
      <c r="U1024" s="49"/>
      <c r="V1024" s="49"/>
      <c r="W1024" s="49"/>
      <c r="X1024" s="49"/>
      <c r="Y1024" s="49"/>
      <c r="Z1024" s="49"/>
    </row>
    <row r="1025">
      <c r="A1025" s="49"/>
      <c r="B1025" s="49"/>
      <c r="C1025" s="91"/>
      <c r="D1025" s="49"/>
      <c r="E1025" s="49"/>
      <c r="F1025" s="49"/>
      <c r="G1025" s="49"/>
      <c r="H1025" s="49"/>
      <c r="I1025" s="49"/>
      <c r="J1025" s="49"/>
      <c r="K1025" s="49"/>
      <c r="L1025" s="49"/>
      <c r="M1025" s="49"/>
      <c r="N1025" s="49"/>
      <c r="O1025" s="49"/>
      <c r="P1025" s="49"/>
      <c r="Q1025" s="49"/>
      <c r="R1025" s="49"/>
      <c r="S1025" s="49"/>
      <c r="T1025" s="49"/>
      <c r="U1025" s="49"/>
      <c r="V1025" s="49"/>
      <c r="W1025" s="49"/>
      <c r="X1025" s="49"/>
      <c r="Y1025" s="49"/>
      <c r="Z1025" s="49"/>
    </row>
    <row r="1026">
      <c r="A1026" s="49"/>
      <c r="B1026" s="49"/>
      <c r="C1026" s="91"/>
      <c r="D1026" s="49"/>
      <c r="E1026" s="49"/>
      <c r="F1026" s="49"/>
      <c r="G1026" s="49"/>
      <c r="H1026" s="49"/>
      <c r="I1026" s="49"/>
      <c r="J1026" s="49"/>
      <c r="K1026" s="49"/>
      <c r="L1026" s="49"/>
      <c r="M1026" s="49"/>
      <c r="N1026" s="49"/>
      <c r="O1026" s="49"/>
      <c r="P1026" s="49"/>
      <c r="Q1026" s="49"/>
      <c r="R1026" s="49"/>
      <c r="S1026" s="49"/>
      <c r="T1026" s="49"/>
      <c r="U1026" s="49"/>
      <c r="V1026" s="49"/>
      <c r="W1026" s="49"/>
      <c r="X1026" s="49"/>
      <c r="Y1026" s="49"/>
      <c r="Z1026" s="49"/>
    </row>
    <row r="1027">
      <c r="A1027" s="49"/>
      <c r="B1027" s="49"/>
      <c r="C1027" s="91"/>
      <c r="D1027" s="49"/>
      <c r="E1027" s="49"/>
      <c r="F1027" s="49"/>
      <c r="G1027" s="49"/>
      <c r="H1027" s="49"/>
      <c r="I1027" s="49"/>
      <c r="J1027" s="49"/>
      <c r="K1027" s="49"/>
      <c r="L1027" s="49"/>
      <c r="M1027" s="49"/>
      <c r="N1027" s="49"/>
      <c r="O1027" s="49"/>
      <c r="P1027" s="49"/>
      <c r="Q1027" s="49"/>
      <c r="R1027" s="49"/>
      <c r="S1027" s="49"/>
      <c r="T1027" s="49"/>
      <c r="U1027" s="49"/>
      <c r="V1027" s="49"/>
      <c r="W1027" s="49"/>
      <c r="X1027" s="49"/>
      <c r="Y1027" s="49"/>
      <c r="Z1027" s="49"/>
    </row>
    <row r="1028">
      <c r="A1028" s="49"/>
      <c r="B1028" s="49"/>
      <c r="C1028" s="91"/>
      <c r="D1028" s="49"/>
      <c r="E1028" s="49"/>
      <c r="F1028" s="49"/>
      <c r="G1028" s="49"/>
      <c r="H1028" s="49"/>
      <c r="I1028" s="49"/>
      <c r="J1028" s="49"/>
      <c r="K1028" s="49"/>
      <c r="L1028" s="49"/>
      <c r="M1028" s="49"/>
      <c r="N1028" s="49"/>
      <c r="O1028" s="49"/>
      <c r="P1028" s="49"/>
      <c r="Q1028" s="49"/>
      <c r="R1028" s="49"/>
      <c r="S1028" s="49"/>
      <c r="T1028" s="49"/>
      <c r="U1028" s="49"/>
      <c r="V1028" s="49"/>
      <c r="W1028" s="49"/>
      <c r="X1028" s="49"/>
      <c r="Y1028" s="49"/>
      <c r="Z1028" s="49"/>
    </row>
    <row r="1029">
      <c r="A1029" s="49"/>
      <c r="B1029" s="49"/>
      <c r="C1029" s="91"/>
      <c r="D1029" s="49"/>
      <c r="E1029" s="49"/>
      <c r="F1029" s="49"/>
      <c r="G1029" s="49"/>
      <c r="H1029" s="49"/>
      <c r="I1029" s="49"/>
      <c r="J1029" s="49"/>
      <c r="K1029" s="49"/>
      <c r="L1029" s="49"/>
      <c r="M1029" s="49"/>
      <c r="N1029" s="49"/>
      <c r="O1029" s="49"/>
      <c r="P1029" s="49"/>
      <c r="Q1029" s="49"/>
      <c r="R1029" s="49"/>
      <c r="S1029" s="49"/>
      <c r="T1029" s="49"/>
      <c r="U1029" s="49"/>
      <c r="V1029" s="49"/>
      <c r="W1029" s="49"/>
      <c r="X1029" s="49"/>
      <c r="Y1029" s="49"/>
      <c r="Z1029" s="49"/>
    </row>
    <row r="1030">
      <c r="A1030" s="49"/>
      <c r="B1030" s="49"/>
      <c r="C1030" s="91"/>
      <c r="D1030" s="49"/>
      <c r="E1030" s="49"/>
      <c r="F1030" s="49"/>
      <c r="G1030" s="49"/>
      <c r="H1030" s="49"/>
      <c r="I1030" s="49"/>
      <c r="J1030" s="49"/>
      <c r="K1030" s="49"/>
      <c r="L1030" s="49"/>
      <c r="M1030" s="49"/>
      <c r="N1030" s="49"/>
      <c r="O1030" s="49"/>
      <c r="P1030" s="49"/>
      <c r="Q1030" s="49"/>
      <c r="R1030" s="49"/>
      <c r="S1030" s="49"/>
      <c r="T1030" s="49"/>
      <c r="U1030" s="49"/>
      <c r="V1030" s="49"/>
      <c r="W1030" s="49"/>
      <c r="X1030" s="49"/>
      <c r="Y1030" s="49"/>
      <c r="Z1030" s="49"/>
    </row>
    <row r="1031">
      <c r="A1031" s="49"/>
      <c r="B1031" s="49"/>
      <c r="C1031" s="91"/>
      <c r="D1031" s="49"/>
      <c r="E1031" s="49"/>
      <c r="F1031" s="49"/>
      <c r="G1031" s="49"/>
      <c r="H1031" s="49"/>
      <c r="I1031" s="49"/>
      <c r="J1031" s="49"/>
      <c r="K1031" s="49"/>
      <c r="L1031" s="49"/>
      <c r="M1031" s="49"/>
      <c r="N1031" s="49"/>
      <c r="O1031" s="49"/>
      <c r="P1031" s="49"/>
      <c r="Q1031" s="49"/>
      <c r="R1031" s="49"/>
      <c r="S1031" s="49"/>
      <c r="T1031" s="49"/>
      <c r="U1031" s="49"/>
      <c r="V1031" s="49"/>
      <c r="W1031" s="49"/>
      <c r="X1031" s="49"/>
      <c r="Y1031" s="49"/>
      <c r="Z1031" s="49"/>
    </row>
    <row r="1032">
      <c r="A1032" s="49"/>
      <c r="B1032" s="49"/>
      <c r="C1032" s="91"/>
      <c r="D1032" s="49"/>
      <c r="E1032" s="49"/>
      <c r="F1032" s="49"/>
      <c r="G1032" s="49"/>
      <c r="H1032" s="49"/>
      <c r="I1032" s="49"/>
      <c r="J1032" s="49"/>
      <c r="K1032" s="49"/>
      <c r="L1032" s="49"/>
      <c r="M1032" s="49"/>
      <c r="N1032" s="49"/>
      <c r="O1032" s="49"/>
      <c r="P1032" s="49"/>
      <c r="Q1032" s="49"/>
      <c r="R1032" s="49"/>
      <c r="S1032" s="49"/>
      <c r="T1032" s="49"/>
      <c r="U1032" s="49"/>
      <c r="V1032" s="49"/>
      <c r="W1032" s="49"/>
      <c r="X1032" s="49"/>
      <c r="Y1032" s="49"/>
      <c r="Z1032" s="49"/>
    </row>
    <row r="1033">
      <c r="A1033" s="49"/>
      <c r="B1033" s="49"/>
      <c r="C1033" s="91"/>
      <c r="D1033" s="49"/>
      <c r="E1033" s="49"/>
      <c r="F1033" s="49"/>
      <c r="G1033" s="49"/>
      <c r="H1033" s="49"/>
      <c r="I1033" s="49"/>
      <c r="J1033" s="49"/>
      <c r="K1033" s="49"/>
      <c r="L1033" s="49"/>
      <c r="M1033" s="49"/>
      <c r="N1033" s="49"/>
      <c r="O1033" s="49"/>
      <c r="P1033" s="49"/>
      <c r="Q1033" s="49"/>
      <c r="R1033" s="49"/>
      <c r="S1033" s="49"/>
      <c r="T1033" s="49"/>
      <c r="U1033" s="49"/>
      <c r="V1033" s="49"/>
      <c r="W1033" s="49"/>
      <c r="X1033" s="49"/>
      <c r="Y1033" s="49"/>
      <c r="Z1033" s="49"/>
    </row>
    <row r="1034">
      <c r="A1034" s="49"/>
      <c r="B1034" s="49"/>
      <c r="C1034" s="91"/>
      <c r="D1034" s="49"/>
      <c r="E1034" s="49"/>
      <c r="F1034" s="49"/>
      <c r="G1034" s="49"/>
      <c r="H1034" s="49"/>
      <c r="I1034" s="49"/>
      <c r="J1034" s="49"/>
      <c r="K1034" s="49"/>
      <c r="L1034" s="49"/>
      <c r="M1034" s="49"/>
      <c r="N1034" s="49"/>
      <c r="O1034" s="49"/>
      <c r="P1034" s="49"/>
      <c r="Q1034" s="49"/>
      <c r="R1034" s="49"/>
      <c r="S1034" s="49"/>
      <c r="T1034" s="49"/>
      <c r="U1034" s="49"/>
      <c r="V1034" s="49"/>
      <c r="W1034" s="49"/>
      <c r="X1034" s="49"/>
      <c r="Y1034" s="49"/>
      <c r="Z1034" s="49"/>
    </row>
    <row r="1035">
      <c r="A1035" s="49"/>
      <c r="B1035" s="49"/>
      <c r="C1035" s="91"/>
      <c r="D1035" s="49"/>
      <c r="E1035" s="49"/>
      <c r="F1035" s="49"/>
      <c r="G1035" s="49"/>
      <c r="H1035" s="49"/>
      <c r="I1035" s="49"/>
      <c r="J1035" s="49"/>
      <c r="K1035" s="49"/>
      <c r="L1035" s="49"/>
      <c r="M1035" s="49"/>
      <c r="N1035" s="49"/>
      <c r="O1035" s="49"/>
      <c r="P1035" s="49"/>
      <c r="Q1035" s="49"/>
      <c r="R1035" s="49"/>
      <c r="S1035" s="49"/>
      <c r="T1035" s="49"/>
      <c r="U1035" s="49"/>
      <c r="V1035" s="49"/>
      <c r="W1035" s="49"/>
      <c r="X1035" s="49"/>
      <c r="Y1035" s="49"/>
      <c r="Z1035" s="49"/>
    </row>
    <row r="1036">
      <c r="A1036" s="49"/>
      <c r="B1036" s="49"/>
      <c r="C1036" s="91"/>
      <c r="D1036" s="49"/>
      <c r="E1036" s="49"/>
      <c r="F1036" s="49"/>
      <c r="G1036" s="49"/>
      <c r="H1036" s="49"/>
      <c r="I1036" s="49"/>
      <c r="J1036" s="49"/>
      <c r="K1036" s="49"/>
      <c r="L1036" s="49"/>
      <c r="M1036" s="49"/>
      <c r="N1036" s="49"/>
      <c r="O1036" s="49"/>
      <c r="P1036" s="49"/>
      <c r="Q1036" s="49"/>
      <c r="R1036" s="49"/>
      <c r="S1036" s="49"/>
      <c r="T1036" s="49"/>
      <c r="U1036" s="49"/>
      <c r="V1036" s="49"/>
      <c r="W1036" s="49"/>
      <c r="X1036" s="49"/>
      <c r="Y1036" s="49"/>
      <c r="Z1036" s="49"/>
    </row>
    <row r="1037">
      <c r="A1037" s="49"/>
      <c r="B1037" s="49"/>
      <c r="C1037" s="91"/>
      <c r="D1037" s="49"/>
      <c r="E1037" s="49"/>
      <c r="F1037" s="49"/>
      <c r="G1037" s="49"/>
      <c r="H1037" s="49"/>
      <c r="I1037" s="49"/>
      <c r="J1037" s="49"/>
      <c r="K1037" s="49"/>
      <c r="L1037" s="49"/>
      <c r="M1037" s="49"/>
      <c r="N1037" s="49"/>
      <c r="O1037" s="49"/>
      <c r="P1037" s="49"/>
      <c r="Q1037" s="49"/>
      <c r="R1037" s="49"/>
      <c r="S1037" s="49"/>
      <c r="T1037" s="49"/>
      <c r="U1037" s="49"/>
      <c r="V1037" s="49"/>
      <c r="W1037" s="49"/>
      <c r="X1037" s="49"/>
      <c r="Y1037" s="49"/>
      <c r="Z1037" s="49"/>
    </row>
    <row r="1038">
      <c r="A1038" s="49"/>
      <c r="B1038" s="49"/>
      <c r="C1038" s="91"/>
      <c r="D1038" s="49"/>
      <c r="E1038" s="49"/>
      <c r="F1038" s="49"/>
      <c r="G1038" s="49"/>
      <c r="H1038" s="49"/>
      <c r="I1038" s="49"/>
      <c r="J1038" s="49"/>
      <c r="K1038" s="49"/>
      <c r="L1038" s="49"/>
      <c r="M1038" s="49"/>
      <c r="N1038" s="49"/>
      <c r="O1038" s="49"/>
      <c r="P1038" s="49"/>
      <c r="Q1038" s="49"/>
      <c r="R1038" s="49"/>
      <c r="S1038" s="49"/>
      <c r="T1038" s="49"/>
      <c r="U1038" s="49"/>
      <c r="V1038" s="49"/>
      <c r="W1038" s="49"/>
      <c r="X1038" s="49"/>
      <c r="Y1038" s="49"/>
      <c r="Z1038" s="49"/>
    </row>
    <row r="1039">
      <c r="A1039" s="49"/>
      <c r="B1039" s="49"/>
      <c r="C1039" s="91"/>
      <c r="D1039" s="49"/>
      <c r="E1039" s="49"/>
      <c r="F1039" s="49"/>
      <c r="G1039" s="49"/>
      <c r="H1039" s="49"/>
      <c r="I1039" s="49"/>
      <c r="J1039" s="49"/>
      <c r="K1039" s="49"/>
      <c r="L1039" s="49"/>
      <c r="M1039" s="49"/>
      <c r="N1039" s="49"/>
      <c r="O1039" s="49"/>
      <c r="P1039" s="49"/>
      <c r="Q1039" s="49"/>
      <c r="R1039" s="49"/>
      <c r="S1039" s="49"/>
      <c r="T1039" s="49"/>
      <c r="U1039" s="49"/>
      <c r="V1039" s="49"/>
      <c r="W1039" s="49"/>
      <c r="X1039" s="49"/>
      <c r="Y1039" s="49"/>
      <c r="Z1039" s="49"/>
    </row>
    <row r="1040">
      <c r="A1040" s="49"/>
      <c r="B1040" s="49"/>
      <c r="C1040" s="91"/>
      <c r="D1040" s="49"/>
      <c r="E1040" s="49"/>
      <c r="F1040" s="49"/>
      <c r="G1040" s="49"/>
      <c r="H1040" s="49"/>
      <c r="I1040" s="49"/>
      <c r="J1040" s="49"/>
      <c r="K1040" s="49"/>
      <c r="L1040" s="49"/>
      <c r="M1040" s="49"/>
      <c r="N1040" s="49"/>
      <c r="O1040" s="49"/>
      <c r="P1040" s="49"/>
      <c r="Q1040" s="49"/>
      <c r="R1040" s="49"/>
      <c r="S1040" s="49"/>
      <c r="T1040" s="49"/>
      <c r="U1040" s="49"/>
      <c r="V1040" s="49"/>
      <c r="W1040" s="49"/>
      <c r="X1040" s="49"/>
      <c r="Y1040" s="49"/>
      <c r="Z1040" s="49"/>
    </row>
    <row r="1041">
      <c r="A1041" s="49"/>
      <c r="B1041" s="49"/>
      <c r="C1041" s="91"/>
      <c r="D1041" s="49"/>
      <c r="E1041" s="49"/>
      <c r="F1041" s="49"/>
      <c r="G1041" s="49"/>
      <c r="H1041" s="49"/>
      <c r="I1041" s="49"/>
      <c r="J1041" s="49"/>
      <c r="K1041" s="49"/>
      <c r="L1041" s="49"/>
      <c r="M1041" s="49"/>
      <c r="N1041" s="49"/>
      <c r="O1041" s="49"/>
      <c r="P1041" s="49"/>
      <c r="Q1041" s="49"/>
      <c r="R1041" s="49"/>
      <c r="S1041" s="49"/>
      <c r="T1041" s="49"/>
      <c r="U1041" s="49"/>
      <c r="V1041" s="49"/>
      <c r="W1041" s="49"/>
      <c r="X1041" s="49"/>
      <c r="Y1041" s="49"/>
      <c r="Z1041" s="49"/>
    </row>
    <row r="1042">
      <c r="A1042" s="49"/>
      <c r="B1042" s="49"/>
      <c r="C1042" s="91"/>
      <c r="D1042" s="49"/>
      <c r="E1042" s="49"/>
      <c r="F1042" s="49"/>
      <c r="G1042" s="49"/>
      <c r="H1042" s="49"/>
      <c r="I1042" s="49"/>
      <c r="J1042" s="49"/>
      <c r="K1042" s="49"/>
      <c r="L1042" s="49"/>
      <c r="M1042" s="49"/>
      <c r="N1042" s="49"/>
      <c r="O1042" s="49"/>
      <c r="P1042" s="49"/>
      <c r="Q1042" s="49"/>
      <c r="R1042" s="49"/>
      <c r="S1042" s="49"/>
      <c r="T1042" s="49"/>
      <c r="U1042" s="49"/>
      <c r="V1042" s="49"/>
      <c r="W1042" s="49"/>
      <c r="X1042" s="49"/>
      <c r="Y1042" s="49"/>
      <c r="Z1042" s="49"/>
    </row>
    <row r="1043">
      <c r="A1043" s="49"/>
      <c r="B1043" s="49"/>
      <c r="C1043" s="91"/>
      <c r="D1043" s="49"/>
      <c r="E1043" s="49"/>
      <c r="F1043" s="49"/>
      <c r="G1043" s="49"/>
      <c r="H1043" s="49"/>
      <c r="I1043" s="49"/>
      <c r="J1043" s="49"/>
      <c r="K1043" s="49"/>
      <c r="L1043" s="49"/>
      <c r="M1043" s="49"/>
      <c r="N1043" s="49"/>
      <c r="O1043" s="49"/>
      <c r="P1043" s="49"/>
      <c r="Q1043" s="49"/>
      <c r="R1043" s="49"/>
      <c r="S1043" s="49"/>
      <c r="T1043" s="49"/>
      <c r="U1043" s="49"/>
      <c r="V1043" s="49"/>
      <c r="W1043" s="49"/>
      <c r="X1043" s="49"/>
      <c r="Y1043" s="49"/>
      <c r="Z1043" s="49"/>
    </row>
    <row r="1044">
      <c r="A1044" s="49"/>
      <c r="B1044" s="49"/>
      <c r="C1044" s="91"/>
      <c r="D1044" s="49"/>
      <c r="E1044" s="49"/>
      <c r="F1044" s="49"/>
      <c r="G1044" s="49"/>
      <c r="H1044" s="49"/>
      <c r="I1044" s="49"/>
      <c r="J1044" s="49"/>
      <c r="K1044" s="49"/>
      <c r="L1044" s="49"/>
      <c r="M1044" s="49"/>
      <c r="N1044" s="49"/>
      <c r="O1044" s="49"/>
      <c r="P1044" s="49"/>
      <c r="Q1044" s="49"/>
      <c r="R1044" s="49"/>
      <c r="S1044" s="49"/>
      <c r="T1044" s="49"/>
      <c r="U1044" s="49"/>
      <c r="V1044" s="49"/>
      <c r="W1044" s="49"/>
      <c r="X1044" s="49"/>
      <c r="Y1044" s="49"/>
      <c r="Z1044" s="49"/>
    </row>
    <row r="1045">
      <c r="A1045" s="49"/>
      <c r="B1045" s="49"/>
      <c r="C1045" s="91"/>
      <c r="D1045" s="49"/>
      <c r="E1045" s="49"/>
      <c r="F1045" s="49"/>
      <c r="G1045" s="49"/>
      <c r="H1045" s="49"/>
      <c r="I1045" s="49"/>
      <c r="J1045" s="49"/>
      <c r="K1045" s="49"/>
      <c r="L1045" s="49"/>
      <c r="M1045" s="49"/>
      <c r="N1045" s="49"/>
      <c r="O1045" s="49"/>
      <c r="P1045" s="49"/>
      <c r="Q1045" s="49"/>
      <c r="R1045" s="49"/>
      <c r="S1045" s="49"/>
      <c r="T1045" s="49"/>
      <c r="U1045" s="49"/>
      <c r="V1045" s="49"/>
      <c r="W1045" s="49"/>
      <c r="X1045" s="49"/>
      <c r="Y1045" s="49"/>
      <c r="Z1045" s="49"/>
    </row>
    <row r="1046">
      <c r="A1046" s="49"/>
      <c r="B1046" s="49"/>
      <c r="C1046" s="91"/>
      <c r="D1046" s="49"/>
      <c r="E1046" s="49"/>
      <c r="F1046" s="49"/>
      <c r="G1046" s="49"/>
      <c r="H1046" s="49"/>
      <c r="I1046" s="49"/>
      <c r="J1046" s="49"/>
      <c r="K1046" s="49"/>
      <c r="L1046" s="49"/>
      <c r="M1046" s="49"/>
      <c r="N1046" s="49"/>
      <c r="O1046" s="49"/>
      <c r="P1046" s="49"/>
      <c r="Q1046" s="49"/>
      <c r="R1046" s="49"/>
      <c r="S1046" s="49"/>
      <c r="T1046" s="49"/>
      <c r="U1046" s="49"/>
      <c r="V1046" s="49"/>
      <c r="W1046" s="49"/>
      <c r="X1046" s="49"/>
      <c r="Y1046" s="49"/>
      <c r="Z1046" s="49"/>
    </row>
    <row r="1047">
      <c r="A1047" s="49"/>
      <c r="B1047" s="49"/>
      <c r="C1047" s="91"/>
      <c r="D1047" s="49"/>
      <c r="E1047" s="49"/>
      <c r="F1047" s="49"/>
      <c r="G1047" s="49"/>
      <c r="H1047" s="49"/>
      <c r="I1047" s="49"/>
      <c r="J1047" s="49"/>
      <c r="K1047" s="49"/>
      <c r="L1047" s="49"/>
      <c r="M1047" s="49"/>
      <c r="N1047" s="49"/>
      <c r="O1047" s="49"/>
      <c r="P1047" s="49"/>
      <c r="Q1047" s="49"/>
      <c r="R1047" s="49"/>
      <c r="S1047" s="49"/>
      <c r="T1047" s="49"/>
      <c r="U1047" s="49"/>
      <c r="V1047" s="49"/>
      <c r="W1047" s="49"/>
      <c r="X1047" s="49"/>
      <c r="Y1047" s="49"/>
      <c r="Z1047" s="49"/>
    </row>
    <row r="1048">
      <c r="A1048" s="49"/>
      <c r="B1048" s="49"/>
      <c r="C1048" s="91"/>
      <c r="D1048" s="49"/>
      <c r="E1048" s="49"/>
      <c r="F1048" s="49"/>
      <c r="G1048" s="49"/>
      <c r="H1048" s="49"/>
      <c r="I1048" s="49"/>
      <c r="J1048" s="49"/>
      <c r="K1048" s="49"/>
      <c r="L1048" s="49"/>
      <c r="M1048" s="49"/>
      <c r="N1048" s="49"/>
      <c r="O1048" s="49"/>
      <c r="P1048" s="49"/>
      <c r="Q1048" s="49"/>
      <c r="R1048" s="49"/>
      <c r="S1048" s="49"/>
      <c r="T1048" s="49"/>
      <c r="U1048" s="49"/>
      <c r="V1048" s="49"/>
      <c r="W1048" s="49"/>
      <c r="X1048" s="49"/>
      <c r="Y1048" s="49"/>
      <c r="Z1048" s="49"/>
    </row>
    <row r="1049">
      <c r="A1049" s="49"/>
      <c r="B1049" s="49"/>
      <c r="C1049" s="91"/>
      <c r="D1049" s="49"/>
      <c r="E1049" s="49"/>
      <c r="F1049" s="49"/>
      <c r="G1049" s="49"/>
      <c r="H1049" s="49"/>
      <c r="I1049" s="49"/>
      <c r="J1049" s="49"/>
      <c r="K1049" s="49"/>
      <c r="L1049" s="49"/>
      <c r="M1049" s="49"/>
      <c r="N1049" s="49"/>
      <c r="O1049" s="49"/>
      <c r="P1049" s="49"/>
      <c r="Q1049" s="49"/>
      <c r="R1049" s="49"/>
      <c r="S1049" s="49"/>
      <c r="T1049" s="49"/>
      <c r="U1049" s="49"/>
      <c r="V1049" s="49"/>
      <c r="W1049" s="49"/>
      <c r="X1049" s="49"/>
      <c r="Y1049" s="49"/>
      <c r="Z1049" s="49"/>
    </row>
    <row r="1050">
      <c r="A1050" s="49"/>
      <c r="B1050" s="49"/>
      <c r="C1050" s="91"/>
      <c r="D1050" s="49"/>
      <c r="E1050" s="49"/>
      <c r="F1050" s="49"/>
      <c r="G1050" s="49"/>
      <c r="H1050" s="49"/>
      <c r="I1050" s="49"/>
      <c r="J1050" s="49"/>
      <c r="K1050" s="49"/>
      <c r="L1050" s="49"/>
      <c r="M1050" s="49"/>
      <c r="N1050" s="49"/>
      <c r="O1050" s="49"/>
      <c r="P1050" s="49"/>
      <c r="Q1050" s="49"/>
      <c r="R1050" s="49"/>
      <c r="S1050" s="49"/>
      <c r="T1050" s="49"/>
      <c r="U1050" s="49"/>
      <c r="V1050" s="49"/>
      <c r="W1050" s="49"/>
      <c r="X1050" s="49"/>
      <c r="Y1050" s="49"/>
      <c r="Z1050" s="49"/>
    </row>
    <row r="1051">
      <c r="A1051" s="49"/>
      <c r="B1051" s="49"/>
      <c r="C1051" s="91"/>
      <c r="D1051" s="49"/>
      <c r="E1051" s="49"/>
      <c r="F1051" s="49"/>
      <c r="G1051" s="49"/>
      <c r="H1051" s="49"/>
      <c r="I1051" s="49"/>
      <c r="J1051" s="49"/>
      <c r="K1051" s="49"/>
      <c r="L1051" s="49"/>
      <c r="M1051" s="49"/>
      <c r="N1051" s="49"/>
      <c r="O1051" s="49"/>
      <c r="P1051" s="49"/>
      <c r="Q1051" s="49"/>
      <c r="R1051" s="49"/>
      <c r="S1051" s="49"/>
      <c r="T1051" s="49"/>
      <c r="U1051" s="49"/>
      <c r="V1051" s="49"/>
      <c r="W1051" s="49"/>
      <c r="X1051" s="49"/>
      <c r="Y1051" s="49"/>
      <c r="Z1051" s="49"/>
    </row>
    <row r="1052">
      <c r="A1052" s="49"/>
      <c r="B1052" s="49"/>
      <c r="C1052" s="91"/>
      <c r="D1052" s="49"/>
      <c r="E1052" s="49"/>
      <c r="F1052" s="49"/>
      <c r="G1052" s="49"/>
      <c r="H1052" s="49"/>
      <c r="I1052" s="49"/>
      <c r="J1052" s="49"/>
      <c r="K1052" s="49"/>
      <c r="L1052" s="49"/>
      <c r="M1052" s="49"/>
      <c r="N1052" s="49"/>
      <c r="O1052" s="49"/>
      <c r="P1052" s="49"/>
      <c r="Q1052" s="49"/>
      <c r="R1052" s="49"/>
      <c r="S1052" s="49"/>
      <c r="T1052" s="49"/>
      <c r="U1052" s="49"/>
      <c r="V1052" s="49"/>
      <c r="W1052" s="49"/>
      <c r="X1052" s="49"/>
      <c r="Y1052" s="49"/>
      <c r="Z1052" s="49"/>
    </row>
    <row r="1053">
      <c r="A1053" s="49"/>
      <c r="B1053" s="49"/>
      <c r="C1053" s="91"/>
      <c r="D1053" s="49"/>
      <c r="E1053" s="49"/>
      <c r="F1053" s="49"/>
      <c r="G1053" s="49"/>
      <c r="H1053" s="49"/>
      <c r="I1053" s="49"/>
      <c r="J1053" s="49"/>
      <c r="K1053" s="49"/>
      <c r="L1053" s="49"/>
      <c r="M1053" s="49"/>
      <c r="N1053" s="49"/>
      <c r="O1053" s="49"/>
      <c r="P1053" s="49"/>
      <c r="Q1053" s="49"/>
      <c r="R1053" s="49"/>
      <c r="S1053" s="49"/>
      <c r="T1053" s="49"/>
      <c r="U1053" s="49"/>
      <c r="V1053" s="49"/>
      <c r="W1053" s="49"/>
      <c r="X1053" s="49"/>
      <c r="Y1053" s="49"/>
      <c r="Z1053" s="49"/>
    </row>
    <row r="1054">
      <c r="A1054" s="49"/>
      <c r="B1054" s="49"/>
      <c r="C1054" s="91"/>
      <c r="D1054" s="49"/>
      <c r="E1054" s="49"/>
      <c r="F1054" s="49"/>
      <c r="G1054" s="49"/>
      <c r="H1054" s="49"/>
      <c r="I1054" s="49"/>
      <c r="J1054" s="49"/>
      <c r="K1054" s="49"/>
      <c r="L1054" s="49"/>
      <c r="M1054" s="49"/>
      <c r="N1054" s="49"/>
      <c r="O1054" s="49"/>
      <c r="P1054" s="49"/>
      <c r="Q1054" s="49"/>
      <c r="R1054" s="49"/>
      <c r="S1054" s="49"/>
      <c r="T1054" s="49"/>
      <c r="U1054" s="49"/>
      <c r="V1054" s="49"/>
      <c r="W1054" s="49"/>
      <c r="X1054" s="49"/>
      <c r="Y1054" s="49"/>
      <c r="Z1054" s="49"/>
    </row>
    <row r="1055">
      <c r="A1055" s="49"/>
      <c r="B1055" s="49"/>
      <c r="C1055" s="91"/>
      <c r="D1055" s="49"/>
      <c r="E1055" s="49"/>
      <c r="F1055" s="49"/>
      <c r="G1055" s="49"/>
      <c r="H1055" s="49"/>
      <c r="I1055" s="49"/>
      <c r="J1055" s="49"/>
      <c r="K1055" s="49"/>
      <c r="L1055" s="49"/>
      <c r="M1055" s="49"/>
      <c r="N1055" s="49"/>
      <c r="O1055" s="49"/>
      <c r="P1055" s="49"/>
      <c r="Q1055" s="49"/>
      <c r="R1055" s="49"/>
      <c r="S1055" s="49"/>
      <c r="T1055" s="49"/>
      <c r="U1055" s="49"/>
      <c r="V1055" s="49"/>
      <c r="W1055" s="49"/>
      <c r="X1055" s="49"/>
      <c r="Y1055" s="49"/>
      <c r="Z1055" s="49"/>
    </row>
    <row r="1056">
      <c r="A1056" s="49"/>
      <c r="B1056" s="49"/>
      <c r="C1056" s="91"/>
      <c r="D1056" s="49"/>
      <c r="E1056" s="49"/>
      <c r="F1056" s="49"/>
      <c r="G1056" s="49"/>
      <c r="H1056" s="49"/>
      <c r="I1056" s="49"/>
      <c r="J1056" s="49"/>
      <c r="K1056" s="49"/>
      <c r="L1056" s="49"/>
      <c r="M1056" s="49"/>
      <c r="N1056" s="49"/>
      <c r="O1056" s="49"/>
      <c r="P1056" s="49"/>
      <c r="Q1056" s="49"/>
      <c r="R1056" s="49"/>
      <c r="S1056" s="49"/>
      <c r="T1056" s="49"/>
      <c r="U1056" s="49"/>
      <c r="V1056" s="49"/>
      <c r="W1056" s="49"/>
      <c r="X1056" s="49"/>
      <c r="Y1056" s="49"/>
      <c r="Z1056" s="49"/>
    </row>
    <row r="1057">
      <c r="A1057" s="49"/>
      <c r="B1057" s="49"/>
      <c r="C1057" s="91"/>
      <c r="D1057" s="49"/>
      <c r="E1057" s="49"/>
      <c r="F1057" s="49"/>
      <c r="G1057" s="49"/>
      <c r="H1057" s="49"/>
      <c r="I1057" s="49"/>
      <c r="J1057" s="49"/>
      <c r="K1057" s="49"/>
      <c r="L1057" s="49"/>
      <c r="M1057" s="49"/>
      <c r="N1057" s="49"/>
      <c r="O1057" s="49"/>
      <c r="P1057" s="49"/>
      <c r="Q1057" s="49"/>
      <c r="R1057" s="49"/>
      <c r="S1057" s="49"/>
      <c r="T1057" s="49"/>
      <c r="U1057" s="49"/>
      <c r="V1057" s="49"/>
      <c r="W1057" s="49"/>
      <c r="X1057" s="49"/>
      <c r="Y1057" s="49"/>
      <c r="Z1057" s="49"/>
    </row>
    <row r="1058">
      <c r="A1058" s="49"/>
      <c r="B1058" s="49"/>
      <c r="C1058" s="91"/>
      <c r="D1058" s="49"/>
      <c r="E1058" s="49"/>
      <c r="F1058" s="49"/>
      <c r="G1058" s="49"/>
      <c r="H1058" s="49"/>
      <c r="I1058" s="49"/>
      <c r="J1058" s="49"/>
      <c r="K1058" s="49"/>
      <c r="L1058" s="49"/>
      <c r="M1058" s="49"/>
      <c r="N1058" s="49"/>
      <c r="O1058" s="49"/>
      <c r="P1058" s="49"/>
      <c r="Q1058" s="49"/>
      <c r="R1058" s="49"/>
      <c r="S1058" s="49"/>
      <c r="T1058" s="49"/>
      <c r="U1058" s="49"/>
      <c r="V1058" s="49"/>
      <c r="W1058" s="49"/>
      <c r="X1058" s="49"/>
      <c r="Y1058" s="49"/>
      <c r="Z1058" s="49"/>
    </row>
    <row r="1059">
      <c r="A1059" s="49"/>
      <c r="B1059" s="49"/>
      <c r="C1059" s="91"/>
      <c r="D1059" s="49"/>
      <c r="E1059" s="49"/>
      <c r="F1059" s="49"/>
      <c r="G1059" s="49"/>
      <c r="H1059" s="49"/>
      <c r="I1059" s="49"/>
      <c r="J1059" s="49"/>
      <c r="K1059" s="49"/>
      <c r="L1059" s="49"/>
      <c r="M1059" s="49"/>
      <c r="N1059" s="49"/>
      <c r="O1059" s="49"/>
      <c r="P1059" s="49"/>
      <c r="Q1059" s="49"/>
      <c r="R1059" s="49"/>
      <c r="S1059" s="49"/>
      <c r="T1059" s="49"/>
      <c r="U1059" s="49"/>
      <c r="V1059" s="49"/>
      <c r="W1059" s="49"/>
      <c r="X1059" s="49"/>
      <c r="Y1059" s="49"/>
      <c r="Z1059" s="49"/>
    </row>
    <row r="1060">
      <c r="A1060" s="49"/>
      <c r="B1060" s="49"/>
      <c r="C1060" s="91"/>
      <c r="D1060" s="49"/>
      <c r="E1060" s="49"/>
      <c r="F1060" s="49"/>
      <c r="G1060" s="49"/>
      <c r="H1060" s="49"/>
      <c r="I1060" s="49"/>
      <c r="J1060" s="49"/>
      <c r="K1060" s="49"/>
      <c r="L1060" s="49"/>
      <c r="M1060" s="49"/>
      <c r="N1060" s="49"/>
      <c r="O1060" s="49"/>
      <c r="P1060" s="49"/>
      <c r="Q1060" s="49"/>
      <c r="R1060" s="49"/>
      <c r="S1060" s="49"/>
      <c r="T1060" s="49"/>
      <c r="U1060" s="49"/>
      <c r="V1060" s="49"/>
      <c r="W1060" s="49"/>
      <c r="X1060" s="49"/>
      <c r="Y1060" s="49"/>
      <c r="Z1060" s="49"/>
    </row>
    <row r="1061">
      <c r="A1061" s="49"/>
      <c r="B1061" s="49"/>
      <c r="C1061" s="91"/>
      <c r="D1061" s="49"/>
      <c r="E1061" s="49"/>
      <c r="F1061" s="49"/>
      <c r="G1061" s="49"/>
      <c r="H1061" s="49"/>
      <c r="I1061" s="49"/>
      <c r="J1061" s="49"/>
      <c r="K1061" s="49"/>
      <c r="L1061" s="49"/>
      <c r="M1061" s="49"/>
      <c r="N1061" s="49"/>
      <c r="O1061" s="49"/>
      <c r="P1061" s="49"/>
      <c r="Q1061" s="49"/>
      <c r="R1061" s="49"/>
      <c r="S1061" s="49"/>
      <c r="T1061" s="49"/>
      <c r="U1061" s="49"/>
      <c r="V1061" s="49"/>
      <c r="W1061" s="49"/>
      <c r="X1061" s="49"/>
      <c r="Y1061" s="49"/>
      <c r="Z1061" s="49"/>
    </row>
    <row r="1062">
      <c r="A1062" s="49"/>
      <c r="B1062" s="49"/>
      <c r="C1062" s="91"/>
      <c r="D1062" s="49"/>
      <c r="E1062" s="49"/>
      <c r="F1062" s="49"/>
      <c r="G1062" s="49"/>
      <c r="H1062" s="49"/>
      <c r="I1062" s="49"/>
      <c r="J1062" s="49"/>
      <c r="K1062" s="49"/>
      <c r="L1062" s="49"/>
      <c r="M1062" s="49"/>
      <c r="N1062" s="49"/>
      <c r="O1062" s="49"/>
      <c r="P1062" s="49"/>
      <c r="Q1062" s="49"/>
      <c r="R1062" s="49"/>
      <c r="S1062" s="49"/>
      <c r="T1062" s="49"/>
      <c r="U1062" s="49"/>
      <c r="V1062" s="49"/>
      <c r="W1062" s="49"/>
      <c r="X1062" s="49"/>
      <c r="Y1062" s="49"/>
      <c r="Z1062" s="49"/>
    </row>
    <row r="1063">
      <c r="A1063" s="49"/>
      <c r="B1063" s="49"/>
      <c r="C1063" s="91"/>
      <c r="D1063" s="49"/>
      <c r="E1063" s="49"/>
      <c r="F1063" s="49"/>
      <c r="G1063" s="49"/>
      <c r="H1063" s="49"/>
      <c r="I1063" s="49"/>
      <c r="J1063" s="49"/>
      <c r="K1063" s="49"/>
      <c r="L1063" s="49"/>
      <c r="M1063" s="49"/>
      <c r="N1063" s="49"/>
      <c r="O1063" s="49"/>
      <c r="P1063" s="49"/>
      <c r="Q1063" s="49"/>
      <c r="R1063" s="49"/>
      <c r="S1063" s="49"/>
      <c r="T1063" s="49"/>
      <c r="U1063" s="49"/>
      <c r="V1063" s="49"/>
      <c r="W1063" s="49"/>
      <c r="X1063" s="49"/>
      <c r="Y1063" s="49"/>
      <c r="Z1063" s="49"/>
    </row>
    <row r="1064">
      <c r="A1064" s="49"/>
      <c r="B1064" s="49"/>
      <c r="C1064" s="91"/>
      <c r="D1064" s="49"/>
      <c r="E1064" s="49"/>
      <c r="F1064" s="49"/>
      <c r="G1064" s="49"/>
      <c r="H1064" s="49"/>
      <c r="I1064" s="49"/>
      <c r="J1064" s="49"/>
      <c r="K1064" s="49"/>
      <c r="L1064" s="49"/>
      <c r="M1064" s="49"/>
      <c r="N1064" s="49"/>
      <c r="O1064" s="49"/>
      <c r="P1064" s="49"/>
      <c r="Q1064" s="49"/>
      <c r="R1064" s="49"/>
      <c r="S1064" s="49"/>
      <c r="T1064" s="49"/>
      <c r="U1064" s="49"/>
      <c r="V1064" s="49"/>
      <c r="W1064" s="49"/>
      <c r="X1064" s="49"/>
      <c r="Y1064" s="49"/>
      <c r="Z1064" s="49"/>
    </row>
    <row r="1065">
      <c r="A1065" s="49"/>
      <c r="B1065" s="49"/>
      <c r="C1065" s="91"/>
      <c r="D1065" s="49"/>
      <c r="E1065" s="49"/>
      <c r="F1065" s="49"/>
      <c r="G1065" s="49"/>
      <c r="H1065" s="49"/>
      <c r="I1065" s="49"/>
      <c r="J1065" s="49"/>
      <c r="K1065" s="49"/>
      <c r="L1065" s="49"/>
      <c r="M1065" s="49"/>
      <c r="N1065" s="49"/>
      <c r="O1065" s="49"/>
      <c r="P1065" s="49"/>
      <c r="Q1065" s="49"/>
      <c r="R1065" s="49"/>
      <c r="S1065" s="49"/>
      <c r="T1065" s="49"/>
      <c r="U1065" s="49"/>
      <c r="V1065" s="49"/>
      <c r="W1065" s="49"/>
      <c r="X1065" s="49"/>
      <c r="Y1065" s="49"/>
      <c r="Z1065" s="49"/>
    </row>
    <row r="1066">
      <c r="A1066" s="49"/>
      <c r="B1066" s="49"/>
      <c r="C1066" s="91"/>
      <c r="D1066" s="49"/>
      <c r="E1066" s="49"/>
      <c r="F1066" s="49"/>
      <c r="G1066" s="49"/>
      <c r="H1066" s="49"/>
      <c r="I1066" s="49"/>
      <c r="J1066" s="49"/>
      <c r="K1066" s="49"/>
      <c r="L1066" s="49"/>
      <c r="M1066" s="49"/>
      <c r="N1066" s="49"/>
      <c r="O1066" s="49"/>
      <c r="P1066" s="49"/>
      <c r="Q1066" s="49"/>
      <c r="R1066" s="49"/>
      <c r="S1066" s="49"/>
      <c r="T1066" s="49"/>
      <c r="U1066" s="49"/>
      <c r="V1066" s="49"/>
      <c r="W1066" s="49"/>
      <c r="X1066" s="49"/>
      <c r="Y1066" s="49"/>
      <c r="Z1066" s="49"/>
    </row>
    <row r="1067">
      <c r="A1067" s="49"/>
      <c r="B1067" s="49"/>
      <c r="C1067" s="91"/>
      <c r="D1067" s="49"/>
      <c r="E1067" s="49"/>
      <c r="F1067" s="49"/>
      <c r="G1067" s="49"/>
      <c r="H1067" s="49"/>
      <c r="I1067" s="49"/>
      <c r="J1067" s="49"/>
      <c r="K1067" s="49"/>
      <c r="L1067" s="49"/>
      <c r="M1067" s="49"/>
      <c r="N1067" s="49"/>
      <c r="O1067" s="49"/>
      <c r="P1067" s="49"/>
      <c r="Q1067" s="49"/>
      <c r="R1067" s="49"/>
      <c r="S1067" s="49"/>
      <c r="T1067" s="49"/>
      <c r="U1067" s="49"/>
      <c r="V1067" s="49"/>
      <c r="W1067" s="49"/>
      <c r="X1067" s="49"/>
      <c r="Y1067" s="49"/>
      <c r="Z1067" s="49"/>
    </row>
    <row r="1068">
      <c r="A1068" s="49"/>
      <c r="B1068" s="49"/>
      <c r="C1068" s="91"/>
      <c r="D1068" s="49"/>
      <c r="E1068" s="49"/>
      <c r="F1068" s="49"/>
      <c r="G1068" s="49"/>
      <c r="H1068" s="49"/>
      <c r="I1068" s="49"/>
      <c r="J1068" s="49"/>
      <c r="K1068" s="49"/>
      <c r="L1068" s="49"/>
      <c r="M1068" s="49"/>
      <c r="N1068" s="49"/>
      <c r="O1068" s="49"/>
      <c r="P1068" s="49"/>
      <c r="Q1068" s="49"/>
      <c r="R1068" s="49"/>
      <c r="S1068" s="49"/>
      <c r="T1068" s="49"/>
      <c r="U1068" s="49"/>
      <c r="V1068" s="49"/>
      <c r="W1068" s="49"/>
      <c r="X1068" s="49"/>
      <c r="Y1068" s="49"/>
      <c r="Z1068" s="49"/>
    </row>
    <row r="1069">
      <c r="A1069" s="49"/>
      <c r="B1069" s="49"/>
      <c r="C1069" s="91"/>
      <c r="D1069" s="49"/>
      <c r="E1069" s="49"/>
      <c r="F1069" s="49"/>
      <c r="G1069" s="49"/>
      <c r="H1069" s="49"/>
      <c r="I1069" s="49"/>
      <c r="J1069" s="49"/>
      <c r="K1069" s="49"/>
      <c r="L1069" s="49"/>
      <c r="M1069" s="49"/>
      <c r="N1069" s="49"/>
      <c r="O1069" s="49"/>
      <c r="P1069" s="49"/>
      <c r="Q1069" s="49"/>
      <c r="R1069" s="49"/>
      <c r="S1069" s="49"/>
      <c r="T1069" s="49"/>
      <c r="U1069" s="49"/>
      <c r="V1069" s="49"/>
      <c r="W1069" s="49"/>
      <c r="X1069" s="49"/>
      <c r="Y1069" s="49"/>
      <c r="Z1069" s="49"/>
    </row>
    <row r="1070">
      <c r="A1070" s="49"/>
      <c r="B1070" s="49"/>
      <c r="C1070" s="91"/>
      <c r="D1070" s="49"/>
      <c r="E1070" s="49"/>
      <c r="F1070" s="49"/>
      <c r="G1070" s="49"/>
      <c r="H1070" s="49"/>
      <c r="I1070" s="49"/>
      <c r="J1070" s="49"/>
      <c r="K1070" s="49"/>
      <c r="L1070" s="49"/>
      <c r="M1070" s="49"/>
      <c r="N1070" s="49"/>
      <c r="O1070" s="49"/>
      <c r="P1070" s="49"/>
      <c r="Q1070" s="49"/>
      <c r="R1070" s="49"/>
      <c r="S1070" s="49"/>
      <c r="T1070" s="49"/>
      <c r="U1070" s="49"/>
      <c r="V1070" s="49"/>
      <c r="W1070" s="49"/>
      <c r="X1070" s="49"/>
      <c r="Y1070" s="49"/>
      <c r="Z1070" s="49"/>
    </row>
    <row r="1071">
      <c r="A1071" s="49"/>
      <c r="B1071" s="49"/>
      <c r="C1071" s="91"/>
      <c r="D1071" s="49"/>
      <c r="E1071" s="49"/>
      <c r="F1071" s="49"/>
      <c r="G1071" s="49"/>
      <c r="H1071" s="49"/>
      <c r="I1071" s="49"/>
      <c r="J1071" s="49"/>
      <c r="K1071" s="49"/>
      <c r="L1071" s="49"/>
      <c r="M1071" s="49"/>
      <c r="N1071" s="49"/>
      <c r="O1071" s="49"/>
      <c r="P1071" s="49"/>
      <c r="Q1071" s="49"/>
      <c r="R1071" s="49"/>
      <c r="S1071" s="49"/>
      <c r="T1071" s="49"/>
      <c r="U1071" s="49"/>
      <c r="V1071" s="49"/>
      <c r="W1071" s="49"/>
      <c r="X1071" s="49"/>
      <c r="Y1071" s="49"/>
      <c r="Z1071" s="49"/>
    </row>
    <row r="1072">
      <c r="A1072" s="49"/>
      <c r="B1072" s="49"/>
      <c r="C1072" s="91"/>
      <c r="D1072" s="49"/>
      <c r="E1072" s="49"/>
      <c r="F1072" s="49"/>
      <c r="G1072" s="49"/>
      <c r="H1072" s="49"/>
      <c r="I1072" s="49"/>
      <c r="J1072" s="49"/>
      <c r="K1072" s="49"/>
      <c r="L1072" s="49"/>
      <c r="M1072" s="49"/>
      <c r="N1072" s="49"/>
      <c r="O1072" s="49"/>
      <c r="P1072" s="49"/>
      <c r="Q1072" s="49"/>
      <c r="R1072" s="49"/>
      <c r="S1072" s="49"/>
      <c r="T1072" s="49"/>
      <c r="U1072" s="49"/>
      <c r="V1072" s="49"/>
      <c r="W1072" s="49"/>
      <c r="X1072" s="49"/>
      <c r="Y1072" s="49"/>
      <c r="Z1072" s="49"/>
    </row>
    <row r="1073">
      <c r="A1073" s="49"/>
      <c r="B1073" s="49"/>
      <c r="C1073" s="91"/>
      <c r="D1073" s="49"/>
      <c r="E1073" s="49"/>
      <c r="F1073" s="49"/>
      <c r="G1073" s="49"/>
      <c r="H1073" s="49"/>
      <c r="I1073" s="49"/>
      <c r="J1073" s="49"/>
      <c r="K1073" s="49"/>
      <c r="L1073" s="49"/>
      <c r="M1073" s="49"/>
      <c r="N1073" s="49"/>
      <c r="O1073" s="49"/>
      <c r="P1073" s="49"/>
      <c r="Q1073" s="49"/>
      <c r="R1073" s="49"/>
      <c r="S1073" s="49"/>
      <c r="T1073" s="49"/>
      <c r="U1073" s="49"/>
      <c r="V1073" s="49"/>
      <c r="W1073" s="49"/>
      <c r="X1073" s="49"/>
      <c r="Y1073" s="49"/>
      <c r="Z1073" s="49"/>
    </row>
    <row r="1074">
      <c r="A1074" s="49"/>
      <c r="B1074" s="49"/>
      <c r="C1074" s="91"/>
      <c r="D1074" s="49"/>
      <c r="E1074" s="49"/>
      <c r="F1074" s="49"/>
      <c r="G1074" s="49"/>
      <c r="H1074" s="49"/>
      <c r="I1074" s="49"/>
      <c r="J1074" s="49"/>
      <c r="K1074" s="49"/>
      <c r="L1074" s="49"/>
      <c r="M1074" s="49"/>
      <c r="N1074" s="49"/>
      <c r="O1074" s="49"/>
      <c r="P1074" s="49"/>
      <c r="Q1074" s="49"/>
      <c r="R1074" s="49"/>
      <c r="S1074" s="49"/>
      <c r="T1074" s="49"/>
      <c r="U1074" s="49"/>
      <c r="V1074" s="49"/>
      <c r="W1074" s="49"/>
      <c r="X1074" s="49"/>
      <c r="Y1074" s="49"/>
      <c r="Z1074" s="49"/>
    </row>
    <row r="1075">
      <c r="A1075" s="49"/>
      <c r="B1075" s="49"/>
      <c r="C1075" s="91"/>
      <c r="D1075" s="49"/>
      <c r="E1075" s="49"/>
      <c r="F1075" s="49"/>
      <c r="G1075" s="49"/>
      <c r="H1075" s="49"/>
      <c r="I1075" s="49"/>
      <c r="J1075" s="49"/>
      <c r="K1075" s="49"/>
      <c r="L1075" s="49"/>
      <c r="M1075" s="49"/>
      <c r="N1075" s="49"/>
      <c r="O1075" s="49"/>
      <c r="P1075" s="49"/>
      <c r="Q1075" s="49"/>
      <c r="R1075" s="49"/>
      <c r="S1075" s="49"/>
      <c r="T1075" s="49"/>
      <c r="U1075" s="49"/>
      <c r="V1075" s="49"/>
      <c r="W1075" s="49"/>
      <c r="X1075" s="49"/>
      <c r="Y1075" s="49"/>
      <c r="Z1075" s="49"/>
    </row>
    <row r="1076">
      <c r="A1076" s="49"/>
      <c r="B1076" s="49"/>
      <c r="C1076" s="91"/>
      <c r="D1076" s="49"/>
      <c r="E1076" s="49"/>
      <c r="F1076" s="49"/>
      <c r="G1076" s="49"/>
      <c r="H1076" s="49"/>
      <c r="I1076" s="49"/>
      <c r="J1076" s="49"/>
      <c r="K1076" s="49"/>
      <c r="L1076" s="49"/>
      <c r="M1076" s="49"/>
      <c r="N1076" s="49"/>
      <c r="O1076" s="49"/>
      <c r="P1076" s="49"/>
      <c r="Q1076" s="49"/>
      <c r="R1076" s="49"/>
      <c r="S1076" s="49"/>
      <c r="T1076" s="49"/>
      <c r="U1076" s="49"/>
      <c r="V1076" s="49"/>
      <c r="W1076" s="49"/>
      <c r="X1076" s="49"/>
      <c r="Y1076" s="49"/>
      <c r="Z1076" s="49"/>
    </row>
    <row r="1077">
      <c r="A1077" s="49"/>
      <c r="B1077" s="49"/>
      <c r="C1077" s="91"/>
      <c r="D1077" s="49"/>
      <c r="E1077" s="49"/>
      <c r="F1077" s="49"/>
      <c r="G1077" s="49"/>
      <c r="H1077" s="49"/>
      <c r="I1077" s="49"/>
      <c r="J1077" s="49"/>
      <c r="K1077" s="49"/>
      <c r="L1077" s="49"/>
      <c r="M1077" s="49"/>
      <c r="N1077" s="49"/>
      <c r="O1077" s="49"/>
      <c r="P1077" s="49"/>
      <c r="Q1077" s="49"/>
      <c r="R1077" s="49"/>
      <c r="S1077" s="49"/>
      <c r="T1077" s="49"/>
      <c r="U1077" s="49"/>
      <c r="V1077" s="49"/>
      <c r="W1077" s="49"/>
      <c r="X1077" s="49"/>
      <c r="Y1077" s="49"/>
      <c r="Z1077" s="49"/>
    </row>
    <row r="1078">
      <c r="A1078" s="49"/>
      <c r="B1078" s="49"/>
      <c r="C1078" s="91"/>
      <c r="D1078" s="49"/>
      <c r="E1078" s="49"/>
      <c r="F1078" s="49"/>
      <c r="G1078" s="49"/>
      <c r="H1078" s="49"/>
      <c r="I1078" s="49"/>
      <c r="J1078" s="49"/>
      <c r="K1078" s="49"/>
      <c r="L1078" s="49"/>
      <c r="M1078" s="49"/>
      <c r="N1078" s="49"/>
      <c r="O1078" s="49"/>
      <c r="P1078" s="49"/>
      <c r="Q1078" s="49"/>
      <c r="R1078" s="49"/>
      <c r="S1078" s="49"/>
      <c r="T1078" s="49"/>
      <c r="U1078" s="49"/>
      <c r="V1078" s="49"/>
      <c r="W1078" s="49"/>
      <c r="X1078" s="49"/>
      <c r="Y1078" s="49"/>
      <c r="Z1078" s="49"/>
    </row>
    <row r="1079">
      <c r="A1079" s="49"/>
      <c r="B1079" s="49"/>
      <c r="C1079" s="91"/>
      <c r="D1079" s="49"/>
      <c r="E1079" s="49"/>
      <c r="F1079" s="49"/>
      <c r="G1079" s="49"/>
      <c r="H1079" s="49"/>
      <c r="I1079" s="49"/>
      <c r="J1079" s="49"/>
      <c r="K1079" s="49"/>
      <c r="L1079" s="49"/>
      <c r="M1079" s="49"/>
      <c r="N1079" s="49"/>
      <c r="O1079" s="49"/>
      <c r="P1079" s="49"/>
      <c r="Q1079" s="49"/>
      <c r="R1079" s="49"/>
      <c r="S1079" s="49"/>
      <c r="T1079" s="49"/>
      <c r="U1079" s="49"/>
      <c r="V1079" s="49"/>
      <c r="W1079" s="49"/>
      <c r="X1079" s="49"/>
      <c r="Y1079" s="49"/>
      <c r="Z1079" s="49"/>
    </row>
    <row r="1080">
      <c r="A1080" s="49"/>
      <c r="B1080" s="49"/>
      <c r="C1080" s="91"/>
      <c r="D1080" s="49"/>
      <c r="E1080" s="49"/>
      <c r="F1080" s="49"/>
      <c r="G1080" s="49"/>
      <c r="H1080" s="49"/>
      <c r="I1080" s="49"/>
      <c r="J1080" s="49"/>
      <c r="K1080" s="49"/>
      <c r="L1080" s="49"/>
      <c r="M1080" s="49"/>
      <c r="N1080" s="49"/>
      <c r="O1080" s="49"/>
      <c r="P1080" s="49"/>
      <c r="Q1080" s="49"/>
      <c r="R1080" s="49"/>
      <c r="S1080" s="49"/>
      <c r="T1080" s="49"/>
      <c r="U1080" s="49"/>
      <c r="V1080" s="49"/>
      <c r="W1080" s="49"/>
      <c r="X1080" s="49"/>
      <c r="Y1080" s="49"/>
      <c r="Z1080" s="49"/>
    </row>
    <row r="1081">
      <c r="A1081" s="49"/>
      <c r="B1081" s="49"/>
      <c r="C1081" s="91"/>
      <c r="D1081" s="49"/>
      <c r="E1081" s="49"/>
      <c r="F1081" s="49"/>
      <c r="G1081" s="49"/>
      <c r="H1081" s="49"/>
      <c r="I1081" s="49"/>
      <c r="J1081" s="49"/>
      <c r="K1081" s="49"/>
      <c r="L1081" s="49"/>
      <c r="M1081" s="49"/>
      <c r="N1081" s="49"/>
      <c r="O1081" s="49"/>
      <c r="P1081" s="49"/>
      <c r="Q1081" s="49"/>
      <c r="R1081" s="49"/>
      <c r="S1081" s="49"/>
      <c r="T1081" s="49"/>
      <c r="U1081" s="49"/>
      <c r="V1081" s="49"/>
      <c r="W1081" s="49"/>
      <c r="X1081" s="49"/>
      <c r="Y1081" s="49"/>
      <c r="Z1081" s="49"/>
    </row>
    <row r="1082">
      <c r="A1082" s="49"/>
      <c r="B1082" s="49"/>
      <c r="C1082" s="91"/>
      <c r="D1082" s="49"/>
      <c r="E1082" s="49"/>
      <c r="F1082" s="49"/>
      <c r="G1082" s="49"/>
      <c r="H1082" s="49"/>
      <c r="I1082" s="49"/>
      <c r="J1082" s="49"/>
      <c r="K1082" s="49"/>
      <c r="L1082" s="49"/>
      <c r="M1082" s="49"/>
      <c r="N1082" s="49"/>
      <c r="O1082" s="49"/>
      <c r="P1082" s="49"/>
      <c r="Q1082" s="49"/>
      <c r="R1082" s="49"/>
      <c r="S1082" s="49"/>
      <c r="T1082" s="49"/>
      <c r="U1082" s="49"/>
      <c r="V1082" s="49"/>
      <c r="W1082" s="49"/>
      <c r="X1082" s="49"/>
      <c r="Y1082" s="49"/>
      <c r="Z1082" s="49"/>
    </row>
    <row r="1083">
      <c r="A1083" s="49"/>
      <c r="B1083" s="49"/>
      <c r="C1083" s="91"/>
      <c r="D1083" s="49"/>
      <c r="E1083" s="49"/>
      <c r="F1083" s="49"/>
      <c r="G1083" s="49"/>
      <c r="H1083" s="49"/>
      <c r="I1083" s="49"/>
      <c r="J1083" s="49"/>
      <c r="K1083" s="49"/>
      <c r="L1083" s="49"/>
      <c r="M1083" s="49"/>
      <c r="N1083" s="49"/>
      <c r="O1083" s="49"/>
      <c r="P1083" s="49"/>
      <c r="Q1083" s="49"/>
      <c r="R1083" s="49"/>
      <c r="S1083" s="49"/>
      <c r="T1083" s="49"/>
      <c r="U1083" s="49"/>
      <c r="V1083" s="49"/>
      <c r="W1083" s="49"/>
      <c r="X1083" s="49"/>
      <c r="Y1083" s="49"/>
      <c r="Z1083" s="49"/>
    </row>
    <row r="1084">
      <c r="A1084" s="49"/>
      <c r="B1084" s="49"/>
      <c r="C1084" s="91"/>
      <c r="D1084" s="49"/>
      <c r="E1084" s="49"/>
      <c r="F1084" s="49"/>
      <c r="G1084" s="49"/>
      <c r="H1084" s="49"/>
      <c r="I1084" s="49"/>
      <c r="J1084" s="49"/>
      <c r="K1084" s="49"/>
      <c r="L1084" s="49"/>
      <c r="M1084" s="49"/>
      <c r="N1084" s="49"/>
      <c r="O1084" s="49"/>
      <c r="P1084" s="49"/>
      <c r="Q1084" s="49"/>
      <c r="R1084" s="49"/>
      <c r="S1084" s="49"/>
      <c r="T1084" s="49"/>
      <c r="U1084" s="49"/>
      <c r="V1084" s="49"/>
      <c r="W1084" s="49"/>
      <c r="X1084" s="49"/>
      <c r="Y1084" s="49"/>
      <c r="Z1084" s="49"/>
    </row>
    <row r="1085">
      <c r="A1085" s="49"/>
      <c r="B1085" s="49"/>
      <c r="C1085" s="91"/>
      <c r="D1085" s="49"/>
      <c r="E1085" s="49"/>
      <c r="F1085" s="49"/>
      <c r="G1085" s="49"/>
      <c r="H1085" s="49"/>
      <c r="I1085" s="49"/>
      <c r="J1085" s="49"/>
      <c r="K1085" s="49"/>
      <c r="L1085" s="49"/>
      <c r="M1085" s="49"/>
      <c r="N1085" s="49"/>
      <c r="O1085" s="49"/>
      <c r="P1085" s="49"/>
      <c r="Q1085" s="49"/>
      <c r="R1085" s="49"/>
      <c r="S1085" s="49"/>
      <c r="T1085" s="49"/>
      <c r="U1085" s="49"/>
      <c r="V1085" s="49"/>
      <c r="W1085" s="49"/>
      <c r="X1085" s="49"/>
      <c r="Y1085" s="49"/>
      <c r="Z1085" s="49"/>
    </row>
    <row r="1086">
      <c r="A1086" s="49"/>
      <c r="B1086" s="49"/>
      <c r="C1086" s="91"/>
      <c r="D1086" s="49"/>
      <c r="E1086" s="49"/>
      <c r="F1086" s="49"/>
      <c r="G1086" s="49"/>
      <c r="H1086" s="49"/>
      <c r="I1086" s="49"/>
      <c r="J1086" s="49"/>
      <c r="K1086" s="49"/>
      <c r="L1086" s="49"/>
      <c r="M1086" s="49"/>
      <c r="N1086" s="49"/>
      <c r="O1086" s="49"/>
      <c r="P1086" s="49"/>
      <c r="Q1086" s="49"/>
      <c r="R1086" s="49"/>
      <c r="S1086" s="49"/>
      <c r="T1086" s="49"/>
      <c r="U1086" s="49"/>
      <c r="V1086" s="49"/>
      <c r="W1086" s="49"/>
      <c r="X1086" s="49"/>
      <c r="Y1086" s="49"/>
      <c r="Z1086" s="49"/>
    </row>
    <row r="1087">
      <c r="A1087" s="49"/>
      <c r="B1087" s="49"/>
      <c r="C1087" s="91"/>
      <c r="D1087" s="49"/>
      <c r="E1087" s="49"/>
      <c r="F1087" s="49"/>
      <c r="G1087" s="49"/>
      <c r="H1087" s="49"/>
      <c r="I1087" s="49"/>
      <c r="J1087" s="49"/>
      <c r="K1087" s="49"/>
      <c r="L1087" s="49"/>
      <c r="M1087" s="49"/>
      <c r="N1087" s="49"/>
      <c r="O1087" s="49"/>
      <c r="P1087" s="49"/>
      <c r="Q1087" s="49"/>
      <c r="R1087" s="49"/>
      <c r="S1087" s="49"/>
      <c r="T1087" s="49"/>
      <c r="U1087" s="49"/>
      <c r="V1087" s="49"/>
      <c r="W1087" s="49"/>
      <c r="X1087" s="49"/>
      <c r="Y1087" s="49"/>
      <c r="Z1087" s="49"/>
    </row>
    <row r="1088">
      <c r="A1088" s="49"/>
      <c r="B1088" s="49"/>
      <c r="C1088" s="91"/>
      <c r="D1088" s="49"/>
      <c r="E1088" s="49"/>
      <c r="F1088" s="49"/>
      <c r="G1088" s="49"/>
      <c r="H1088" s="49"/>
      <c r="I1088" s="49"/>
      <c r="J1088" s="49"/>
      <c r="K1088" s="49"/>
      <c r="L1088" s="49"/>
      <c r="M1088" s="49"/>
      <c r="N1088" s="49"/>
      <c r="O1088" s="49"/>
      <c r="P1088" s="49"/>
      <c r="Q1088" s="49"/>
      <c r="R1088" s="49"/>
      <c r="S1088" s="49"/>
      <c r="T1088" s="49"/>
      <c r="U1088" s="49"/>
      <c r="V1088" s="49"/>
      <c r="W1088" s="49"/>
      <c r="X1088" s="49"/>
      <c r="Y1088" s="49"/>
      <c r="Z1088" s="49"/>
    </row>
    <row r="1089">
      <c r="A1089" s="49"/>
      <c r="B1089" s="49"/>
      <c r="C1089" s="91"/>
      <c r="D1089" s="49"/>
      <c r="E1089" s="49"/>
      <c r="F1089" s="49"/>
      <c r="G1089" s="49"/>
      <c r="H1089" s="49"/>
      <c r="I1089" s="49"/>
      <c r="J1089" s="49"/>
      <c r="K1089" s="49"/>
      <c r="L1089" s="49"/>
      <c r="M1089" s="49"/>
      <c r="N1089" s="49"/>
      <c r="O1089" s="49"/>
      <c r="P1089" s="49"/>
      <c r="Q1089" s="49"/>
      <c r="R1089" s="49"/>
      <c r="S1089" s="49"/>
      <c r="T1089" s="49"/>
      <c r="U1089" s="49"/>
      <c r="V1089" s="49"/>
      <c r="W1089" s="49"/>
      <c r="X1089" s="49"/>
      <c r="Y1089" s="49"/>
      <c r="Z1089" s="49"/>
    </row>
    <row r="1090">
      <c r="A1090" s="49"/>
      <c r="B1090" s="49"/>
      <c r="C1090" s="91"/>
      <c r="D1090" s="49"/>
      <c r="E1090" s="49"/>
      <c r="F1090" s="49"/>
      <c r="G1090" s="49"/>
      <c r="H1090" s="49"/>
      <c r="I1090" s="49"/>
      <c r="J1090" s="49"/>
      <c r="K1090" s="49"/>
      <c r="L1090" s="49"/>
      <c r="M1090" s="49"/>
      <c r="N1090" s="49"/>
      <c r="O1090" s="49"/>
      <c r="P1090" s="49"/>
      <c r="Q1090" s="49"/>
      <c r="R1090" s="49"/>
      <c r="S1090" s="49"/>
      <c r="T1090" s="49"/>
      <c r="U1090" s="49"/>
      <c r="V1090" s="49"/>
      <c r="W1090" s="49"/>
      <c r="X1090" s="49"/>
      <c r="Y1090" s="49"/>
      <c r="Z1090" s="49"/>
    </row>
    <row r="1091">
      <c r="A1091" s="49"/>
      <c r="B1091" s="49"/>
      <c r="C1091" s="91"/>
      <c r="D1091" s="49"/>
      <c r="E1091" s="49"/>
      <c r="F1091" s="49"/>
      <c r="G1091" s="49"/>
      <c r="H1091" s="49"/>
      <c r="I1091" s="49"/>
      <c r="J1091" s="49"/>
      <c r="K1091" s="49"/>
      <c r="L1091" s="49"/>
      <c r="M1091" s="49"/>
      <c r="N1091" s="49"/>
      <c r="O1091" s="49"/>
      <c r="P1091" s="49"/>
      <c r="Q1091" s="49"/>
      <c r="R1091" s="49"/>
      <c r="S1091" s="49"/>
      <c r="T1091" s="49"/>
      <c r="U1091" s="49"/>
      <c r="V1091" s="49"/>
      <c r="W1091" s="49"/>
      <c r="X1091" s="49"/>
      <c r="Y1091" s="49"/>
      <c r="Z1091" s="49"/>
    </row>
    <row r="1092">
      <c r="A1092" s="49"/>
      <c r="B1092" s="49"/>
      <c r="C1092" s="91"/>
      <c r="D1092" s="49"/>
      <c r="E1092" s="49"/>
      <c r="F1092" s="49"/>
      <c r="G1092" s="49"/>
      <c r="H1092" s="49"/>
      <c r="I1092" s="49"/>
      <c r="J1092" s="49"/>
      <c r="K1092" s="49"/>
      <c r="L1092" s="49"/>
      <c r="M1092" s="49"/>
      <c r="N1092" s="49"/>
      <c r="O1092" s="49"/>
      <c r="P1092" s="49"/>
      <c r="Q1092" s="49"/>
      <c r="R1092" s="49"/>
      <c r="S1092" s="49"/>
      <c r="T1092" s="49"/>
      <c r="U1092" s="49"/>
      <c r="V1092" s="49"/>
      <c r="W1092" s="49"/>
      <c r="X1092" s="49"/>
      <c r="Y1092" s="49"/>
      <c r="Z1092" s="49"/>
    </row>
    <row r="1093">
      <c r="A1093" s="49"/>
      <c r="B1093" s="49"/>
      <c r="C1093" s="91"/>
      <c r="D1093" s="49"/>
      <c r="E1093" s="49"/>
      <c r="F1093" s="49"/>
      <c r="G1093" s="49"/>
      <c r="H1093" s="49"/>
      <c r="I1093" s="49"/>
      <c r="J1093" s="49"/>
      <c r="K1093" s="49"/>
      <c r="L1093" s="49"/>
      <c r="M1093" s="49"/>
      <c r="N1093" s="49"/>
      <c r="O1093" s="49"/>
      <c r="P1093" s="49"/>
      <c r="Q1093" s="49"/>
      <c r="R1093" s="49"/>
      <c r="S1093" s="49"/>
      <c r="T1093" s="49"/>
      <c r="U1093" s="49"/>
      <c r="V1093" s="49"/>
      <c r="W1093" s="49"/>
      <c r="X1093" s="49"/>
      <c r="Y1093" s="49"/>
      <c r="Z1093" s="49"/>
    </row>
    <row r="1094">
      <c r="A1094" s="49"/>
      <c r="B1094" s="49"/>
      <c r="C1094" s="91"/>
      <c r="D1094" s="49"/>
      <c r="E1094" s="49"/>
      <c r="F1094" s="49"/>
      <c r="G1094" s="49"/>
      <c r="H1094" s="49"/>
      <c r="I1094" s="49"/>
      <c r="J1094" s="49"/>
      <c r="K1094" s="49"/>
      <c r="L1094" s="49"/>
      <c r="M1094" s="49"/>
      <c r="N1094" s="49"/>
      <c r="O1094" s="49"/>
      <c r="P1094" s="49"/>
      <c r="Q1094" s="49"/>
      <c r="R1094" s="49"/>
      <c r="S1094" s="49"/>
      <c r="T1094" s="49"/>
      <c r="U1094" s="49"/>
      <c r="V1094" s="49"/>
      <c r="W1094" s="49"/>
      <c r="X1094" s="49"/>
      <c r="Y1094" s="49"/>
      <c r="Z1094" s="49"/>
    </row>
    <row r="1095">
      <c r="A1095" s="49"/>
      <c r="B1095" s="49"/>
      <c r="C1095" s="91"/>
      <c r="D1095" s="49"/>
      <c r="E1095" s="49"/>
      <c r="F1095" s="49"/>
      <c r="G1095" s="49"/>
      <c r="H1095" s="49"/>
      <c r="I1095" s="49"/>
      <c r="J1095" s="49"/>
      <c r="K1095" s="49"/>
      <c r="L1095" s="49"/>
      <c r="M1095" s="49"/>
      <c r="N1095" s="49"/>
      <c r="O1095" s="49"/>
      <c r="P1095" s="49"/>
      <c r="Q1095" s="49"/>
      <c r="R1095" s="49"/>
      <c r="S1095" s="49"/>
      <c r="T1095" s="49"/>
      <c r="U1095" s="49"/>
      <c r="V1095" s="49"/>
      <c r="W1095" s="49"/>
      <c r="X1095" s="49"/>
      <c r="Y1095" s="49"/>
      <c r="Z1095" s="49"/>
    </row>
    <row r="1096">
      <c r="A1096" s="49"/>
      <c r="B1096" s="49"/>
      <c r="C1096" s="91"/>
      <c r="D1096" s="49"/>
      <c r="E1096" s="49"/>
      <c r="F1096" s="49"/>
      <c r="G1096" s="49"/>
      <c r="H1096" s="49"/>
      <c r="I1096" s="49"/>
      <c r="J1096" s="49"/>
      <c r="K1096" s="49"/>
      <c r="L1096" s="49"/>
      <c r="M1096" s="49"/>
      <c r="N1096" s="49"/>
      <c r="O1096" s="49"/>
      <c r="P1096" s="49"/>
      <c r="Q1096" s="49"/>
      <c r="R1096" s="49"/>
      <c r="S1096" s="49"/>
      <c r="T1096" s="49"/>
      <c r="U1096" s="49"/>
      <c r="V1096" s="49"/>
      <c r="W1096" s="49"/>
      <c r="X1096" s="49"/>
      <c r="Y1096" s="49"/>
      <c r="Z1096" s="49"/>
    </row>
    <row r="1097">
      <c r="A1097" s="49"/>
      <c r="B1097" s="49"/>
      <c r="C1097" s="91"/>
      <c r="D1097" s="49"/>
      <c r="E1097" s="49"/>
      <c r="F1097" s="49"/>
      <c r="G1097" s="49"/>
      <c r="H1097" s="49"/>
      <c r="I1097" s="49"/>
      <c r="J1097" s="49"/>
      <c r="K1097" s="49"/>
      <c r="L1097" s="49"/>
      <c r="M1097" s="49"/>
      <c r="N1097" s="49"/>
      <c r="O1097" s="49"/>
      <c r="P1097" s="49"/>
      <c r="Q1097" s="49"/>
      <c r="R1097" s="49"/>
      <c r="S1097" s="49"/>
      <c r="T1097" s="49"/>
      <c r="U1097" s="49"/>
      <c r="V1097" s="49"/>
      <c r="W1097" s="49"/>
      <c r="X1097" s="49"/>
      <c r="Y1097" s="49"/>
      <c r="Z1097" s="49"/>
    </row>
    <row r="1098">
      <c r="A1098" s="49"/>
      <c r="B1098" s="49"/>
      <c r="C1098" s="91"/>
      <c r="D1098" s="49"/>
      <c r="E1098" s="49"/>
      <c r="F1098" s="49"/>
      <c r="G1098" s="49"/>
      <c r="H1098" s="49"/>
      <c r="I1098" s="49"/>
      <c r="J1098" s="49"/>
      <c r="K1098" s="49"/>
      <c r="L1098" s="49"/>
      <c r="M1098" s="49"/>
      <c r="N1098" s="49"/>
      <c r="O1098" s="49"/>
      <c r="P1098" s="49"/>
      <c r="Q1098" s="49"/>
      <c r="R1098" s="49"/>
      <c r="S1098" s="49"/>
      <c r="T1098" s="49"/>
      <c r="U1098" s="49"/>
      <c r="V1098" s="49"/>
      <c r="W1098" s="49"/>
      <c r="X1098" s="49"/>
      <c r="Y1098" s="49"/>
      <c r="Z1098" s="49"/>
    </row>
    <row r="1099">
      <c r="A1099" s="49"/>
      <c r="B1099" s="49"/>
      <c r="C1099" s="91"/>
      <c r="D1099" s="49"/>
      <c r="E1099" s="49"/>
      <c r="F1099" s="49"/>
      <c r="G1099" s="49"/>
      <c r="H1099" s="49"/>
      <c r="I1099" s="49"/>
      <c r="J1099" s="49"/>
      <c r="K1099" s="49"/>
      <c r="L1099" s="49"/>
      <c r="M1099" s="49"/>
      <c r="N1099" s="49"/>
      <c r="O1099" s="49"/>
      <c r="P1099" s="49"/>
      <c r="Q1099" s="49"/>
      <c r="R1099" s="49"/>
      <c r="S1099" s="49"/>
      <c r="T1099" s="49"/>
      <c r="U1099" s="49"/>
      <c r="V1099" s="49"/>
      <c r="W1099" s="49"/>
      <c r="X1099" s="49"/>
      <c r="Y1099" s="49"/>
      <c r="Z1099" s="49"/>
    </row>
    <row r="1100">
      <c r="A1100" s="49"/>
      <c r="B1100" s="49"/>
      <c r="C1100" s="91"/>
      <c r="D1100" s="49"/>
      <c r="E1100" s="49"/>
      <c r="F1100" s="49"/>
      <c r="G1100" s="49"/>
      <c r="H1100" s="49"/>
      <c r="I1100" s="49"/>
      <c r="J1100" s="49"/>
      <c r="K1100" s="49"/>
      <c r="L1100" s="49"/>
      <c r="M1100" s="49"/>
      <c r="N1100" s="49"/>
      <c r="O1100" s="49"/>
      <c r="P1100" s="49"/>
      <c r="Q1100" s="49"/>
      <c r="R1100" s="49"/>
      <c r="S1100" s="49"/>
      <c r="T1100" s="49"/>
      <c r="U1100" s="49"/>
      <c r="V1100" s="49"/>
      <c r="W1100" s="49"/>
      <c r="X1100" s="49"/>
      <c r="Y1100" s="49"/>
      <c r="Z1100" s="49"/>
    </row>
    <row r="1101">
      <c r="A1101" s="49"/>
      <c r="B1101" s="49"/>
      <c r="C1101" s="91"/>
      <c r="D1101" s="49"/>
      <c r="E1101" s="49"/>
      <c r="F1101" s="49"/>
      <c r="G1101" s="49"/>
      <c r="H1101" s="49"/>
      <c r="I1101" s="49"/>
      <c r="J1101" s="49"/>
      <c r="K1101" s="49"/>
      <c r="L1101" s="49"/>
      <c r="M1101" s="49"/>
      <c r="N1101" s="49"/>
      <c r="O1101" s="49"/>
      <c r="P1101" s="49"/>
      <c r="Q1101" s="49"/>
      <c r="R1101" s="49"/>
      <c r="S1101" s="49"/>
      <c r="T1101" s="49"/>
      <c r="U1101" s="49"/>
      <c r="V1101" s="49"/>
      <c r="W1101" s="49"/>
      <c r="X1101" s="49"/>
      <c r="Y1101" s="49"/>
      <c r="Z1101" s="49"/>
    </row>
    <row r="1102">
      <c r="A1102" s="49"/>
      <c r="B1102" s="49"/>
      <c r="C1102" s="91"/>
      <c r="D1102" s="49"/>
      <c r="E1102" s="49"/>
      <c r="F1102" s="49"/>
      <c r="G1102" s="49"/>
      <c r="H1102" s="49"/>
      <c r="I1102" s="49"/>
      <c r="J1102" s="49"/>
      <c r="K1102" s="49"/>
      <c r="L1102" s="49"/>
      <c r="M1102" s="49"/>
      <c r="N1102" s="49"/>
      <c r="O1102" s="49"/>
      <c r="P1102" s="49"/>
      <c r="Q1102" s="49"/>
      <c r="R1102" s="49"/>
      <c r="S1102" s="49"/>
      <c r="T1102" s="49"/>
      <c r="U1102" s="49"/>
      <c r="V1102" s="49"/>
      <c r="W1102" s="49"/>
      <c r="X1102" s="49"/>
      <c r="Y1102" s="49"/>
      <c r="Z1102" s="49"/>
    </row>
    <row r="1103">
      <c r="A1103" s="49"/>
      <c r="B1103" s="49"/>
      <c r="C1103" s="91"/>
      <c r="D1103" s="49"/>
      <c r="E1103" s="49"/>
      <c r="F1103" s="49"/>
      <c r="G1103" s="49"/>
      <c r="H1103" s="49"/>
      <c r="I1103" s="49"/>
      <c r="J1103" s="49"/>
      <c r="K1103" s="49"/>
      <c r="L1103" s="49"/>
      <c r="M1103" s="49"/>
      <c r="N1103" s="49"/>
      <c r="O1103" s="49"/>
      <c r="P1103" s="49"/>
      <c r="Q1103" s="49"/>
      <c r="R1103" s="49"/>
      <c r="S1103" s="49"/>
      <c r="T1103" s="49"/>
      <c r="U1103" s="49"/>
      <c r="V1103" s="49"/>
      <c r="W1103" s="49"/>
      <c r="X1103" s="49"/>
      <c r="Y1103" s="49"/>
      <c r="Z1103" s="49"/>
    </row>
    <row r="1104">
      <c r="A1104" s="49"/>
      <c r="B1104" s="49"/>
      <c r="C1104" s="91"/>
      <c r="D1104" s="49"/>
      <c r="E1104" s="49"/>
      <c r="F1104" s="49"/>
      <c r="G1104" s="49"/>
      <c r="H1104" s="49"/>
      <c r="I1104" s="49"/>
      <c r="J1104" s="49"/>
      <c r="K1104" s="49"/>
      <c r="L1104" s="49"/>
      <c r="M1104" s="49"/>
      <c r="N1104" s="49"/>
      <c r="O1104" s="49"/>
      <c r="P1104" s="49"/>
      <c r="Q1104" s="49"/>
      <c r="R1104" s="49"/>
      <c r="S1104" s="49"/>
      <c r="T1104" s="49"/>
      <c r="U1104" s="49"/>
      <c r="V1104" s="49"/>
      <c r="W1104" s="49"/>
      <c r="X1104" s="49"/>
      <c r="Y1104" s="49"/>
      <c r="Z1104" s="49"/>
    </row>
    <row r="1105">
      <c r="A1105" s="49"/>
      <c r="B1105" s="49"/>
      <c r="C1105" s="91"/>
      <c r="D1105" s="49"/>
      <c r="E1105" s="49"/>
      <c r="F1105" s="49"/>
      <c r="G1105" s="49"/>
      <c r="H1105" s="49"/>
      <c r="I1105" s="49"/>
      <c r="J1105" s="49"/>
      <c r="K1105" s="49"/>
      <c r="L1105" s="49"/>
      <c r="M1105" s="49"/>
      <c r="N1105" s="49"/>
      <c r="O1105" s="49"/>
      <c r="P1105" s="49"/>
      <c r="Q1105" s="49"/>
      <c r="R1105" s="49"/>
      <c r="S1105" s="49"/>
      <c r="T1105" s="49"/>
      <c r="U1105" s="49"/>
      <c r="V1105" s="49"/>
      <c r="W1105" s="49"/>
      <c r="X1105" s="49"/>
      <c r="Y1105" s="49"/>
      <c r="Z1105" s="49"/>
    </row>
    <row r="1106">
      <c r="A1106" s="49"/>
      <c r="B1106" s="49"/>
      <c r="C1106" s="91"/>
      <c r="D1106" s="49"/>
      <c r="E1106" s="49"/>
      <c r="F1106" s="49"/>
      <c r="G1106" s="49"/>
      <c r="H1106" s="49"/>
      <c r="I1106" s="49"/>
      <c r="J1106" s="49"/>
      <c r="K1106" s="49"/>
      <c r="L1106" s="49"/>
      <c r="M1106" s="49"/>
      <c r="N1106" s="49"/>
      <c r="O1106" s="49"/>
      <c r="P1106" s="49"/>
      <c r="Q1106" s="49"/>
      <c r="R1106" s="49"/>
      <c r="S1106" s="49"/>
      <c r="T1106" s="49"/>
      <c r="U1106" s="49"/>
      <c r="V1106" s="49"/>
      <c r="W1106" s="49"/>
      <c r="X1106" s="49"/>
      <c r="Y1106" s="49"/>
      <c r="Z1106" s="49"/>
    </row>
    <row r="1107">
      <c r="A1107" s="49"/>
      <c r="B1107" s="49"/>
      <c r="C1107" s="91"/>
      <c r="D1107" s="49"/>
      <c r="E1107" s="49"/>
      <c r="F1107" s="49"/>
      <c r="G1107" s="49"/>
      <c r="H1107" s="49"/>
      <c r="I1107" s="49"/>
      <c r="J1107" s="49"/>
      <c r="K1107" s="49"/>
      <c r="L1107" s="49"/>
      <c r="M1107" s="49"/>
      <c r="N1107" s="49"/>
      <c r="O1107" s="49"/>
      <c r="P1107" s="49"/>
      <c r="Q1107" s="49"/>
      <c r="R1107" s="49"/>
      <c r="S1107" s="49"/>
      <c r="T1107" s="49"/>
      <c r="U1107" s="49"/>
      <c r="V1107" s="49"/>
      <c r="W1107" s="49"/>
      <c r="X1107" s="49"/>
      <c r="Y1107" s="49"/>
      <c r="Z1107" s="49"/>
    </row>
    <row r="1108">
      <c r="A1108" s="49"/>
      <c r="B1108" s="49"/>
      <c r="C1108" s="91"/>
      <c r="D1108" s="49"/>
      <c r="E1108" s="49"/>
      <c r="F1108" s="49"/>
      <c r="G1108" s="49"/>
      <c r="H1108" s="49"/>
      <c r="I1108" s="49"/>
      <c r="J1108" s="49"/>
      <c r="K1108" s="49"/>
      <c r="L1108" s="49"/>
      <c r="M1108" s="49"/>
      <c r="N1108" s="49"/>
      <c r="O1108" s="49"/>
      <c r="P1108" s="49"/>
      <c r="Q1108" s="49"/>
      <c r="R1108" s="49"/>
      <c r="S1108" s="49"/>
      <c r="T1108" s="49"/>
      <c r="U1108" s="49"/>
      <c r="V1108" s="49"/>
      <c r="W1108" s="49"/>
      <c r="X1108" s="49"/>
      <c r="Y1108" s="49"/>
      <c r="Z1108" s="49"/>
    </row>
    <row r="1109">
      <c r="A1109" s="49"/>
      <c r="B1109" s="49"/>
      <c r="C1109" s="91"/>
      <c r="D1109" s="49"/>
      <c r="E1109" s="49"/>
      <c r="F1109" s="49"/>
      <c r="G1109" s="49"/>
      <c r="H1109" s="49"/>
      <c r="I1109" s="49"/>
      <c r="J1109" s="49"/>
      <c r="K1109" s="49"/>
      <c r="L1109" s="49"/>
      <c r="M1109" s="49"/>
      <c r="N1109" s="49"/>
      <c r="O1109" s="49"/>
      <c r="P1109" s="49"/>
      <c r="Q1109" s="49"/>
      <c r="R1109" s="49"/>
      <c r="S1109" s="49"/>
      <c r="T1109" s="49"/>
      <c r="U1109" s="49"/>
      <c r="V1109" s="49"/>
      <c r="W1109" s="49"/>
      <c r="X1109" s="49"/>
      <c r="Y1109" s="49"/>
      <c r="Z1109" s="49"/>
    </row>
    <row r="1110">
      <c r="A1110" s="49"/>
      <c r="B1110" s="49"/>
      <c r="C1110" s="91"/>
      <c r="D1110" s="49"/>
      <c r="E1110" s="49"/>
      <c r="F1110" s="49"/>
      <c r="G1110" s="49"/>
      <c r="H1110" s="49"/>
      <c r="I1110" s="49"/>
      <c r="J1110" s="49"/>
      <c r="K1110" s="49"/>
      <c r="L1110" s="49"/>
      <c r="M1110" s="49"/>
      <c r="N1110" s="49"/>
      <c r="O1110" s="49"/>
      <c r="P1110" s="49"/>
      <c r="Q1110" s="49"/>
      <c r="R1110" s="49"/>
      <c r="S1110" s="49"/>
      <c r="T1110" s="49"/>
      <c r="U1110" s="49"/>
      <c r="V1110" s="49"/>
      <c r="W1110" s="49"/>
      <c r="X1110" s="49"/>
      <c r="Y1110" s="49"/>
      <c r="Z1110" s="49"/>
    </row>
    <row r="1111">
      <c r="A1111" s="49"/>
      <c r="B1111" s="49"/>
      <c r="C1111" s="91"/>
      <c r="D1111" s="49"/>
      <c r="E1111" s="49"/>
      <c r="F1111" s="49"/>
      <c r="G1111" s="49"/>
      <c r="H1111" s="49"/>
      <c r="I1111" s="49"/>
      <c r="J1111" s="49"/>
      <c r="K1111" s="49"/>
      <c r="L1111" s="49"/>
      <c r="M1111" s="49"/>
      <c r="N1111" s="49"/>
      <c r="O1111" s="49"/>
      <c r="P1111" s="49"/>
      <c r="Q1111" s="49"/>
      <c r="R1111" s="49"/>
      <c r="S1111" s="49"/>
      <c r="T1111" s="49"/>
      <c r="U1111" s="49"/>
      <c r="V1111" s="49"/>
      <c r="W1111" s="49"/>
      <c r="X1111" s="49"/>
      <c r="Y1111" s="49"/>
      <c r="Z1111" s="49"/>
    </row>
    <row r="1112">
      <c r="A1112" s="49"/>
      <c r="B1112" s="49"/>
      <c r="C1112" s="91"/>
      <c r="D1112" s="49"/>
      <c r="E1112" s="49"/>
      <c r="F1112" s="49"/>
      <c r="G1112" s="49"/>
      <c r="H1112" s="49"/>
      <c r="I1112" s="49"/>
      <c r="J1112" s="49"/>
      <c r="K1112" s="49"/>
      <c r="L1112" s="49"/>
      <c r="M1112" s="49"/>
      <c r="N1112" s="49"/>
      <c r="O1112" s="49"/>
      <c r="P1112" s="49"/>
      <c r="Q1112" s="49"/>
      <c r="R1112" s="49"/>
      <c r="S1112" s="49"/>
      <c r="T1112" s="49"/>
      <c r="U1112" s="49"/>
      <c r="V1112" s="49"/>
      <c r="W1112" s="49"/>
      <c r="X1112" s="49"/>
      <c r="Y1112" s="49"/>
      <c r="Z1112" s="49"/>
    </row>
    <row r="1113">
      <c r="A1113" s="49"/>
      <c r="B1113" s="49"/>
      <c r="C1113" s="91"/>
      <c r="D1113" s="49"/>
      <c r="E1113" s="49"/>
      <c r="F1113" s="49"/>
      <c r="G1113" s="49"/>
      <c r="H1113" s="49"/>
      <c r="I1113" s="49"/>
      <c r="J1113" s="49"/>
      <c r="K1113" s="49"/>
      <c r="L1113" s="49"/>
      <c r="M1113" s="49"/>
      <c r="N1113" s="49"/>
      <c r="O1113" s="49"/>
      <c r="P1113" s="49"/>
      <c r="Q1113" s="49"/>
      <c r="R1113" s="49"/>
      <c r="S1113" s="49"/>
      <c r="T1113" s="49"/>
      <c r="U1113" s="49"/>
      <c r="V1113" s="49"/>
      <c r="W1113" s="49"/>
      <c r="X1113" s="49"/>
      <c r="Y1113" s="49"/>
      <c r="Z1113" s="49"/>
    </row>
    <row r="1114">
      <c r="A1114" s="49"/>
      <c r="B1114" s="49"/>
      <c r="C1114" s="91"/>
      <c r="D1114" s="49"/>
      <c r="E1114" s="49"/>
      <c r="F1114" s="49"/>
      <c r="G1114" s="49"/>
      <c r="H1114" s="49"/>
      <c r="I1114" s="49"/>
      <c r="J1114" s="49"/>
      <c r="K1114" s="49"/>
      <c r="L1114" s="49"/>
      <c r="M1114" s="49"/>
      <c r="N1114" s="49"/>
      <c r="O1114" s="49"/>
      <c r="P1114" s="49"/>
      <c r="Q1114" s="49"/>
      <c r="R1114" s="49"/>
      <c r="S1114" s="49"/>
      <c r="T1114" s="49"/>
      <c r="U1114" s="49"/>
      <c r="V1114" s="49"/>
      <c r="W1114" s="49"/>
      <c r="X1114" s="49"/>
      <c r="Y1114" s="49"/>
      <c r="Z1114" s="49"/>
    </row>
    <row r="1115">
      <c r="A1115" s="49"/>
      <c r="B1115" s="49"/>
      <c r="C1115" s="91"/>
      <c r="D1115" s="49"/>
      <c r="E1115" s="49"/>
      <c r="F1115" s="49"/>
      <c r="G1115" s="49"/>
      <c r="H1115" s="49"/>
      <c r="I1115" s="49"/>
      <c r="J1115" s="49"/>
      <c r="K1115" s="49"/>
      <c r="L1115" s="49"/>
      <c r="M1115" s="49"/>
      <c r="N1115" s="49"/>
      <c r="O1115" s="49"/>
      <c r="P1115" s="49"/>
      <c r="Q1115" s="49"/>
      <c r="R1115" s="49"/>
      <c r="S1115" s="49"/>
      <c r="T1115" s="49"/>
      <c r="U1115" s="49"/>
      <c r="V1115" s="49"/>
      <c r="W1115" s="49"/>
      <c r="X1115" s="49"/>
      <c r="Y1115" s="49"/>
      <c r="Z1115" s="49"/>
    </row>
    <row r="1116">
      <c r="A1116" s="49"/>
      <c r="B1116" s="49"/>
      <c r="C1116" s="91"/>
      <c r="D1116" s="49"/>
      <c r="E1116" s="49"/>
      <c r="F1116" s="49"/>
      <c r="G1116" s="49"/>
      <c r="H1116" s="49"/>
      <c r="I1116" s="49"/>
      <c r="J1116" s="49"/>
      <c r="K1116" s="49"/>
      <c r="L1116" s="49"/>
      <c r="M1116" s="49"/>
      <c r="N1116" s="49"/>
      <c r="O1116" s="49"/>
      <c r="P1116" s="49"/>
      <c r="Q1116" s="49"/>
      <c r="R1116" s="49"/>
      <c r="S1116" s="49"/>
      <c r="T1116" s="49"/>
      <c r="U1116" s="49"/>
      <c r="V1116" s="49"/>
      <c r="W1116" s="49"/>
      <c r="X1116" s="49"/>
      <c r="Y1116" s="49"/>
      <c r="Z1116" s="49"/>
    </row>
    <row r="1117">
      <c r="A1117" s="49"/>
      <c r="B1117" s="49"/>
      <c r="C1117" s="91"/>
      <c r="D1117" s="49"/>
      <c r="E1117" s="49"/>
      <c r="F1117" s="49"/>
      <c r="G1117" s="49"/>
      <c r="H1117" s="49"/>
      <c r="I1117" s="49"/>
      <c r="J1117" s="49"/>
      <c r="K1117" s="49"/>
      <c r="L1117" s="49"/>
      <c r="M1117" s="49"/>
      <c r="N1117" s="49"/>
      <c r="O1117" s="49"/>
      <c r="P1117" s="49"/>
      <c r="Q1117" s="49"/>
      <c r="R1117" s="49"/>
      <c r="S1117" s="49"/>
      <c r="T1117" s="49"/>
      <c r="U1117" s="49"/>
      <c r="V1117" s="49"/>
      <c r="W1117" s="49"/>
      <c r="X1117" s="49"/>
      <c r="Y1117" s="49"/>
      <c r="Z1117" s="49"/>
    </row>
    <row r="1118">
      <c r="A1118" s="49"/>
      <c r="B1118" s="49"/>
      <c r="C1118" s="91"/>
      <c r="D1118" s="49"/>
      <c r="E1118" s="49"/>
      <c r="F1118" s="49"/>
      <c r="G1118" s="49"/>
      <c r="H1118" s="49"/>
      <c r="I1118" s="49"/>
      <c r="J1118" s="49"/>
      <c r="K1118" s="49"/>
      <c r="L1118" s="49"/>
      <c r="M1118" s="49"/>
      <c r="N1118" s="49"/>
      <c r="O1118" s="49"/>
      <c r="P1118" s="49"/>
      <c r="Q1118" s="49"/>
      <c r="R1118" s="49"/>
      <c r="S1118" s="49"/>
      <c r="T1118" s="49"/>
      <c r="U1118" s="49"/>
      <c r="V1118" s="49"/>
      <c r="W1118" s="49"/>
      <c r="X1118" s="49"/>
      <c r="Y1118" s="49"/>
      <c r="Z1118" s="49"/>
    </row>
    <row r="1119">
      <c r="A1119" s="49"/>
      <c r="B1119" s="49"/>
      <c r="C1119" s="91"/>
      <c r="D1119" s="49"/>
      <c r="E1119" s="49"/>
      <c r="F1119" s="49"/>
      <c r="G1119" s="49"/>
      <c r="H1119" s="49"/>
      <c r="I1119" s="49"/>
      <c r="J1119" s="49"/>
      <c r="K1119" s="49"/>
      <c r="L1119" s="49"/>
      <c r="M1119" s="49"/>
      <c r="N1119" s="49"/>
      <c r="O1119" s="49"/>
      <c r="P1119" s="49"/>
      <c r="Q1119" s="49"/>
      <c r="R1119" s="49"/>
      <c r="S1119" s="49"/>
      <c r="T1119" s="49"/>
      <c r="U1119" s="49"/>
      <c r="V1119" s="49"/>
      <c r="W1119" s="49"/>
      <c r="X1119" s="49"/>
      <c r="Y1119" s="49"/>
      <c r="Z1119" s="49"/>
    </row>
    <row r="1120">
      <c r="A1120" s="49"/>
      <c r="B1120" s="49"/>
      <c r="C1120" s="91"/>
      <c r="D1120" s="49"/>
      <c r="E1120" s="49"/>
      <c r="F1120" s="49"/>
      <c r="G1120" s="49"/>
      <c r="H1120" s="49"/>
      <c r="I1120" s="49"/>
      <c r="J1120" s="49"/>
      <c r="K1120" s="49"/>
      <c r="L1120" s="49"/>
      <c r="M1120" s="49"/>
      <c r="N1120" s="49"/>
      <c r="O1120" s="49"/>
      <c r="P1120" s="49"/>
      <c r="Q1120" s="49"/>
      <c r="R1120" s="49"/>
      <c r="S1120" s="49"/>
      <c r="T1120" s="49"/>
      <c r="U1120" s="49"/>
      <c r="V1120" s="49"/>
      <c r="W1120" s="49"/>
      <c r="X1120" s="49"/>
      <c r="Y1120" s="49"/>
      <c r="Z1120" s="49"/>
    </row>
    <row r="1121">
      <c r="A1121" s="49"/>
      <c r="B1121" s="49"/>
      <c r="C1121" s="91"/>
      <c r="D1121" s="49"/>
      <c r="E1121" s="49"/>
      <c r="F1121" s="49"/>
      <c r="G1121" s="49"/>
      <c r="H1121" s="49"/>
      <c r="I1121" s="49"/>
      <c r="J1121" s="49"/>
      <c r="K1121" s="49"/>
      <c r="L1121" s="49"/>
      <c r="M1121" s="49"/>
      <c r="N1121" s="49"/>
      <c r="O1121" s="49"/>
      <c r="P1121" s="49"/>
      <c r="Q1121" s="49"/>
      <c r="R1121" s="49"/>
      <c r="S1121" s="49"/>
      <c r="T1121" s="49"/>
      <c r="U1121" s="49"/>
      <c r="V1121" s="49"/>
      <c r="W1121" s="49"/>
      <c r="X1121" s="49"/>
      <c r="Y1121" s="49"/>
      <c r="Z1121" s="49"/>
    </row>
    <row r="1122">
      <c r="A1122" s="49"/>
      <c r="B1122" s="49"/>
      <c r="C1122" s="91"/>
      <c r="D1122" s="49"/>
      <c r="E1122" s="49"/>
      <c r="F1122" s="49"/>
      <c r="G1122" s="49"/>
      <c r="H1122" s="49"/>
      <c r="I1122" s="49"/>
      <c r="J1122" s="49"/>
      <c r="K1122" s="49"/>
      <c r="L1122" s="49"/>
      <c r="M1122" s="49"/>
      <c r="N1122" s="49"/>
      <c r="O1122" s="49"/>
      <c r="P1122" s="49"/>
      <c r="Q1122" s="49"/>
      <c r="R1122" s="49"/>
      <c r="S1122" s="49"/>
      <c r="T1122" s="49"/>
      <c r="U1122" s="49"/>
      <c r="V1122" s="49"/>
      <c r="W1122" s="49"/>
      <c r="X1122" s="49"/>
      <c r="Y1122" s="49"/>
      <c r="Z1122" s="49"/>
    </row>
    <row r="1123">
      <c r="A1123" s="49"/>
      <c r="B1123" s="49"/>
      <c r="C1123" s="91"/>
      <c r="D1123" s="49"/>
      <c r="E1123" s="49"/>
      <c r="F1123" s="49"/>
      <c r="G1123" s="49"/>
      <c r="H1123" s="49"/>
      <c r="I1123" s="49"/>
      <c r="J1123" s="49"/>
      <c r="K1123" s="49"/>
      <c r="L1123" s="49"/>
      <c r="M1123" s="49"/>
      <c r="N1123" s="49"/>
      <c r="O1123" s="49"/>
      <c r="P1123" s="49"/>
      <c r="Q1123" s="49"/>
      <c r="R1123" s="49"/>
      <c r="S1123" s="49"/>
      <c r="T1123" s="49"/>
      <c r="U1123" s="49"/>
      <c r="V1123" s="49"/>
      <c r="W1123" s="49"/>
      <c r="X1123" s="49"/>
      <c r="Y1123" s="49"/>
      <c r="Z1123" s="49"/>
    </row>
    <row r="1124">
      <c r="A1124" s="49"/>
      <c r="B1124" s="49"/>
      <c r="C1124" s="91"/>
      <c r="D1124" s="49"/>
      <c r="E1124" s="49"/>
      <c r="F1124" s="49"/>
      <c r="G1124" s="49"/>
      <c r="H1124" s="49"/>
      <c r="I1124" s="49"/>
      <c r="J1124" s="49"/>
      <c r="K1124" s="49"/>
      <c r="L1124" s="49"/>
      <c r="M1124" s="49"/>
      <c r="N1124" s="49"/>
      <c r="O1124" s="49"/>
      <c r="P1124" s="49"/>
      <c r="Q1124" s="49"/>
      <c r="R1124" s="49"/>
      <c r="S1124" s="49"/>
      <c r="T1124" s="49"/>
      <c r="U1124" s="49"/>
      <c r="V1124" s="49"/>
      <c r="W1124" s="49"/>
      <c r="X1124" s="49"/>
      <c r="Y1124" s="49"/>
      <c r="Z1124" s="49"/>
    </row>
    <row r="1125">
      <c r="A1125" s="49"/>
      <c r="B1125" s="49"/>
      <c r="C1125" s="91"/>
      <c r="D1125" s="49"/>
      <c r="E1125" s="49"/>
      <c r="F1125" s="49"/>
      <c r="G1125" s="49"/>
      <c r="H1125" s="49"/>
      <c r="I1125" s="49"/>
      <c r="J1125" s="49"/>
      <c r="K1125" s="49"/>
      <c r="L1125" s="49"/>
      <c r="M1125" s="49"/>
      <c r="N1125" s="49"/>
      <c r="O1125" s="49"/>
      <c r="P1125" s="49"/>
      <c r="Q1125" s="49"/>
      <c r="R1125" s="49"/>
      <c r="S1125" s="49"/>
      <c r="T1125" s="49"/>
      <c r="U1125" s="49"/>
      <c r="V1125" s="49"/>
      <c r="W1125" s="49"/>
      <c r="X1125" s="49"/>
      <c r="Y1125" s="49"/>
      <c r="Z1125" s="49"/>
    </row>
    <row r="1126">
      <c r="A1126" s="49"/>
      <c r="B1126" s="49"/>
      <c r="C1126" s="91"/>
      <c r="D1126" s="49"/>
      <c r="E1126" s="49"/>
      <c r="F1126" s="49"/>
      <c r="G1126" s="49"/>
      <c r="H1126" s="49"/>
      <c r="I1126" s="49"/>
      <c r="J1126" s="49"/>
      <c r="K1126" s="49"/>
      <c r="L1126" s="49"/>
      <c r="M1126" s="49"/>
      <c r="N1126" s="49"/>
      <c r="O1126" s="49"/>
      <c r="P1126" s="49"/>
      <c r="Q1126" s="49"/>
      <c r="R1126" s="49"/>
      <c r="S1126" s="49"/>
      <c r="T1126" s="49"/>
      <c r="U1126" s="49"/>
      <c r="V1126" s="49"/>
      <c r="W1126" s="49"/>
      <c r="X1126" s="49"/>
      <c r="Y1126" s="49"/>
      <c r="Z1126" s="49"/>
    </row>
    <row r="1127">
      <c r="A1127" s="49"/>
      <c r="B1127" s="49"/>
      <c r="C1127" s="91"/>
      <c r="D1127" s="49"/>
      <c r="E1127" s="49"/>
      <c r="F1127" s="49"/>
      <c r="G1127" s="49"/>
      <c r="H1127" s="49"/>
      <c r="I1127" s="49"/>
      <c r="J1127" s="49"/>
      <c r="K1127" s="49"/>
      <c r="L1127" s="49"/>
      <c r="M1127" s="49"/>
      <c r="N1127" s="49"/>
      <c r="O1127" s="49"/>
      <c r="P1127" s="49"/>
      <c r="Q1127" s="49"/>
      <c r="R1127" s="49"/>
      <c r="S1127" s="49"/>
      <c r="T1127" s="49"/>
      <c r="U1127" s="49"/>
      <c r="V1127" s="49"/>
      <c r="W1127" s="49"/>
      <c r="X1127" s="49"/>
      <c r="Y1127" s="49"/>
      <c r="Z1127" s="49"/>
    </row>
    <row r="1128">
      <c r="A1128" s="49"/>
      <c r="B1128" s="49"/>
      <c r="C1128" s="91"/>
      <c r="D1128" s="49"/>
      <c r="E1128" s="49"/>
      <c r="F1128" s="49"/>
      <c r="G1128" s="49"/>
      <c r="H1128" s="49"/>
      <c r="I1128" s="49"/>
      <c r="J1128" s="49"/>
      <c r="K1128" s="49"/>
      <c r="L1128" s="49"/>
      <c r="M1128" s="49"/>
      <c r="N1128" s="49"/>
      <c r="O1128" s="49"/>
      <c r="P1128" s="49"/>
      <c r="Q1128" s="49"/>
      <c r="R1128" s="49"/>
      <c r="S1128" s="49"/>
      <c r="T1128" s="49"/>
      <c r="U1128" s="49"/>
      <c r="V1128" s="49"/>
      <c r="W1128" s="49"/>
      <c r="X1128" s="49"/>
      <c r="Y1128" s="49"/>
      <c r="Z1128" s="49"/>
    </row>
    <row r="1129">
      <c r="A1129" s="49"/>
      <c r="B1129" s="49"/>
      <c r="C1129" s="91"/>
      <c r="D1129" s="49"/>
      <c r="E1129" s="49"/>
      <c r="F1129" s="49"/>
      <c r="G1129" s="49"/>
      <c r="H1129" s="49"/>
      <c r="I1129" s="49"/>
      <c r="J1129" s="49"/>
      <c r="K1129" s="49"/>
      <c r="L1129" s="49"/>
      <c r="M1129" s="49"/>
      <c r="N1129" s="49"/>
      <c r="O1129" s="49"/>
      <c r="P1129" s="49"/>
      <c r="Q1129" s="49"/>
      <c r="R1129" s="49"/>
      <c r="S1129" s="49"/>
      <c r="T1129" s="49"/>
      <c r="U1129" s="49"/>
      <c r="V1129" s="49"/>
      <c r="W1129" s="49"/>
      <c r="X1129" s="49"/>
      <c r="Y1129" s="49"/>
      <c r="Z1129" s="49"/>
    </row>
    <row r="1130">
      <c r="A1130" s="49"/>
      <c r="B1130" s="49"/>
      <c r="C1130" s="91"/>
      <c r="D1130" s="49"/>
      <c r="E1130" s="49"/>
      <c r="F1130" s="49"/>
      <c r="G1130" s="49"/>
      <c r="H1130" s="49"/>
      <c r="I1130" s="49"/>
      <c r="J1130" s="49"/>
      <c r="K1130" s="49"/>
      <c r="L1130" s="49"/>
      <c r="M1130" s="49"/>
      <c r="N1130" s="49"/>
      <c r="O1130" s="49"/>
      <c r="P1130" s="49"/>
      <c r="Q1130" s="49"/>
      <c r="R1130" s="49"/>
      <c r="S1130" s="49"/>
      <c r="T1130" s="49"/>
      <c r="U1130" s="49"/>
      <c r="V1130" s="49"/>
      <c r="W1130" s="49"/>
      <c r="X1130" s="49"/>
      <c r="Y1130" s="49"/>
      <c r="Z1130" s="49"/>
    </row>
    <row r="1131">
      <c r="A1131" s="49"/>
      <c r="B1131" s="49"/>
      <c r="C1131" s="91"/>
      <c r="D1131" s="49"/>
      <c r="E1131" s="49"/>
      <c r="F1131" s="49"/>
      <c r="G1131" s="49"/>
      <c r="H1131" s="49"/>
      <c r="I1131" s="49"/>
      <c r="J1131" s="49"/>
      <c r="K1131" s="49"/>
      <c r="L1131" s="49"/>
      <c r="M1131" s="49"/>
      <c r="N1131" s="49"/>
      <c r="O1131" s="49"/>
      <c r="P1131" s="49"/>
      <c r="Q1131" s="49"/>
      <c r="R1131" s="49"/>
      <c r="S1131" s="49"/>
      <c r="T1131" s="49"/>
      <c r="U1131" s="49"/>
      <c r="V1131" s="49"/>
      <c r="W1131" s="49"/>
      <c r="X1131" s="49"/>
      <c r="Y1131" s="49"/>
      <c r="Z1131" s="49"/>
    </row>
    <row r="1132">
      <c r="A1132" s="49"/>
      <c r="B1132" s="49"/>
      <c r="C1132" s="91"/>
      <c r="D1132" s="49"/>
      <c r="E1132" s="49"/>
      <c r="F1132" s="49"/>
      <c r="G1132" s="49"/>
      <c r="H1132" s="49"/>
      <c r="I1132" s="49"/>
      <c r="J1132" s="49"/>
      <c r="K1132" s="49"/>
      <c r="L1132" s="49"/>
      <c r="M1132" s="49"/>
      <c r="N1132" s="49"/>
      <c r="O1132" s="49"/>
      <c r="P1132" s="49"/>
      <c r="Q1132" s="49"/>
      <c r="R1132" s="49"/>
      <c r="S1132" s="49"/>
      <c r="T1132" s="49"/>
      <c r="U1132" s="49"/>
      <c r="V1132" s="49"/>
      <c r="W1132" s="49"/>
      <c r="X1132" s="49"/>
      <c r="Y1132" s="49"/>
      <c r="Z1132" s="49"/>
    </row>
    <row r="1133">
      <c r="A1133" s="49"/>
      <c r="B1133" s="49"/>
      <c r="C1133" s="91"/>
      <c r="D1133" s="49"/>
      <c r="E1133" s="49"/>
      <c r="F1133" s="49"/>
      <c r="G1133" s="49"/>
      <c r="H1133" s="49"/>
      <c r="I1133" s="49"/>
      <c r="J1133" s="49"/>
      <c r="K1133" s="49"/>
      <c r="L1133" s="49"/>
      <c r="M1133" s="49"/>
      <c r="N1133" s="49"/>
      <c r="O1133" s="49"/>
      <c r="P1133" s="49"/>
      <c r="Q1133" s="49"/>
      <c r="R1133" s="49"/>
      <c r="S1133" s="49"/>
      <c r="T1133" s="49"/>
      <c r="U1133" s="49"/>
      <c r="V1133" s="49"/>
      <c r="W1133" s="49"/>
      <c r="X1133" s="49"/>
      <c r="Y1133" s="49"/>
      <c r="Z1133" s="49"/>
    </row>
    <row r="1134">
      <c r="A1134" s="49"/>
      <c r="B1134" s="49"/>
      <c r="C1134" s="91"/>
      <c r="D1134" s="49"/>
      <c r="E1134" s="49"/>
      <c r="F1134" s="49"/>
      <c r="G1134" s="49"/>
      <c r="H1134" s="49"/>
      <c r="I1134" s="49"/>
      <c r="J1134" s="49"/>
      <c r="K1134" s="49"/>
      <c r="L1134" s="49"/>
      <c r="M1134" s="49"/>
      <c r="N1134" s="49"/>
      <c r="O1134" s="49"/>
      <c r="P1134" s="49"/>
      <c r="Q1134" s="49"/>
      <c r="R1134" s="49"/>
      <c r="S1134" s="49"/>
      <c r="T1134" s="49"/>
      <c r="U1134" s="49"/>
      <c r="V1134" s="49"/>
      <c r="W1134" s="49"/>
      <c r="X1134" s="49"/>
      <c r="Y1134" s="49"/>
      <c r="Z1134" s="49"/>
    </row>
    <row r="1135">
      <c r="A1135" s="49"/>
      <c r="B1135" s="49"/>
      <c r="C1135" s="91"/>
      <c r="D1135" s="49"/>
      <c r="E1135" s="49"/>
      <c r="F1135" s="49"/>
      <c r="G1135" s="49"/>
      <c r="H1135" s="49"/>
      <c r="I1135" s="49"/>
      <c r="J1135" s="49"/>
      <c r="K1135" s="49"/>
      <c r="L1135" s="49"/>
      <c r="M1135" s="49"/>
      <c r="N1135" s="49"/>
      <c r="O1135" s="49"/>
      <c r="P1135" s="49"/>
      <c r="Q1135" s="49"/>
      <c r="R1135" s="49"/>
      <c r="S1135" s="49"/>
      <c r="T1135" s="49"/>
      <c r="U1135" s="49"/>
      <c r="V1135" s="49"/>
      <c r="W1135" s="49"/>
      <c r="X1135" s="49"/>
      <c r="Y1135" s="49"/>
      <c r="Z1135" s="49"/>
    </row>
    <row r="1136">
      <c r="A1136" s="49"/>
      <c r="B1136" s="49"/>
      <c r="C1136" s="91"/>
      <c r="D1136" s="49"/>
      <c r="E1136" s="49"/>
      <c r="F1136" s="49"/>
      <c r="G1136" s="49"/>
      <c r="H1136" s="49"/>
      <c r="I1136" s="49"/>
      <c r="J1136" s="49"/>
      <c r="K1136" s="49"/>
      <c r="L1136" s="49"/>
      <c r="M1136" s="49"/>
      <c r="N1136" s="49"/>
      <c r="O1136" s="49"/>
      <c r="P1136" s="49"/>
      <c r="Q1136" s="49"/>
      <c r="R1136" s="49"/>
      <c r="S1136" s="49"/>
      <c r="T1136" s="49"/>
      <c r="U1136" s="49"/>
      <c r="V1136" s="49"/>
      <c r="W1136" s="49"/>
      <c r="X1136" s="49"/>
      <c r="Y1136" s="49"/>
      <c r="Z1136" s="49"/>
    </row>
    <row r="1137">
      <c r="A1137" s="49"/>
      <c r="B1137" s="49"/>
      <c r="C1137" s="91"/>
      <c r="D1137" s="49"/>
      <c r="E1137" s="49"/>
      <c r="F1137" s="49"/>
      <c r="G1137" s="49"/>
      <c r="H1137" s="49"/>
      <c r="I1137" s="49"/>
      <c r="J1137" s="49"/>
      <c r="K1137" s="49"/>
      <c r="L1137" s="49"/>
      <c r="M1137" s="49"/>
      <c r="N1137" s="49"/>
      <c r="O1137" s="49"/>
      <c r="P1137" s="49"/>
      <c r="Q1137" s="49"/>
      <c r="R1137" s="49"/>
      <c r="S1137" s="49"/>
      <c r="T1137" s="49"/>
      <c r="U1137" s="49"/>
      <c r="V1137" s="49"/>
      <c r="W1137" s="49"/>
      <c r="X1137" s="49"/>
      <c r="Y1137" s="49"/>
      <c r="Z1137" s="49"/>
    </row>
    <row r="1138">
      <c r="A1138" s="49"/>
      <c r="B1138" s="49"/>
      <c r="C1138" s="91"/>
      <c r="D1138" s="49"/>
      <c r="E1138" s="49"/>
      <c r="F1138" s="49"/>
      <c r="G1138" s="49"/>
      <c r="H1138" s="49"/>
      <c r="I1138" s="49"/>
      <c r="J1138" s="49"/>
      <c r="K1138" s="49"/>
      <c r="L1138" s="49"/>
      <c r="M1138" s="49"/>
      <c r="N1138" s="49"/>
      <c r="O1138" s="49"/>
      <c r="P1138" s="49"/>
      <c r="Q1138" s="49"/>
      <c r="R1138" s="49"/>
      <c r="S1138" s="49"/>
      <c r="T1138" s="49"/>
      <c r="U1138" s="49"/>
      <c r="V1138" s="49"/>
      <c r="W1138" s="49"/>
      <c r="X1138" s="49"/>
      <c r="Y1138" s="49"/>
      <c r="Z1138" s="49"/>
    </row>
    <row r="1139">
      <c r="A1139" s="49"/>
      <c r="B1139" s="49"/>
      <c r="C1139" s="91"/>
      <c r="D1139" s="49"/>
      <c r="E1139" s="49"/>
      <c r="F1139" s="49"/>
      <c r="G1139" s="49"/>
      <c r="H1139" s="49"/>
      <c r="I1139" s="49"/>
      <c r="J1139" s="49"/>
      <c r="K1139" s="49"/>
      <c r="L1139" s="49"/>
      <c r="M1139" s="49"/>
      <c r="N1139" s="49"/>
      <c r="O1139" s="49"/>
      <c r="P1139" s="49"/>
      <c r="Q1139" s="49"/>
      <c r="R1139" s="49"/>
      <c r="S1139" s="49"/>
      <c r="T1139" s="49"/>
      <c r="U1139" s="49"/>
      <c r="V1139" s="49"/>
      <c r="W1139" s="49"/>
      <c r="X1139" s="49"/>
      <c r="Y1139" s="49"/>
      <c r="Z1139" s="49"/>
    </row>
    <row r="1140">
      <c r="A1140" s="49"/>
      <c r="B1140" s="49"/>
      <c r="C1140" s="91"/>
      <c r="D1140" s="49"/>
      <c r="E1140" s="49"/>
      <c r="F1140" s="49"/>
      <c r="G1140" s="49"/>
      <c r="H1140" s="49"/>
      <c r="I1140" s="49"/>
      <c r="J1140" s="49"/>
      <c r="K1140" s="49"/>
      <c r="L1140" s="49"/>
      <c r="M1140" s="49"/>
      <c r="N1140" s="49"/>
      <c r="O1140" s="49"/>
      <c r="P1140" s="49"/>
      <c r="Q1140" s="49"/>
      <c r="R1140" s="49"/>
      <c r="S1140" s="49"/>
      <c r="T1140" s="49"/>
      <c r="U1140" s="49"/>
      <c r="V1140" s="49"/>
      <c r="W1140" s="49"/>
      <c r="X1140" s="49"/>
      <c r="Y1140" s="49"/>
      <c r="Z1140" s="49"/>
    </row>
    <row r="1141">
      <c r="A1141" s="49"/>
      <c r="B1141" s="49"/>
      <c r="C1141" s="91"/>
      <c r="D1141" s="49"/>
      <c r="E1141" s="49"/>
      <c r="F1141" s="49"/>
      <c r="G1141" s="49"/>
      <c r="H1141" s="49"/>
      <c r="I1141" s="49"/>
      <c r="J1141" s="49"/>
      <c r="K1141" s="49"/>
      <c r="L1141" s="49"/>
      <c r="M1141" s="49"/>
      <c r="N1141" s="49"/>
      <c r="O1141" s="49"/>
      <c r="P1141" s="49"/>
      <c r="Q1141" s="49"/>
      <c r="R1141" s="49"/>
      <c r="S1141" s="49"/>
      <c r="T1141" s="49"/>
      <c r="U1141" s="49"/>
      <c r="V1141" s="49"/>
      <c r="W1141" s="49"/>
      <c r="X1141" s="49"/>
      <c r="Y1141" s="49"/>
      <c r="Z1141" s="49"/>
    </row>
    <row r="1142">
      <c r="A1142" s="49"/>
      <c r="B1142" s="49"/>
      <c r="C1142" s="91"/>
      <c r="D1142" s="49"/>
      <c r="E1142" s="49"/>
      <c r="F1142" s="49"/>
      <c r="G1142" s="49"/>
      <c r="H1142" s="49"/>
      <c r="I1142" s="49"/>
      <c r="J1142" s="49"/>
      <c r="K1142" s="49"/>
      <c r="L1142" s="49"/>
      <c r="M1142" s="49"/>
      <c r="N1142" s="49"/>
      <c r="O1142" s="49"/>
      <c r="P1142" s="49"/>
      <c r="Q1142" s="49"/>
      <c r="R1142" s="49"/>
      <c r="S1142" s="49"/>
      <c r="T1142" s="49"/>
      <c r="U1142" s="49"/>
      <c r="V1142" s="49"/>
      <c r="W1142" s="49"/>
      <c r="X1142" s="49"/>
      <c r="Y1142" s="49"/>
      <c r="Z1142" s="49"/>
    </row>
    <row r="1143">
      <c r="A1143" s="49"/>
      <c r="B1143" s="49"/>
      <c r="C1143" s="91"/>
      <c r="D1143" s="49"/>
      <c r="E1143" s="49"/>
      <c r="F1143" s="49"/>
      <c r="G1143" s="49"/>
      <c r="H1143" s="49"/>
      <c r="I1143" s="49"/>
      <c r="J1143" s="49"/>
      <c r="K1143" s="49"/>
      <c r="L1143" s="49"/>
      <c r="M1143" s="49"/>
      <c r="N1143" s="49"/>
      <c r="O1143" s="49"/>
      <c r="P1143" s="49"/>
      <c r="Q1143" s="49"/>
      <c r="R1143" s="49"/>
      <c r="S1143" s="49"/>
      <c r="T1143" s="49"/>
      <c r="U1143" s="49"/>
      <c r="V1143" s="49"/>
      <c r="W1143" s="49"/>
      <c r="X1143" s="49"/>
      <c r="Y1143" s="49"/>
      <c r="Z1143" s="49"/>
    </row>
    <row r="1144">
      <c r="A1144" s="49"/>
      <c r="B1144" s="49"/>
      <c r="C1144" s="91"/>
      <c r="D1144" s="49"/>
      <c r="E1144" s="49"/>
      <c r="F1144" s="49"/>
      <c r="G1144" s="49"/>
      <c r="H1144" s="49"/>
      <c r="I1144" s="49"/>
      <c r="J1144" s="49"/>
      <c r="K1144" s="49"/>
      <c r="L1144" s="49"/>
      <c r="M1144" s="49"/>
      <c r="N1144" s="49"/>
      <c r="O1144" s="49"/>
      <c r="P1144" s="49"/>
      <c r="Q1144" s="49"/>
      <c r="R1144" s="49"/>
      <c r="S1144" s="49"/>
      <c r="T1144" s="49"/>
      <c r="U1144" s="49"/>
      <c r="V1144" s="49"/>
      <c r="W1144" s="49"/>
      <c r="X1144" s="49"/>
      <c r="Y1144" s="49"/>
      <c r="Z1144" s="49"/>
    </row>
    <row r="1145">
      <c r="A1145" s="49"/>
      <c r="B1145" s="49"/>
      <c r="C1145" s="91"/>
      <c r="D1145" s="49"/>
      <c r="E1145" s="49"/>
      <c r="F1145" s="49"/>
      <c r="G1145" s="49"/>
      <c r="H1145" s="49"/>
      <c r="I1145" s="49"/>
      <c r="J1145" s="49"/>
      <c r="K1145" s="49"/>
      <c r="L1145" s="49"/>
      <c r="M1145" s="49"/>
      <c r="N1145" s="49"/>
      <c r="O1145" s="49"/>
      <c r="P1145" s="49"/>
      <c r="Q1145" s="49"/>
      <c r="R1145" s="49"/>
      <c r="S1145" s="49"/>
      <c r="T1145" s="49"/>
      <c r="U1145" s="49"/>
      <c r="V1145" s="49"/>
      <c r="W1145" s="49"/>
      <c r="X1145" s="49"/>
      <c r="Y1145" s="49"/>
      <c r="Z1145" s="49"/>
    </row>
    <row r="1146">
      <c r="A1146" s="49"/>
      <c r="B1146" s="49"/>
      <c r="C1146" s="91"/>
      <c r="D1146" s="49"/>
      <c r="E1146" s="49"/>
      <c r="F1146" s="49"/>
      <c r="G1146" s="49"/>
      <c r="H1146" s="49"/>
      <c r="I1146" s="49"/>
      <c r="J1146" s="49"/>
      <c r="K1146" s="49"/>
      <c r="L1146" s="49"/>
      <c r="M1146" s="49"/>
      <c r="N1146" s="49"/>
      <c r="O1146" s="49"/>
      <c r="P1146" s="49"/>
      <c r="Q1146" s="49"/>
      <c r="R1146" s="49"/>
      <c r="S1146" s="49"/>
      <c r="T1146" s="49"/>
      <c r="U1146" s="49"/>
      <c r="V1146" s="49"/>
      <c r="W1146" s="49"/>
      <c r="X1146" s="49"/>
      <c r="Y1146" s="49"/>
      <c r="Z1146" s="49"/>
    </row>
    <row r="1147">
      <c r="A1147" s="49"/>
      <c r="B1147" s="49"/>
      <c r="C1147" s="91"/>
      <c r="D1147" s="49"/>
      <c r="E1147" s="49"/>
      <c r="F1147" s="49"/>
      <c r="G1147" s="49"/>
      <c r="H1147" s="49"/>
      <c r="I1147" s="49"/>
      <c r="J1147" s="49"/>
      <c r="K1147" s="49"/>
      <c r="L1147" s="49"/>
      <c r="M1147" s="49"/>
      <c r="N1147" s="49"/>
      <c r="O1147" s="49"/>
      <c r="P1147" s="49"/>
      <c r="Q1147" s="49"/>
      <c r="R1147" s="49"/>
      <c r="S1147" s="49"/>
      <c r="T1147" s="49"/>
      <c r="U1147" s="49"/>
      <c r="V1147" s="49"/>
      <c r="W1147" s="49"/>
      <c r="X1147" s="49"/>
      <c r="Y1147" s="49"/>
      <c r="Z1147" s="49"/>
    </row>
    <row r="1148">
      <c r="A1148" s="49"/>
      <c r="B1148" s="49"/>
      <c r="C1148" s="91"/>
      <c r="D1148" s="49"/>
      <c r="E1148" s="49"/>
      <c r="F1148" s="49"/>
      <c r="G1148" s="49"/>
      <c r="H1148" s="49"/>
      <c r="I1148" s="49"/>
      <c r="J1148" s="49"/>
      <c r="K1148" s="49"/>
      <c r="L1148" s="49"/>
      <c r="M1148" s="49"/>
      <c r="N1148" s="49"/>
      <c r="O1148" s="49"/>
      <c r="P1148" s="49"/>
      <c r="Q1148" s="49"/>
      <c r="R1148" s="49"/>
      <c r="S1148" s="49"/>
      <c r="T1148" s="49"/>
      <c r="U1148" s="49"/>
      <c r="V1148" s="49"/>
      <c r="W1148" s="49"/>
      <c r="X1148" s="49"/>
      <c r="Y1148" s="49"/>
      <c r="Z1148" s="49"/>
    </row>
    <row r="1149">
      <c r="A1149" s="49"/>
      <c r="B1149" s="49"/>
      <c r="C1149" s="91"/>
      <c r="D1149" s="49"/>
      <c r="E1149" s="49"/>
      <c r="F1149" s="49"/>
      <c r="G1149" s="49"/>
      <c r="H1149" s="49"/>
      <c r="I1149" s="49"/>
      <c r="J1149" s="49"/>
      <c r="K1149" s="49"/>
      <c r="L1149" s="49"/>
      <c r="M1149" s="49"/>
      <c r="N1149" s="49"/>
      <c r="O1149" s="49"/>
      <c r="P1149" s="49"/>
      <c r="Q1149" s="49"/>
      <c r="R1149" s="49"/>
      <c r="S1149" s="49"/>
      <c r="T1149" s="49"/>
      <c r="U1149" s="49"/>
      <c r="V1149" s="49"/>
      <c r="W1149" s="49"/>
      <c r="X1149" s="49"/>
      <c r="Y1149" s="49"/>
      <c r="Z1149" s="49"/>
    </row>
    <row r="1150">
      <c r="A1150" s="49"/>
      <c r="B1150" s="49"/>
      <c r="C1150" s="91"/>
      <c r="D1150" s="49"/>
      <c r="E1150" s="49"/>
      <c r="F1150" s="49"/>
      <c r="G1150" s="49"/>
      <c r="H1150" s="49"/>
      <c r="I1150" s="49"/>
      <c r="J1150" s="49"/>
      <c r="K1150" s="49"/>
      <c r="L1150" s="49"/>
      <c r="M1150" s="49"/>
      <c r="N1150" s="49"/>
      <c r="O1150" s="49"/>
      <c r="P1150" s="49"/>
      <c r="Q1150" s="49"/>
      <c r="R1150" s="49"/>
      <c r="S1150" s="49"/>
      <c r="T1150" s="49"/>
      <c r="U1150" s="49"/>
      <c r="V1150" s="49"/>
      <c r="W1150" s="49"/>
      <c r="X1150" s="49"/>
      <c r="Y1150" s="49"/>
      <c r="Z1150" s="49"/>
    </row>
    <row r="1151">
      <c r="A1151" s="49"/>
      <c r="B1151" s="49"/>
      <c r="C1151" s="91"/>
      <c r="D1151" s="49"/>
      <c r="E1151" s="49"/>
      <c r="F1151" s="49"/>
      <c r="G1151" s="49"/>
      <c r="H1151" s="49"/>
      <c r="I1151" s="49"/>
      <c r="J1151" s="49"/>
      <c r="K1151" s="49"/>
      <c r="L1151" s="49"/>
      <c r="M1151" s="49"/>
      <c r="N1151" s="49"/>
      <c r="O1151" s="49"/>
      <c r="P1151" s="49"/>
      <c r="Q1151" s="49"/>
      <c r="R1151" s="49"/>
      <c r="S1151" s="49"/>
      <c r="T1151" s="49"/>
      <c r="U1151" s="49"/>
      <c r="V1151" s="49"/>
      <c r="W1151" s="49"/>
      <c r="X1151" s="49"/>
      <c r="Y1151" s="49"/>
      <c r="Z1151" s="49"/>
    </row>
    <row r="1152">
      <c r="A1152" s="49"/>
      <c r="B1152" s="49"/>
      <c r="C1152" s="91"/>
      <c r="D1152" s="49"/>
      <c r="E1152" s="49"/>
      <c r="F1152" s="49"/>
      <c r="G1152" s="49"/>
      <c r="H1152" s="49"/>
      <c r="I1152" s="49"/>
      <c r="J1152" s="49"/>
      <c r="K1152" s="49"/>
      <c r="L1152" s="49"/>
      <c r="M1152" s="49"/>
      <c r="N1152" s="49"/>
      <c r="O1152" s="49"/>
      <c r="P1152" s="49"/>
      <c r="Q1152" s="49"/>
      <c r="R1152" s="49"/>
      <c r="S1152" s="49"/>
      <c r="T1152" s="49"/>
      <c r="U1152" s="49"/>
      <c r="V1152" s="49"/>
      <c r="W1152" s="49"/>
      <c r="X1152" s="49"/>
      <c r="Y1152" s="49"/>
      <c r="Z1152" s="49"/>
    </row>
    <row r="1153">
      <c r="A1153" s="49"/>
      <c r="B1153" s="49"/>
      <c r="C1153" s="91"/>
      <c r="D1153" s="49"/>
      <c r="E1153" s="49"/>
      <c r="F1153" s="49"/>
      <c r="G1153" s="49"/>
      <c r="H1153" s="49"/>
      <c r="I1153" s="49"/>
      <c r="J1153" s="49"/>
      <c r="K1153" s="49"/>
      <c r="L1153" s="49"/>
      <c r="M1153" s="49"/>
      <c r="N1153" s="49"/>
      <c r="O1153" s="49"/>
      <c r="P1153" s="49"/>
      <c r="Q1153" s="49"/>
      <c r="R1153" s="49"/>
      <c r="S1153" s="49"/>
      <c r="T1153" s="49"/>
      <c r="U1153" s="49"/>
      <c r="V1153" s="49"/>
      <c r="W1153" s="49"/>
      <c r="X1153" s="49"/>
      <c r="Y1153" s="49"/>
      <c r="Z1153" s="49"/>
    </row>
    <row r="1154">
      <c r="A1154" s="49"/>
      <c r="B1154" s="49"/>
      <c r="C1154" s="91"/>
      <c r="D1154" s="49"/>
      <c r="E1154" s="49"/>
      <c r="F1154" s="49"/>
      <c r="G1154" s="49"/>
      <c r="H1154" s="49"/>
      <c r="I1154" s="49"/>
      <c r="J1154" s="49"/>
      <c r="K1154" s="49"/>
      <c r="L1154" s="49"/>
      <c r="M1154" s="49"/>
      <c r="N1154" s="49"/>
      <c r="O1154" s="49"/>
      <c r="P1154" s="49"/>
      <c r="Q1154" s="49"/>
      <c r="R1154" s="49"/>
      <c r="S1154" s="49"/>
      <c r="T1154" s="49"/>
      <c r="U1154" s="49"/>
      <c r="V1154" s="49"/>
      <c r="W1154" s="49"/>
      <c r="X1154" s="49"/>
      <c r="Y1154" s="49"/>
      <c r="Z1154" s="49"/>
    </row>
    <row r="1155">
      <c r="A1155" s="49"/>
      <c r="B1155" s="49"/>
      <c r="C1155" s="91"/>
      <c r="D1155" s="49"/>
      <c r="E1155" s="49"/>
      <c r="F1155" s="49"/>
      <c r="G1155" s="49"/>
      <c r="H1155" s="49"/>
      <c r="I1155" s="49"/>
      <c r="J1155" s="49"/>
      <c r="K1155" s="49"/>
      <c r="L1155" s="49"/>
      <c r="M1155" s="49"/>
      <c r="N1155" s="49"/>
      <c r="O1155" s="49"/>
      <c r="P1155" s="49"/>
      <c r="Q1155" s="49"/>
      <c r="R1155" s="49"/>
      <c r="S1155" s="49"/>
      <c r="T1155" s="49"/>
      <c r="U1155" s="49"/>
      <c r="V1155" s="49"/>
      <c r="W1155" s="49"/>
      <c r="X1155" s="49"/>
      <c r="Y1155" s="49"/>
      <c r="Z1155" s="49"/>
    </row>
    <row r="1156">
      <c r="A1156" s="49"/>
      <c r="B1156" s="49"/>
      <c r="C1156" s="91"/>
      <c r="D1156" s="49"/>
      <c r="E1156" s="49"/>
      <c r="F1156" s="49"/>
      <c r="G1156" s="49"/>
      <c r="H1156" s="49"/>
      <c r="I1156" s="49"/>
      <c r="J1156" s="49"/>
      <c r="K1156" s="49"/>
      <c r="L1156" s="49"/>
      <c r="M1156" s="49"/>
      <c r="N1156" s="49"/>
      <c r="O1156" s="49"/>
      <c r="P1156" s="49"/>
      <c r="Q1156" s="49"/>
      <c r="R1156" s="49"/>
      <c r="S1156" s="49"/>
      <c r="T1156" s="49"/>
      <c r="U1156" s="49"/>
      <c r="V1156" s="49"/>
      <c r="W1156" s="49"/>
      <c r="X1156" s="49"/>
      <c r="Y1156" s="49"/>
      <c r="Z1156" s="49"/>
    </row>
    <row r="1157">
      <c r="A1157" s="49"/>
      <c r="B1157" s="49"/>
      <c r="C1157" s="91"/>
      <c r="D1157" s="49"/>
      <c r="E1157" s="49"/>
      <c r="F1157" s="49"/>
      <c r="G1157" s="49"/>
      <c r="H1157" s="49"/>
      <c r="I1157" s="49"/>
      <c r="J1157" s="49"/>
      <c r="K1157" s="49"/>
      <c r="L1157" s="49"/>
      <c r="M1157" s="49"/>
      <c r="N1157" s="49"/>
      <c r="O1157" s="49"/>
      <c r="P1157" s="49"/>
      <c r="Q1157" s="49"/>
      <c r="R1157" s="49"/>
      <c r="S1157" s="49"/>
      <c r="T1157" s="49"/>
      <c r="U1157" s="49"/>
      <c r="V1157" s="49"/>
      <c r="W1157" s="49"/>
      <c r="X1157" s="49"/>
      <c r="Y1157" s="49"/>
      <c r="Z1157" s="49"/>
    </row>
    <row r="1158">
      <c r="A1158" s="49"/>
      <c r="B1158" s="49"/>
      <c r="C1158" s="91"/>
      <c r="D1158" s="49"/>
      <c r="E1158" s="49"/>
      <c r="F1158" s="49"/>
      <c r="G1158" s="49"/>
      <c r="H1158" s="49"/>
      <c r="I1158" s="49"/>
      <c r="J1158" s="49"/>
      <c r="K1158" s="49"/>
      <c r="L1158" s="49"/>
      <c r="M1158" s="49"/>
      <c r="N1158" s="49"/>
      <c r="O1158" s="49"/>
      <c r="P1158" s="49"/>
      <c r="Q1158" s="49"/>
      <c r="R1158" s="49"/>
      <c r="S1158" s="49"/>
      <c r="T1158" s="49"/>
      <c r="U1158" s="49"/>
      <c r="V1158" s="49"/>
      <c r="W1158" s="49"/>
      <c r="X1158" s="49"/>
      <c r="Y1158" s="49"/>
      <c r="Z1158" s="49"/>
    </row>
    <row r="1159">
      <c r="A1159" s="49"/>
      <c r="B1159" s="49"/>
      <c r="C1159" s="91"/>
      <c r="D1159" s="49"/>
      <c r="E1159" s="49"/>
      <c r="F1159" s="49"/>
      <c r="G1159" s="49"/>
      <c r="H1159" s="49"/>
      <c r="I1159" s="49"/>
      <c r="J1159" s="49"/>
      <c r="K1159" s="49"/>
      <c r="L1159" s="49"/>
      <c r="M1159" s="49"/>
      <c r="N1159" s="49"/>
      <c r="O1159" s="49"/>
      <c r="P1159" s="49"/>
      <c r="Q1159" s="49"/>
      <c r="R1159" s="49"/>
      <c r="S1159" s="49"/>
      <c r="T1159" s="49"/>
      <c r="U1159" s="49"/>
      <c r="V1159" s="49"/>
      <c r="W1159" s="49"/>
      <c r="X1159" s="49"/>
      <c r="Y1159" s="49"/>
      <c r="Z1159" s="49"/>
    </row>
    <row r="1160">
      <c r="A1160" s="49"/>
      <c r="B1160" s="49"/>
      <c r="C1160" s="91"/>
      <c r="D1160" s="49"/>
      <c r="E1160" s="49"/>
      <c r="F1160" s="49"/>
      <c r="G1160" s="49"/>
      <c r="H1160" s="49"/>
      <c r="I1160" s="49"/>
      <c r="J1160" s="49"/>
      <c r="K1160" s="49"/>
      <c r="L1160" s="49"/>
      <c r="M1160" s="49"/>
      <c r="N1160" s="49"/>
      <c r="O1160" s="49"/>
      <c r="P1160" s="49"/>
      <c r="Q1160" s="49"/>
      <c r="R1160" s="49"/>
      <c r="S1160" s="49"/>
      <c r="T1160" s="49"/>
      <c r="U1160" s="49"/>
      <c r="V1160" s="49"/>
      <c r="W1160" s="49"/>
      <c r="X1160" s="49"/>
      <c r="Y1160" s="49"/>
      <c r="Z1160" s="49"/>
    </row>
    <row r="1161">
      <c r="A1161" s="49"/>
      <c r="B1161" s="49"/>
      <c r="C1161" s="91"/>
      <c r="D1161" s="49"/>
      <c r="E1161" s="49"/>
      <c r="F1161" s="49"/>
      <c r="G1161" s="49"/>
      <c r="H1161" s="49"/>
      <c r="I1161" s="49"/>
      <c r="J1161" s="49"/>
      <c r="K1161" s="49"/>
      <c r="L1161" s="49"/>
      <c r="M1161" s="49"/>
      <c r="N1161" s="49"/>
      <c r="O1161" s="49"/>
      <c r="P1161" s="49"/>
      <c r="Q1161" s="49"/>
      <c r="R1161" s="49"/>
      <c r="S1161" s="49"/>
      <c r="T1161" s="49"/>
      <c r="U1161" s="49"/>
      <c r="V1161" s="49"/>
      <c r="W1161" s="49"/>
      <c r="X1161" s="49"/>
      <c r="Y1161" s="49"/>
      <c r="Z1161" s="49"/>
    </row>
    <row r="1162">
      <c r="A1162" s="49"/>
      <c r="B1162" s="49"/>
      <c r="C1162" s="91"/>
      <c r="D1162" s="49"/>
      <c r="E1162" s="49"/>
      <c r="F1162" s="49"/>
      <c r="G1162" s="49"/>
      <c r="H1162" s="49"/>
      <c r="I1162" s="49"/>
      <c r="J1162" s="49"/>
      <c r="K1162" s="49"/>
      <c r="L1162" s="49"/>
      <c r="M1162" s="49"/>
      <c r="N1162" s="49"/>
      <c r="O1162" s="49"/>
      <c r="P1162" s="49"/>
      <c r="Q1162" s="49"/>
      <c r="R1162" s="49"/>
      <c r="S1162" s="49"/>
      <c r="T1162" s="49"/>
      <c r="U1162" s="49"/>
      <c r="V1162" s="49"/>
      <c r="W1162" s="49"/>
      <c r="X1162" s="49"/>
      <c r="Y1162" s="49"/>
      <c r="Z1162" s="49"/>
    </row>
    <row r="1163">
      <c r="A1163" s="49"/>
      <c r="B1163" s="49"/>
      <c r="C1163" s="91"/>
      <c r="D1163" s="49"/>
      <c r="E1163" s="49"/>
      <c r="F1163" s="49"/>
      <c r="G1163" s="49"/>
      <c r="H1163" s="49"/>
      <c r="I1163" s="49"/>
      <c r="J1163" s="49"/>
      <c r="K1163" s="49"/>
      <c r="L1163" s="49"/>
      <c r="M1163" s="49"/>
      <c r="N1163" s="49"/>
      <c r="O1163" s="49"/>
      <c r="P1163" s="49"/>
      <c r="Q1163" s="49"/>
      <c r="R1163" s="49"/>
      <c r="S1163" s="49"/>
      <c r="T1163" s="49"/>
      <c r="U1163" s="49"/>
      <c r="V1163" s="49"/>
      <c r="W1163" s="49"/>
      <c r="X1163" s="49"/>
      <c r="Y1163" s="49"/>
      <c r="Z1163" s="49"/>
    </row>
    <row r="1164">
      <c r="A1164" s="49"/>
      <c r="B1164" s="49"/>
      <c r="C1164" s="91"/>
      <c r="D1164" s="49"/>
      <c r="E1164" s="49"/>
      <c r="F1164" s="49"/>
      <c r="G1164" s="49"/>
      <c r="H1164" s="49"/>
      <c r="I1164" s="49"/>
      <c r="J1164" s="49"/>
      <c r="K1164" s="49"/>
      <c r="L1164" s="49"/>
      <c r="M1164" s="49"/>
      <c r="N1164" s="49"/>
      <c r="O1164" s="49"/>
      <c r="P1164" s="49"/>
      <c r="Q1164" s="49"/>
      <c r="R1164" s="49"/>
      <c r="S1164" s="49"/>
      <c r="T1164" s="49"/>
      <c r="U1164" s="49"/>
      <c r="V1164" s="49"/>
      <c r="W1164" s="49"/>
      <c r="X1164" s="49"/>
      <c r="Y1164" s="49"/>
      <c r="Z1164" s="49"/>
    </row>
    <row r="1165">
      <c r="A1165" s="49"/>
      <c r="B1165" s="49"/>
      <c r="C1165" s="91"/>
      <c r="D1165" s="49"/>
      <c r="E1165" s="49"/>
      <c r="F1165" s="49"/>
      <c r="G1165" s="49"/>
      <c r="H1165" s="49"/>
      <c r="I1165" s="49"/>
      <c r="J1165" s="49"/>
      <c r="K1165" s="49"/>
      <c r="L1165" s="49"/>
      <c r="M1165" s="49"/>
      <c r="N1165" s="49"/>
      <c r="O1165" s="49"/>
      <c r="P1165" s="49"/>
      <c r="Q1165" s="49"/>
      <c r="R1165" s="49"/>
      <c r="S1165" s="49"/>
      <c r="T1165" s="49"/>
      <c r="U1165" s="49"/>
      <c r="V1165" s="49"/>
      <c r="W1165" s="49"/>
      <c r="X1165" s="49"/>
      <c r="Y1165" s="49"/>
      <c r="Z1165" s="49"/>
    </row>
    <row r="1166">
      <c r="A1166" s="49"/>
      <c r="B1166" s="49"/>
      <c r="C1166" s="91"/>
      <c r="D1166" s="49"/>
      <c r="E1166" s="49"/>
      <c r="F1166" s="49"/>
      <c r="G1166" s="49"/>
      <c r="H1166" s="49"/>
      <c r="I1166" s="49"/>
      <c r="J1166" s="49"/>
      <c r="K1166" s="49"/>
      <c r="L1166" s="49"/>
      <c r="M1166" s="49"/>
      <c r="N1166" s="49"/>
      <c r="O1166" s="49"/>
      <c r="P1166" s="49"/>
      <c r="Q1166" s="49"/>
      <c r="R1166" s="49"/>
      <c r="S1166" s="49"/>
      <c r="T1166" s="49"/>
      <c r="U1166" s="49"/>
      <c r="V1166" s="49"/>
      <c r="W1166" s="49"/>
      <c r="X1166" s="49"/>
      <c r="Y1166" s="49"/>
      <c r="Z1166" s="49"/>
    </row>
    <row r="1167">
      <c r="A1167" s="49"/>
      <c r="B1167" s="49"/>
      <c r="C1167" s="91"/>
      <c r="D1167" s="49"/>
      <c r="E1167" s="49"/>
      <c r="F1167" s="49"/>
      <c r="G1167" s="49"/>
      <c r="H1167" s="49"/>
      <c r="I1167" s="49"/>
      <c r="J1167" s="49"/>
      <c r="K1167" s="49"/>
      <c r="L1167" s="49"/>
      <c r="M1167" s="49"/>
      <c r="N1167" s="49"/>
      <c r="O1167" s="49"/>
      <c r="P1167" s="49"/>
      <c r="Q1167" s="49"/>
      <c r="R1167" s="49"/>
      <c r="S1167" s="49"/>
      <c r="T1167" s="49"/>
      <c r="U1167" s="49"/>
      <c r="V1167" s="49"/>
      <c r="W1167" s="49"/>
      <c r="X1167" s="49"/>
      <c r="Y1167" s="49"/>
      <c r="Z1167" s="49"/>
    </row>
    <row r="1168">
      <c r="A1168" s="49"/>
      <c r="B1168" s="49"/>
      <c r="C1168" s="91"/>
      <c r="D1168" s="49"/>
      <c r="E1168" s="49"/>
      <c r="F1168" s="49"/>
      <c r="G1168" s="49"/>
      <c r="H1168" s="49"/>
      <c r="I1168" s="49"/>
      <c r="J1168" s="49"/>
      <c r="K1168" s="49"/>
      <c r="L1168" s="49"/>
      <c r="M1168" s="49"/>
      <c r="N1168" s="49"/>
      <c r="O1168" s="49"/>
      <c r="P1168" s="49"/>
      <c r="Q1168" s="49"/>
      <c r="R1168" s="49"/>
      <c r="S1168" s="49"/>
      <c r="T1168" s="49"/>
      <c r="U1168" s="49"/>
      <c r="V1168" s="49"/>
      <c r="W1168" s="49"/>
      <c r="X1168" s="49"/>
      <c r="Y1168" s="49"/>
      <c r="Z1168" s="49"/>
    </row>
    <row r="1169">
      <c r="A1169" s="49"/>
      <c r="B1169" s="49"/>
      <c r="C1169" s="91"/>
      <c r="D1169" s="49"/>
      <c r="E1169" s="49"/>
      <c r="F1169" s="49"/>
      <c r="G1169" s="49"/>
      <c r="H1169" s="49"/>
      <c r="I1169" s="49"/>
      <c r="J1169" s="49"/>
      <c r="K1169" s="49"/>
      <c r="L1169" s="49"/>
      <c r="M1169" s="49"/>
      <c r="N1169" s="49"/>
      <c r="O1169" s="49"/>
      <c r="P1169" s="49"/>
      <c r="Q1169" s="49"/>
      <c r="R1169" s="49"/>
      <c r="S1169" s="49"/>
      <c r="T1169" s="49"/>
      <c r="U1169" s="49"/>
      <c r="V1169" s="49"/>
      <c r="W1169" s="49"/>
      <c r="X1169" s="49"/>
      <c r="Y1169" s="49"/>
      <c r="Z1169" s="49"/>
    </row>
    <row r="1170">
      <c r="A1170" s="49"/>
      <c r="B1170" s="49"/>
      <c r="C1170" s="91"/>
      <c r="D1170" s="49"/>
      <c r="E1170" s="49"/>
      <c r="F1170" s="49"/>
      <c r="G1170" s="49"/>
      <c r="H1170" s="49"/>
      <c r="I1170" s="49"/>
      <c r="J1170" s="49"/>
      <c r="K1170" s="49"/>
      <c r="L1170" s="49"/>
      <c r="M1170" s="49"/>
      <c r="N1170" s="49"/>
      <c r="O1170" s="49"/>
      <c r="P1170" s="49"/>
      <c r="Q1170" s="49"/>
      <c r="R1170" s="49"/>
      <c r="S1170" s="49"/>
      <c r="T1170" s="49"/>
      <c r="U1170" s="49"/>
      <c r="V1170" s="49"/>
      <c r="W1170" s="49"/>
      <c r="X1170" s="49"/>
      <c r="Y1170" s="49"/>
      <c r="Z1170" s="49"/>
    </row>
    <row r="1171">
      <c r="A1171" s="49"/>
      <c r="B1171" s="49"/>
      <c r="C1171" s="91"/>
      <c r="D1171" s="49"/>
      <c r="E1171" s="49"/>
      <c r="F1171" s="49"/>
      <c r="G1171" s="49"/>
      <c r="H1171" s="49"/>
      <c r="I1171" s="49"/>
      <c r="J1171" s="49"/>
      <c r="K1171" s="49"/>
      <c r="L1171" s="49"/>
      <c r="M1171" s="49"/>
      <c r="N1171" s="49"/>
      <c r="O1171" s="49"/>
      <c r="P1171" s="49"/>
      <c r="Q1171" s="49"/>
      <c r="R1171" s="49"/>
      <c r="S1171" s="49"/>
      <c r="T1171" s="49"/>
      <c r="U1171" s="49"/>
      <c r="V1171" s="49"/>
      <c r="W1171" s="49"/>
      <c r="X1171" s="49"/>
      <c r="Y1171" s="49"/>
      <c r="Z1171" s="49"/>
    </row>
    <row r="1172">
      <c r="A1172" s="49"/>
      <c r="B1172" s="49"/>
      <c r="C1172" s="91"/>
      <c r="D1172" s="49"/>
      <c r="E1172" s="49"/>
      <c r="F1172" s="49"/>
      <c r="G1172" s="49"/>
      <c r="H1172" s="49"/>
      <c r="I1172" s="49"/>
      <c r="J1172" s="49"/>
      <c r="K1172" s="49"/>
      <c r="L1172" s="49"/>
      <c r="M1172" s="49"/>
      <c r="N1172" s="49"/>
      <c r="O1172" s="49"/>
      <c r="P1172" s="49"/>
      <c r="Q1172" s="49"/>
      <c r="R1172" s="49"/>
      <c r="S1172" s="49"/>
      <c r="T1172" s="49"/>
      <c r="U1172" s="49"/>
      <c r="V1172" s="49"/>
      <c r="W1172" s="49"/>
      <c r="X1172" s="49"/>
      <c r="Y1172" s="49"/>
      <c r="Z1172" s="49"/>
    </row>
    <row r="1173">
      <c r="A1173" s="49"/>
      <c r="B1173" s="49"/>
      <c r="C1173" s="91"/>
      <c r="D1173" s="49"/>
      <c r="E1173" s="49"/>
      <c r="F1173" s="49"/>
      <c r="G1173" s="49"/>
      <c r="H1173" s="49"/>
      <c r="I1173" s="49"/>
      <c r="J1173" s="49"/>
      <c r="K1173" s="49"/>
      <c r="L1173" s="49"/>
      <c r="M1173" s="49"/>
      <c r="N1173" s="49"/>
      <c r="O1173" s="49"/>
      <c r="P1173" s="49"/>
      <c r="Q1173" s="49"/>
      <c r="R1173" s="49"/>
      <c r="S1173" s="49"/>
      <c r="T1173" s="49"/>
      <c r="U1173" s="49"/>
      <c r="V1173" s="49"/>
      <c r="W1173" s="49"/>
      <c r="X1173" s="49"/>
      <c r="Y1173" s="49"/>
      <c r="Z1173" s="49"/>
    </row>
    <row r="1174">
      <c r="A1174" s="49"/>
      <c r="B1174" s="49"/>
      <c r="C1174" s="91"/>
      <c r="D1174" s="49"/>
      <c r="E1174" s="49"/>
      <c r="F1174" s="49"/>
      <c r="G1174" s="49"/>
      <c r="H1174" s="49"/>
      <c r="I1174" s="49"/>
      <c r="J1174" s="49"/>
      <c r="K1174" s="49"/>
      <c r="L1174" s="49"/>
      <c r="M1174" s="49"/>
      <c r="N1174" s="49"/>
      <c r="O1174" s="49"/>
      <c r="P1174" s="49"/>
      <c r="Q1174" s="49"/>
      <c r="R1174" s="49"/>
      <c r="S1174" s="49"/>
      <c r="T1174" s="49"/>
      <c r="U1174" s="49"/>
      <c r="V1174" s="49"/>
      <c r="W1174" s="49"/>
      <c r="X1174" s="49"/>
      <c r="Y1174" s="49"/>
      <c r="Z1174" s="49"/>
    </row>
    <row r="1175">
      <c r="A1175" s="49"/>
      <c r="B1175" s="49"/>
      <c r="C1175" s="91"/>
      <c r="D1175" s="49"/>
      <c r="E1175" s="49"/>
      <c r="F1175" s="49"/>
      <c r="G1175" s="49"/>
      <c r="H1175" s="49"/>
      <c r="I1175" s="49"/>
      <c r="J1175" s="49"/>
      <c r="K1175" s="49"/>
      <c r="L1175" s="49"/>
      <c r="M1175" s="49"/>
      <c r="N1175" s="49"/>
      <c r="O1175" s="49"/>
      <c r="P1175" s="49"/>
      <c r="Q1175" s="49"/>
      <c r="R1175" s="49"/>
      <c r="S1175" s="49"/>
      <c r="T1175" s="49"/>
      <c r="U1175" s="49"/>
      <c r="V1175" s="49"/>
      <c r="W1175" s="49"/>
      <c r="X1175" s="49"/>
      <c r="Y1175" s="49"/>
      <c r="Z1175" s="49"/>
    </row>
    <row r="1176">
      <c r="A1176" s="49"/>
      <c r="B1176" s="49"/>
      <c r="C1176" s="91"/>
      <c r="D1176" s="49"/>
      <c r="E1176" s="49"/>
      <c r="F1176" s="49"/>
      <c r="G1176" s="49"/>
      <c r="H1176" s="49"/>
      <c r="I1176" s="49"/>
      <c r="J1176" s="49"/>
      <c r="K1176" s="49"/>
      <c r="L1176" s="49"/>
      <c r="M1176" s="49"/>
      <c r="N1176" s="49"/>
      <c r="O1176" s="49"/>
      <c r="P1176" s="49"/>
      <c r="Q1176" s="49"/>
      <c r="R1176" s="49"/>
      <c r="S1176" s="49"/>
      <c r="T1176" s="49"/>
      <c r="U1176" s="49"/>
      <c r="V1176" s="49"/>
      <c r="W1176" s="49"/>
      <c r="X1176" s="49"/>
      <c r="Y1176" s="49"/>
      <c r="Z1176" s="49"/>
    </row>
    <row r="1177">
      <c r="A1177" s="49"/>
      <c r="B1177" s="49"/>
      <c r="C1177" s="91"/>
      <c r="D1177" s="49"/>
      <c r="E1177" s="49"/>
      <c r="F1177" s="49"/>
      <c r="G1177" s="49"/>
      <c r="H1177" s="49"/>
      <c r="I1177" s="49"/>
      <c r="J1177" s="49"/>
      <c r="K1177" s="49"/>
      <c r="L1177" s="49"/>
      <c r="M1177" s="49"/>
      <c r="N1177" s="49"/>
      <c r="O1177" s="49"/>
      <c r="P1177" s="49"/>
      <c r="Q1177" s="49"/>
      <c r="R1177" s="49"/>
      <c r="S1177" s="49"/>
      <c r="T1177" s="49"/>
      <c r="U1177" s="49"/>
      <c r="V1177" s="49"/>
      <c r="W1177" s="49"/>
      <c r="X1177" s="49"/>
      <c r="Y1177" s="49"/>
      <c r="Z1177" s="49"/>
    </row>
    <row r="1178">
      <c r="A1178" s="49"/>
      <c r="B1178" s="49"/>
      <c r="C1178" s="91"/>
      <c r="D1178" s="49"/>
      <c r="E1178" s="49"/>
      <c r="F1178" s="49"/>
      <c r="G1178" s="49"/>
      <c r="H1178" s="49"/>
      <c r="I1178" s="49"/>
      <c r="J1178" s="49"/>
      <c r="K1178" s="49"/>
      <c r="L1178" s="49"/>
      <c r="M1178" s="49"/>
      <c r="N1178" s="49"/>
      <c r="O1178" s="49"/>
      <c r="P1178" s="49"/>
      <c r="Q1178" s="49"/>
      <c r="R1178" s="49"/>
      <c r="S1178" s="49"/>
      <c r="T1178" s="49"/>
      <c r="U1178" s="49"/>
      <c r="V1178" s="49"/>
      <c r="W1178" s="49"/>
      <c r="X1178" s="49"/>
      <c r="Y1178" s="49"/>
      <c r="Z1178" s="49"/>
    </row>
    <row r="1179">
      <c r="A1179" s="49"/>
      <c r="B1179" s="49"/>
      <c r="C1179" s="91"/>
      <c r="D1179" s="49"/>
      <c r="E1179" s="49"/>
      <c r="F1179" s="49"/>
      <c r="G1179" s="49"/>
      <c r="H1179" s="49"/>
      <c r="I1179" s="49"/>
      <c r="J1179" s="49"/>
      <c r="K1179" s="49"/>
      <c r="L1179" s="49"/>
      <c r="M1179" s="49"/>
      <c r="N1179" s="49"/>
      <c r="O1179" s="49"/>
      <c r="P1179" s="49"/>
      <c r="Q1179" s="49"/>
      <c r="R1179" s="49"/>
      <c r="S1179" s="49"/>
      <c r="T1179" s="49"/>
      <c r="U1179" s="49"/>
      <c r="V1179" s="49"/>
      <c r="W1179" s="49"/>
      <c r="X1179" s="49"/>
      <c r="Y1179" s="49"/>
      <c r="Z1179" s="49"/>
    </row>
    <row r="1180">
      <c r="A1180" s="49"/>
      <c r="B1180" s="49"/>
      <c r="C1180" s="91"/>
      <c r="D1180" s="49"/>
      <c r="E1180" s="49"/>
      <c r="F1180" s="49"/>
      <c r="G1180" s="49"/>
      <c r="H1180" s="49"/>
      <c r="I1180" s="49"/>
      <c r="J1180" s="49"/>
      <c r="K1180" s="49"/>
      <c r="L1180" s="49"/>
      <c r="M1180" s="49"/>
      <c r="N1180" s="49"/>
      <c r="O1180" s="49"/>
      <c r="P1180" s="49"/>
      <c r="Q1180" s="49"/>
      <c r="R1180" s="49"/>
      <c r="S1180" s="49"/>
      <c r="T1180" s="49"/>
      <c r="U1180" s="49"/>
      <c r="V1180" s="49"/>
      <c r="W1180" s="49"/>
      <c r="X1180" s="49"/>
      <c r="Y1180" s="49"/>
      <c r="Z1180" s="49"/>
    </row>
    <row r="1181">
      <c r="A1181" s="49"/>
      <c r="B1181" s="49"/>
      <c r="C1181" s="91"/>
      <c r="D1181" s="49"/>
      <c r="E1181" s="49"/>
      <c r="F1181" s="49"/>
      <c r="G1181" s="49"/>
      <c r="H1181" s="49"/>
      <c r="I1181" s="49"/>
      <c r="J1181" s="49"/>
      <c r="K1181" s="49"/>
      <c r="L1181" s="49"/>
      <c r="M1181" s="49"/>
      <c r="N1181" s="49"/>
      <c r="O1181" s="49"/>
      <c r="P1181" s="49"/>
      <c r="Q1181" s="49"/>
      <c r="R1181" s="49"/>
      <c r="S1181" s="49"/>
      <c r="T1181" s="49"/>
      <c r="U1181" s="49"/>
      <c r="V1181" s="49"/>
      <c r="W1181" s="49"/>
      <c r="X1181" s="49"/>
      <c r="Y1181" s="49"/>
      <c r="Z1181" s="49"/>
    </row>
    <row r="1182">
      <c r="A1182" s="49"/>
      <c r="B1182" s="49"/>
      <c r="C1182" s="91"/>
      <c r="D1182" s="49"/>
      <c r="E1182" s="49"/>
      <c r="F1182" s="49"/>
      <c r="G1182" s="49"/>
      <c r="H1182" s="49"/>
      <c r="I1182" s="49"/>
      <c r="J1182" s="49"/>
      <c r="K1182" s="49"/>
      <c r="L1182" s="49"/>
      <c r="M1182" s="49"/>
      <c r="N1182" s="49"/>
      <c r="O1182" s="49"/>
      <c r="P1182" s="49"/>
      <c r="Q1182" s="49"/>
      <c r="R1182" s="49"/>
      <c r="S1182" s="49"/>
      <c r="T1182" s="49"/>
      <c r="U1182" s="49"/>
      <c r="V1182" s="49"/>
      <c r="W1182" s="49"/>
      <c r="X1182" s="49"/>
      <c r="Y1182" s="49"/>
      <c r="Z1182" s="49"/>
    </row>
    <row r="1183">
      <c r="A1183" s="49"/>
      <c r="B1183" s="49"/>
      <c r="C1183" s="91"/>
      <c r="D1183" s="49"/>
      <c r="E1183" s="49"/>
      <c r="F1183" s="49"/>
      <c r="G1183" s="49"/>
      <c r="H1183" s="49"/>
      <c r="I1183" s="49"/>
      <c r="J1183" s="49"/>
      <c r="K1183" s="49"/>
      <c r="L1183" s="49"/>
      <c r="M1183" s="49"/>
      <c r="N1183" s="49"/>
      <c r="O1183" s="49"/>
      <c r="P1183" s="49"/>
      <c r="Q1183" s="49"/>
      <c r="R1183" s="49"/>
      <c r="S1183" s="49"/>
      <c r="T1183" s="49"/>
      <c r="U1183" s="49"/>
      <c r="V1183" s="49"/>
      <c r="W1183" s="49"/>
      <c r="X1183" s="49"/>
      <c r="Y1183" s="49"/>
      <c r="Z1183" s="49"/>
    </row>
    <row r="1184">
      <c r="A1184" s="49"/>
      <c r="B1184" s="49"/>
      <c r="C1184" s="91"/>
      <c r="D1184" s="49"/>
      <c r="E1184" s="49"/>
      <c r="F1184" s="49"/>
      <c r="G1184" s="49"/>
      <c r="H1184" s="49"/>
      <c r="I1184" s="49"/>
      <c r="J1184" s="49"/>
      <c r="K1184" s="49"/>
      <c r="L1184" s="49"/>
      <c r="M1184" s="49"/>
      <c r="N1184" s="49"/>
      <c r="O1184" s="49"/>
      <c r="P1184" s="49"/>
      <c r="Q1184" s="49"/>
      <c r="R1184" s="49"/>
      <c r="S1184" s="49"/>
      <c r="T1184" s="49"/>
      <c r="U1184" s="49"/>
      <c r="V1184" s="49"/>
      <c r="W1184" s="49"/>
      <c r="X1184" s="49"/>
      <c r="Y1184" s="49"/>
      <c r="Z1184" s="49"/>
    </row>
    <row r="1185">
      <c r="A1185" s="49"/>
      <c r="B1185" s="49"/>
      <c r="C1185" s="91"/>
      <c r="D1185" s="49"/>
      <c r="E1185" s="49"/>
      <c r="F1185" s="49"/>
      <c r="G1185" s="49"/>
      <c r="H1185" s="49"/>
      <c r="I1185" s="49"/>
      <c r="J1185" s="49"/>
      <c r="K1185" s="49"/>
      <c r="L1185" s="49"/>
      <c r="M1185" s="49"/>
      <c r="N1185" s="49"/>
      <c r="O1185" s="49"/>
      <c r="P1185" s="49"/>
      <c r="Q1185" s="49"/>
      <c r="R1185" s="49"/>
      <c r="S1185" s="49"/>
      <c r="T1185" s="49"/>
      <c r="U1185" s="49"/>
      <c r="V1185" s="49"/>
      <c r="W1185" s="49"/>
      <c r="X1185" s="49"/>
      <c r="Y1185" s="49"/>
      <c r="Z1185" s="49"/>
    </row>
    <row r="1186">
      <c r="A1186" s="49"/>
      <c r="B1186" s="49"/>
      <c r="C1186" s="91"/>
      <c r="D1186" s="49"/>
      <c r="E1186" s="49"/>
      <c r="F1186" s="49"/>
      <c r="G1186" s="49"/>
      <c r="H1186" s="49"/>
      <c r="I1186" s="49"/>
      <c r="J1186" s="49"/>
      <c r="K1186" s="49"/>
      <c r="L1186" s="49"/>
      <c r="M1186" s="49"/>
      <c r="N1186" s="49"/>
      <c r="O1186" s="49"/>
      <c r="P1186" s="49"/>
      <c r="Q1186" s="49"/>
      <c r="R1186" s="49"/>
      <c r="S1186" s="49"/>
      <c r="T1186" s="49"/>
      <c r="U1186" s="49"/>
      <c r="V1186" s="49"/>
      <c r="W1186" s="49"/>
      <c r="X1186" s="49"/>
      <c r="Y1186" s="49"/>
      <c r="Z1186" s="49"/>
    </row>
    <row r="1187">
      <c r="A1187" s="49"/>
      <c r="B1187" s="49"/>
      <c r="C1187" s="91"/>
      <c r="D1187" s="49"/>
      <c r="E1187" s="49"/>
      <c r="F1187" s="49"/>
      <c r="G1187" s="49"/>
      <c r="H1187" s="49"/>
      <c r="I1187" s="49"/>
      <c r="J1187" s="49"/>
      <c r="K1187" s="49"/>
      <c r="L1187" s="49"/>
      <c r="M1187" s="49"/>
      <c r="N1187" s="49"/>
      <c r="O1187" s="49"/>
      <c r="P1187" s="49"/>
      <c r="Q1187" s="49"/>
      <c r="R1187" s="49"/>
      <c r="S1187" s="49"/>
      <c r="T1187" s="49"/>
      <c r="U1187" s="49"/>
      <c r="V1187" s="49"/>
      <c r="W1187" s="49"/>
      <c r="X1187" s="49"/>
      <c r="Y1187" s="49"/>
      <c r="Z1187" s="49"/>
    </row>
    <row r="1188">
      <c r="A1188" s="49"/>
      <c r="B1188" s="49"/>
      <c r="C1188" s="91"/>
      <c r="D1188" s="49"/>
      <c r="E1188" s="49"/>
      <c r="F1188" s="49"/>
      <c r="G1188" s="49"/>
      <c r="H1188" s="49"/>
      <c r="I1188" s="49"/>
      <c r="J1188" s="49"/>
      <c r="K1188" s="49"/>
      <c r="L1188" s="49"/>
      <c r="M1188" s="49"/>
      <c r="N1188" s="49"/>
      <c r="O1188" s="49"/>
      <c r="P1188" s="49"/>
      <c r="Q1188" s="49"/>
      <c r="R1188" s="49"/>
      <c r="S1188" s="49"/>
      <c r="T1188" s="49"/>
      <c r="U1188" s="49"/>
      <c r="V1188" s="49"/>
      <c r="W1188" s="49"/>
      <c r="X1188" s="49"/>
      <c r="Y1188" s="49"/>
      <c r="Z1188" s="49"/>
    </row>
    <row r="1189">
      <c r="A1189" s="49"/>
      <c r="B1189" s="49"/>
      <c r="C1189" s="91"/>
      <c r="D1189" s="49"/>
      <c r="E1189" s="49"/>
      <c r="F1189" s="49"/>
      <c r="G1189" s="49"/>
      <c r="H1189" s="49"/>
      <c r="I1189" s="49"/>
      <c r="J1189" s="49"/>
      <c r="K1189" s="49"/>
      <c r="L1189" s="49"/>
      <c r="M1189" s="49"/>
      <c r="N1189" s="49"/>
      <c r="O1189" s="49"/>
      <c r="P1189" s="49"/>
      <c r="Q1189" s="49"/>
      <c r="R1189" s="49"/>
      <c r="S1189" s="49"/>
      <c r="T1189" s="49"/>
      <c r="U1189" s="49"/>
      <c r="V1189" s="49"/>
      <c r="W1189" s="49"/>
      <c r="X1189" s="49"/>
      <c r="Y1189" s="49"/>
      <c r="Z1189" s="49"/>
    </row>
    <row r="1190">
      <c r="A1190" s="49"/>
      <c r="B1190" s="49"/>
      <c r="C1190" s="91"/>
      <c r="D1190" s="49"/>
      <c r="E1190" s="49"/>
      <c r="F1190" s="49"/>
      <c r="G1190" s="49"/>
      <c r="H1190" s="49"/>
      <c r="I1190" s="49"/>
      <c r="J1190" s="49"/>
      <c r="K1190" s="49"/>
      <c r="L1190" s="49"/>
      <c r="M1190" s="49"/>
      <c r="N1190" s="49"/>
      <c r="O1190" s="49"/>
      <c r="P1190" s="49"/>
      <c r="Q1190" s="49"/>
      <c r="R1190" s="49"/>
      <c r="S1190" s="49"/>
      <c r="T1190" s="49"/>
      <c r="U1190" s="49"/>
      <c r="V1190" s="49"/>
      <c r="W1190" s="49"/>
      <c r="X1190" s="49"/>
      <c r="Y1190" s="49"/>
      <c r="Z1190" s="49"/>
    </row>
    <row r="1191">
      <c r="A1191" s="49"/>
      <c r="B1191" s="49"/>
      <c r="C1191" s="91"/>
      <c r="D1191" s="49"/>
      <c r="E1191" s="49"/>
      <c r="F1191" s="49"/>
      <c r="G1191" s="49"/>
      <c r="H1191" s="49"/>
      <c r="I1191" s="49"/>
      <c r="J1191" s="49"/>
      <c r="K1191" s="49"/>
      <c r="L1191" s="49"/>
      <c r="M1191" s="49"/>
      <c r="N1191" s="49"/>
      <c r="O1191" s="49"/>
      <c r="P1191" s="49"/>
      <c r="Q1191" s="49"/>
      <c r="R1191" s="49"/>
      <c r="S1191" s="49"/>
      <c r="T1191" s="49"/>
      <c r="U1191" s="49"/>
      <c r="V1191" s="49"/>
      <c r="W1191" s="49"/>
      <c r="X1191" s="49"/>
      <c r="Y1191" s="49"/>
      <c r="Z1191" s="49"/>
    </row>
    <row r="1192">
      <c r="A1192" s="49"/>
      <c r="B1192" s="49"/>
      <c r="C1192" s="91"/>
      <c r="D1192" s="49"/>
      <c r="E1192" s="49"/>
      <c r="F1192" s="49"/>
      <c r="G1192" s="49"/>
      <c r="H1192" s="49"/>
      <c r="I1192" s="49"/>
      <c r="J1192" s="49"/>
      <c r="K1192" s="49"/>
      <c r="L1192" s="49"/>
      <c r="M1192" s="49"/>
      <c r="N1192" s="49"/>
      <c r="O1192" s="49"/>
      <c r="P1192" s="49"/>
      <c r="Q1192" s="49"/>
      <c r="R1192" s="49"/>
      <c r="S1192" s="49"/>
      <c r="T1192" s="49"/>
      <c r="U1192" s="49"/>
      <c r="V1192" s="49"/>
      <c r="W1192" s="49"/>
      <c r="X1192" s="49"/>
      <c r="Y1192" s="49"/>
      <c r="Z1192" s="49"/>
    </row>
    <row r="1193">
      <c r="A1193" s="49"/>
      <c r="B1193" s="49"/>
      <c r="C1193" s="91"/>
      <c r="D1193" s="49"/>
      <c r="E1193" s="49"/>
      <c r="F1193" s="49"/>
      <c r="G1193" s="49"/>
      <c r="H1193" s="49"/>
      <c r="I1193" s="49"/>
      <c r="J1193" s="49"/>
      <c r="K1193" s="49"/>
      <c r="L1193" s="49"/>
      <c r="M1193" s="49"/>
      <c r="N1193" s="49"/>
      <c r="O1193" s="49"/>
      <c r="P1193" s="49"/>
      <c r="Q1193" s="49"/>
      <c r="R1193" s="49"/>
      <c r="S1193" s="49"/>
      <c r="T1193" s="49"/>
      <c r="U1193" s="49"/>
      <c r="V1193" s="49"/>
      <c r="W1193" s="49"/>
      <c r="X1193" s="49"/>
      <c r="Y1193" s="49"/>
      <c r="Z1193" s="49"/>
    </row>
    <row r="1194">
      <c r="A1194" s="49"/>
      <c r="B1194" s="49"/>
      <c r="C1194" s="91"/>
      <c r="D1194" s="49"/>
      <c r="E1194" s="49"/>
      <c r="F1194" s="49"/>
      <c r="G1194" s="49"/>
      <c r="H1194" s="49"/>
      <c r="I1194" s="49"/>
      <c r="J1194" s="49"/>
      <c r="K1194" s="49"/>
      <c r="L1194" s="49"/>
      <c r="M1194" s="49"/>
      <c r="N1194" s="49"/>
      <c r="O1194" s="49"/>
      <c r="P1194" s="49"/>
      <c r="Q1194" s="49"/>
      <c r="R1194" s="49"/>
      <c r="S1194" s="49"/>
      <c r="T1194" s="49"/>
      <c r="U1194" s="49"/>
      <c r="V1194" s="49"/>
      <c r="W1194" s="49"/>
      <c r="X1194" s="49"/>
      <c r="Y1194" s="49"/>
      <c r="Z1194" s="49"/>
    </row>
    <row r="1195">
      <c r="A1195" s="49"/>
      <c r="B1195" s="49"/>
      <c r="C1195" s="91"/>
      <c r="D1195" s="49"/>
      <c r="E1195" s="49"/>
      <c r="F1195" s="49"/>
      <c r="G1195" s="49"/>
      <c r="H1195" s="49"/>
      <c r="I1195" s="49"/>
      <c r="J1195" s="49"/>
      <c r="K1195" s="49"/>
      <c r="L1195" s="49"/>
      <c r="M1195" s="49"/>
      <c r="N1195" s="49"/>
      <c r="O1195" s="49"/>
      <c r="P1195" s="49"/>
      <c r="Q1195" s="49"/>
      <c r="R1195" s="49"/>
      <c r="S1195" s="49"/>
      <c r="T1195" s="49"/>
      <c r="U1195" s="49"/>
      <c r="V1195" s="49"/>
      <c r="W1195" s="49"/>
      <c r="X1195" s="49"/>
      <c r="Y1195" s="49"/>
      <c r="Z1195" s="49"/>
    </row>
    <row r="1196">
      <c r="A1196" s="49"/>
      <c r="B1196" s="49"/>
      <c r="C1196" s="91"/>
      <c r="D1196" s="49"/>
      <c r="E1196" s="49"/>
      <c r="F1196" s="49"/>
      <c r="G1196" s="49"/>
      <c r="H1196" s="49"/>
      <c r="I1196" s="49"/>
      <c r="J1196" s="49"/>
      <c r="K1196" s="49"/>
      <c r="L1196" s="49"/>
      <c r="M1196" s="49"/>
      <c r="N1196" s="49"/>
      <c r="O1196" s="49"/>
      <c r="P1196" s="49"/>
      <c r="Q1196" s="49"/>
      <c r="R1196" s="49"/>
      <c r="S1196" s="49"/>
      <c r="T1196" s="49"/>
      <c r="U1196" s="49"/>
      <c r="V1196" s="49"/>
      <c r="W1196" s="49"/>
      <c r="X1196" s="49"/>
      <c r="Y1196" s="49"/>
      <c r="Z1196" s="49"/>
    </row>
    <row r="1197">
      <c r="A1197" s="49"/>
      <c r="B1197" s="49"/>
      <c r="C1197" s="91"/>
      <c r="D1197" s="49"/>
      <c r="E1197" s="49"/>
      <c r="F1197" s="49"/>
      <c r="G1197" s="49"/>
      <c r="H1197" s="49"/>
      <c r="I1197" s="49"/>
      <c r="J1197" s="49"/>
      <c r="K1197" s="49"/>
      <c r="L1197" s="49"/>
      <c r="M1197" s="49"/>
      <c r="N1197" s="49"/>
      <c r="O1197" s="49"/>
      <c r="P1197" s="49"/>
      <c r="Q1197" s="49"/>
      <c r="R1197" s="49"/>
      <c r="S1197" s="49"/>
      <c r="T1197" s="49"/>
      <c r="U1197" s="49"/>
      <c r="V1197" s="49"/>
      <c r="W1197" s="49"/>
      <c r="X1197" s="49"/>
      <c r="Y1197" s="49"/>
      <c r="Z1197" s="49"/>
    </row>
    <row r="1198">
      <c r="A1198" s="49"/>
      <c r="B1198" s="49"/>
      <c r="C1198" s="91"/>
      <c r="D1198" s="49"/>
      <c r="E1198" s="49"/>
      <c r="F1198" s="49"/>
      <c r="G1198" s="49"/>
      <c r="H1198" s="49"/>
      <c r="I1198" s="49"/>
      <c r="J1198" s="49"/>
      <c r="K1198" s="49"/>
      <c r="L1198" s="49"/>
      <c r="M1198" s="49"/>
      <c r="N1198" s="49"/>
      <c r="O1198" s="49"/>
      <c r="P1198" s="49"/>
      <c r="Q1198" s="49"/>
      <c r="R1198" s="49"/>
      <c r="S1198" s="49"/>
      <c r="T1198" s="49"/>
      <c r="U1198" s="49"/>
      <c r="V1198" s="49"/>
      <c r="W1198" s="49"/>
      <c r="X1198" s="49"/>
      <c r="Y1198" s="49"/>
      <c r="Z1198" s="49"/>
    </row>
    <row r="1199">
      <c r="A1199" s="49"/>
      <c r="B1199" s="49"/>
      <c r="C1199" s="91"/>
      <c r="D1199" s="49"/>
      <c r="E1199" s="49"/>
      <c r="F1199" s="49"/>
      <c r="G1199" s="49"/>
      <c r="H1199" s="49"/>
      <c r="I1199" s="49"/>
      <c r="J1199" s="49"/>
      <c r="K1199" s="49"/>
      <c r="L1199" s="49"/>
      <c r="M1199" s="49"/>
      <c r="N1199" s="49"/>
      <c r="O1199" s="49"/>
      <c r="P1199" s="49"/>
      <c r="Q1199" s="49"/>
      <c r="R1199" s="49"/>
      <c r="S1199" s="49"/>
      <c r="T1199" s="49"/>
      <c r="U1199" s="49"/>
      <c r="V1199" s="49"/>
      <c r="W1199" s="49"/>
      <c r="X1199" s="49"/>
      <c r="Y1199" s="49"/>
      <c r="Z1199" s="49"/>
    </row>
    <row r="1200">
      <c r="A1200" s="49"/>
      <c r="B1200" s="49"/>
      <c r="C1200" s="91"/>
      <c r="D1200" s="49"/>
      <c r="E1200" s="49"/>
      <c r="F1200" s="49"/>
      <c r="G1200" s="49"/>
      <c r="H1200" s="49"/>
      <c r="I1200" s="49"/>
      <c r="J1200" s="49"/>
      <c r="K1200" s="49"/>
      <c r="L1200" s="49"/>
      <c r="M1200" s="49"/>
      <c r="N1200" s="49"/>
      <c r="O1200" s="49"/>
      <c r="P1200" s="49"/>
      <c r="Q1200" s="49"/>
      <c r="R1200" s="49"/>
      <c r="S1200" s="49"/>
      <c r="T1200" s="49"/>
      <c r="U1200" s="49"/>
      <c r="V1200" s="49"/>
      <c r="W1200" s="49"/>
      <c r="X1200" s="49"/>
      <c r="Y1200" s="49"/>
      <c r="Z1200" s="49"/>
    </row>
    <row r="1201">
      <c r="A1201" s="49"/>
      <c r="B1201" s="49"/>
      <c r="C1201" s="91"/>
      <c r="D1201" s="49"/>
      <c r="E1201" s="49"/>
      <c r="F1201" s="49"/>
      <c r="G1201" s="49"/>
      <c r="H1201" s="49"/>
      <c r="I1201" s="49"/>
      <c r="J1201" s="49"/>
      <c r="K1201" s="49"/>
      <c r="L1201" s="49"/>
      <c r="M1201" s="49"/>
      <c r="N1201" s="49"/>
      <c r="O1201" s="49"/>
      <c r="P1201" s="49"/>
      <c r="Q1201" s="49"/>
      <c r="R1201" s="49"/>
      <c r="S1201" s="49"/>
      <c r="T1201" s="49"/>
      <c r="U1201" s="49"/>
      <c r="V1201" s="49"/>
      <c r="W1201" s="49"/>
      <c r="X1201" s="49"/>
      <c r="Y1201" s="49"/>
      <c r="Z1201" s="49"/>
    </row>
    <row r="1202">
      <c r="A1202" s="49"/>
      <c r="B1202" s="49"/>
      <c r="C1202" s="91"/>
      <c r="D1202" s="49"/>
      <c r="E1202" s="49"/>
      <c r="F1202" s="49"/>
      <c r="G1202" s="49"/>
      <c r="H1202" s="49"/>
      <c r="I1202" s="49"/>
      <c r="J1202" s="49"/>
      <c r="K1202" s="49"/>
      <c r="L1202" s="49"/>
      <c r="M1202" s="49"/>
      <c r="N1202" s="49"/>
      <c r="O1202" s="49"/>
      <c r="P1202" s="49"/>
      <c r="Q1202" s="49"/>
      <c r="R1202" s="49"/>
      <c r="S1202" s="49"/>
      <c r="T1202" s="49"/>
      <c r="U1202" s="49"/>
      <c r="V1202" s="49"/>
      <c r="W1202" s="49"/>
      <c r="X1202" s="49"/>
      <c r="Y1202" s="49"/>
      <c r="Z1202" s="49"/>
    </row>
    <row r="1203">
      <c r="A1203" s="49"/>
      <c r="B1203" s="49"/>
      <c r="C1203" s="91"/>
      <c r="D1203" s="49"/>
      <c r="E1203" s="49"/>
      <c r="F1203" s="49"/>
      <c r="G1203" s="49"/>
      <c r="H1203" s="49"/>
      <c r="I1203" s="49"/>
      <c r="J1203" s="49"/>
      <c r="K1203" s="49"/>
      <c r="L1203" s="49"/>
      <c r="M1203" s="49"/>
      <c r="N1203" s="49"/>
      <c r="O1203" s="49"/>
      <c r="P1203" s="49"/>
      <c r="Q1203" s="49"/>
      <c r="R1203" s="49"/>
      <c r="S1203" s="49"/>
      <c r="T1203" s="49"/>
      <c r="U1203" s="49"/>
      <c r="V1203" s="49"/>
      <c r="W1203" s="49"/>
      <c r="X1203" s="49"/>
      <c r="Y1203" s="49"/>
      <c r="Z1203" s="49"/>
    </row>
    <row r="1204">
      <c r="A1204" s="49"/>
      <c r="B1204" s="49"/>
      <c r="C1204" s="91"/>
      <c r="D1204" s="49"/>
      <c r="E1204" s="49"/>
      <c r="F1204" s="49"/>
      <c r="G1204" s="49"/>
      <c r="H1204" s="49"/>
      <c r="I1204" s="49"/>
      <c r="J1204" s="49"/>
      <c r="K1204" s="49"/>
      <c r="L1204" s="49"/>
      <c r="M1204" s="49"/>
      <c r="N1204" s="49"/>
      <c r="O1204" s="49"/>
      <c r="P1204" s="49"/>
      <c r="Q1204" s="49"/>
      <c r="R1204" s="49"/>
      <c r="S1204" s="49"/>
      <c r="T1204" s="49"/>
      <c r="U1204" s="49"/>
      <c r="V1204" s="49"/>
      <c r="W1204" s="49"/>
      <c r="X1204" s="49"/>
      <c r="Y1204" s="49"/>
      <c r="Z1204" s="49"/>
    </row>
    <row r="1205">
      <c r="A1205" s="49"/>
      <c r="B1205" s="49"/>
      <c r="C1205" s="91"/>
      <c r="D1205" s="49"/>
      <c r="E1205" s="49"/>
      <c r="F1205" s="49"/>
      <c r="G1205" s="49"/>
      <c r="H1205" s="49"/>
      <c r="I1205" s="49"/>
      <c r="J1205" s="49"/>
      <c r="K1205" s="49"/>
      <c r="L1205" s="49"/>
      <c r="M1205" s="49"/>
      <c r="N1205" s="49"/>
      <c r="O1205" s="49"/>
      <c r="P1205" s="49"/>
      <c r="Q1205" s="49"/>
      <c r="R1205" s="49"/>
      <c r="S1205" s="49"/>
      <c r="T1205" s="49"/>
      <c r="U1205" s="49"/>
      <c r="V1205" s="49"/>
      <c r="W1205" s="49"/>
      <c r="X1205" s="49"/>
      <c r="Y1205" s="49"/>
      <c r="Z1205" s="49"/>
    </row>
    <row r="1206">
      <c r="A1206" s="49"/>
      <c r="B1206" s="49"/>
      <c r="C1206" s="91"/>
      <c r="D1206" s="49"/>
      <c r="E1206" s="49"/>
      <c r="F1206" s="49"/>
      <c r="G1206" s="49"/>
      <c r="H1206" s="49"/>
      <c r="I1206" s="49"/>
      <c r="J1206" s="49"/>
      <c r="K1206" s="49"/>
      <c r="L1206" s="49"/>
      <c r="M1206" s="49"/>
      <c r="N1206" s="49"/>
      <c r="O1206" s="49"/>
      <c r="P1206" s="49"/>
      <c r="Q1206" s="49"/>
      <c r="R1206" s="49"/>
      <c r="S1206" s="49"/>
      <c r="T1206" s="49"/>
      <c r="U1206" s="49"/>
      <c r="V1206" s="49"/>
      <c r="W1206" s="49"/>
      <c r="X1206" s="49"/>
      <c r="Y1206" s="49"/>
      <c r="Z1206" s="49"/>
    </row>
    <row r="1207">
      <c r="A1207" s="49"/>
      <c r="B1207" s="49"/>
      <c r="C1207" s="91"/>
      <c r="D1207" s="49"/>
      <c r="E1207" s="49"/>
      <c r="F1207" s="49"/>
      <c r="G1207" s="49"/>
      <c r="H1207" s="49"/>
      <c r="I1207" s="49"/>
      <c r="J1207" s="49"/>
      <c r="K1207" s="49"/>
      <c r="L1207" s="49"/>
      <c r="M1207" s="49"/>
      <c r="N1207" s="49"/>
      <c r="O1207" s="49"/>
      <c r="P1207" s="49"/>
      <c r="Q1207" s="49"/>
      <c r="R1207" s="49"/>
      <c r="S1207" s="49"/>
      <c r="T1207" s="49"/>
      <c r="U1207" s="49"/>
      <c r="V1207" s="49"/>
      <c r="W1207" s="49"/>
      <c r="X1207" s="49"/>
      <c r="Y1207" s="49"/>
      <c r="Z1207" s="49"/>
    </row>
    <row r="1208">
      <c r="A1208" s="49"/>
      <c r="B1208" s="49"/>
      <c r="C1208" s="91"/>
      <c r="D1208" s="49"/>
      <c r="E1208" s="49"/>
      <c r="F1208" s="49"/>
      <c r="G1208" s="49"/>
      <c r="H1208" s="49"/>
      <c r="I1208" s="49"/>
      <c r="J1208" s="49"/>
      <c r="K1208" s="49"/>
      <c r="L1208" s="49"/>
      <c r="M1208" s="49"/>
      <c r="N1208" s="49"/>
      <c r="O1208" s="49"/>
      <c r="P1208" s="49"/>
      <c r="Q1208" s="49"/>
      <c r="R1208" s="49"/>
      <c r="S1208" s="49"/>
      <c r="T1208" s="49"/>
      <c r="U1208" s="49"/>
      <c r="V1208" s="49"/>
      <c r="W1208" s="49"/>
      <c r="X1208" s="49"/>
      <c r="Y1208" s="49"/>
      <c r="Z1208" s="49"/>
    </row>
    <row r="1209">
      <c r="A1209" s="49"/>
      <c r="B1209" s="49"/>
      <c r="C1209" s="91"/>
      <c r="D1209" s="49"/>
      <c r="E1209" s="49"/>
      <c r="F1209" s="49"/>
      <c r="G1209" s="49"/>
      <c r="H1209" s="49"/>
      <c r="I1209" s="49"/>
      <c r="J1209" s="49"/>
      <c r="K1209" s="49"/>
      <c r="L1209" s="49"/>
      <c r="M1209" s="49"/>
      <c r="N1209" s="49"/>
      <c r="O1209" s="49"/>
      <c r="P1209" s="49"/>
      <c r="Q1209" s="49"/>
      <c r="R1209" s="49"/>
      <c r="S1209" s="49"/>
      <c r="T1209" s="49"/>
      <c r="U1209" s="49"/>
      <c r="V1209" s="49"/>
      <c r="W1209" s="49"/>
      <c r="X1209" s="49"/>
      <c r="Y1209" s="49"/>
      <c r="Z1209" s="49"/>
    </row>
    <row r="1210">
      <c r="A1210" s="49"/>
      <c r="B1210" s="49"/>
      <c r="C1210" s="91"/>
      <c r="D1210" s="49"/>
      <c r="E1210" s="49"/>
      <c r="F1210" s="49"/>
      <c r="G1210" s="49"/>
      <c r="H1210" s="49"/>
      <c r="I1210" s="49"/>
      <c r="J1210" s="49"/>
      <c r="K1210" s="49"/>
      <c r="L1210" s="49"/>
      <c r="M1210" s="49"/>
      <c r="N1210" s="49"/>
      <c r="O1210" s="49"/>
      <c r="P1210" s="49"/>
      <c r="Q1210" s="49"/>
      <c r="R1210" s="49"/>
      <c r="S1210" s="49"/>
      <c r="T1210" s="49"/>
      <c r="U1210" s="49"/>
      <c r="V1210" s="49"/>
      <c r="W1210" s="49"/>
      <c r="X1210" s="49"/>
      <c r="Y1210" s="49"/>
      <c r="Z1210" s="49"/>
    </row>
    <row r="1211">
      <c r="A1211" s="49"/>
      <c r="B1211" s="49"/>
      <c r="C1211" s="91"/>
      <c r="D1211" s="49"/>
      <c r="E1211" s="49"/>
      <c r="F1211" s="49"/>
      <c r="G1211" s="49"/>
      <c r="H1211" s="49"/>
      <c r="I1211" s="49"/>
      <c r="J1211" s="49"/>
      <c r="K1211" s="49"/>
      <c r="L1211" s="49"/>
      <c r="M1211" s="49"/>
      <c r="N1211" s="49"/>
      <c r="O1211" s="49"/>
      <c r="P1211" s="49"/>
      <c r="Q1211" s="49"/>
      <c r="R1211" s="49"/>
      <c r="S1211" s="49"/>
      <c r="T1211" s="49"/>
      <c r="U1211" s="49"/>
      <c r="V1211" s="49"/>
      <c r="W1211" s="49"/>
      <c r="X1211" s="49"/>
      <c r="Y1211" s="49"/>
      <c r="Z1211" s="49"/>
    </row>
    <row r="1212">
      <c r="A1212" s="49"/>
      <c r="B1212" s="49"/>
      <c r="C1212" s="91"/>
      <c r="D1212" s="49"/>
      <c r="E1212" s="49"/>
      <c r="F1212" s="49"/>
      <c r="G1212" s="49"/>
      <c r="H1212" s="49"/>
      <c r="I1212" s="49"/>
      <c r="J1212" s="49"/>
      <c r="K1212" s="49"/>
      <c r="L1212" s="49"/>
      <c r="M1212" s="49"/>
      <c r="N1212" s="49"/>
      <c r="O1212" s="49"/>
      <c r="P1212" s="49"/>
      <c r="Q1212" s="49"/>
      <c r="R1212" s="49"/>
      <c r="S1212" s="49"/>
      <c r="T1212" s="49"/>
      <c r="U1212" s="49"/>
      <c r="V1212" s="49"/>
      <c r="W1212" s="49"/>
      <c r="X1212" s="49"/>
      <c r="Y1212" s="49"/>
      <c r="Z1212" s="49"/>
    </row>
    <row r="1213">
      <c r="A1213" s="49"/>
      <c r="B1213" s="49"/>
      <c r="C1213" s="91"/>
      <c r="D1213" s="49"/>
      <c r="E1213" s="49"/>
      <c r="F1213" s="49"/>
      <c r="G1213" s="49"/>
      <c r="H1213" s="49"/>
      <c r="I1213" s="49"/>
      <c r="J1213" s="49"/>
      <c r="K1213" s="49"/>
      <c r="L1213" s="49"/>
      <c r="M1213" s="49"/>
      <c r="N1213" s="49"/>
      <c r="O1213" s="49"/>
      <c r="P1213" s="49"/>
      <c r="Q1213" s="49"/>
      <c r="R1213" s="49"/>
      <c r="S1213" s="49"/>
      <c r="T1213" s="49"/>
      <c r="U1213" s="49"/>
      <c r="V1213" s="49"/>
      <c r="W1213" s="49"/>
      <c r="X1213" s="49"/>
      <c r="Y1213" s="49"/>
      <c r="Z1213" s="49"/>
    </row>
    <row r="1214">
      <c r="A1214" s="49"/>
      <c r="B1214" s="49"/>
      <c r="C1214" s="91"/>
      <c r="D1214" s="49"/>
      <c r="E1214" s="49"/>
      <c r="F1214" s="49"/>
      <c r="G1214" s="49"/>
      <c r="H1214" s="49"/>
      <c r="I1214" s="49"/>
      <c r="J1214" s="49"/>
      <c r="K1214" s="49"/>
      <c r="L1214" s="49"/>
      <c r="M1214" s="49"/>
      <c r="N1214" s="49"/>
      <c r="O1214" s="49"/>
      <c r="P1214" s="49"/>
      <c r="Q1214" s="49"/>
      <c r="R1214" s="49"/>
      <c r="S1214" s="49"/>
      <c r="T1214" s="49"/>
      <c r="U1214" s="49"/>
      <c r="V1214" s="49"/>
      <c r="W1214" s="49"/>
      <c r="X1214" s="49"/>
      <c r="Y1214" s="49"/>
      <c r="Z1214" s="49"/>
    </row>
    <row r="1215">
      <c r="A1215" s="49"/>
      <c r="B1215" s="49"/>
      <c r="C1215" s="91"/>
      <c r="D1215" s="49"/>
      <c r="E1215" s="49"/>
      <c r="F1215" s="49"/>
      <c r="G1215" s="49"/>
      <c r="H1215" s="49"/>
      <c r="I1215" s="49"/>
      <c r="J1215" s="49"/>
      <c r="K1215" s="49"/>
      <c r="L1215" s="49"/>
      <c r="M1215" s="49"/>
      <c r="N1215" s="49"/>
      <c r="O1215" s="49"/>
      <c r="P1215" s="49"/>
      <c r="Q1215" s="49"/>
      <c r="R1215" s="49"/>
      <c r="S1215" s="49"/>
      <c r="T1215" s="49"/>
      <c r="U1215" s="49"/>
      <c r="V1215" s="49"/>
      <c r="W1215" s="49"/>
      <c r="X1215" s="49"/>
      <c r="Y1215" s="49"/>
      <c r="Z1215" s="49"/>
    </row>
    <row r="1216">
      <c r="A1216" s="49"/>
      <c r="B1216" s="49"/>
      <c r="C1216" s="91"/>
      <c r="D1216" s="49"/>
      <c r="E1216" s="49"/>
      <c r="F1216" s="49"/>
      <c r="G1216" s="49"/>
      <c r="H1216" s="49"/>
      <c r="I1216" s="49"/>
      <c r="J1216" s="49"/>
      <c r="K1216" s="49"/>
      <c r="L1216" s="49"/>
      <c r="M1216" s="49"/>
      <c r="N1216" s="49"/>
      <c r="O1216" s="49"/>
      <c r="P1216" s="49"/>
      <c r="Q1216" s="49"/>
      <c r="R1216" s="49"/>
      <c r="S1216" s="49"/>
      <c r="T1216" s="49"/>
      <c r="U1216" s="49"/>
      <c r="V1216" s="49"/>
      <c r="W1216" s="49"/>
      <c r="X1216" s="49"/>
      <c r="Y1216" s="49"/>
      <c r="Z1216" s="49"/>
    </row>
    <row r="1217">
      <c r="A1217" s="49"/>
      <c r="B1217" s="49"/>
      <c r="C1217" s="91"/>
      <c r="D1217" s="49"/>
      <c r="E1217" s="49"/>
      <c r="F1217" s="49"/>
      <c r="G1217" s="49"/>
      <c r="H1217" s="49"/>
      <c r="I1217" s="49"/>
      <c r="J1217" s="49"/>
      <c r="K1217" s="49"/>
      <c r="L1217" s="49"/>
      <c r="M1217" s="49"/>
      <c r="N1217" s="49"/>
      <c r="O1217" s="49"/>
      <c r="P1217" s="49"/>
      <c r="Q1217" s="49"/>
      <c r="R1217" s="49"/>
      <c r="S1217" s="49"/>
      <c r="T1217" s="49"/>
      <c r="U1217" s="49"/>
      <c r="V1217" s="49"/>
      <c r="W1217" s="49"/>
      <c r="X1217" s="49"/>
      <c r="Y1217" s="49"/>
      <c r="Z1217" s="49"/>
    </row>
    <row r="1218">
      <c r="A1218" s="49"/>
      <c r="B1218" s="49"/>
      <c r="C1218" s="91"/>
      <c r="D1218" s="49"/>
      <c r="E1218" s="49"/>
      <c r="F1218" s="49"/>
      <c r="G1218" s="49"/>
      <c r="H1218" s="49"/>
      <c r="I1218" s="49"/>
      <c r="J1218" s="49"/>
      <c r="K1218" s="49"/>
      <c r="L1218" s="49"/>
      <c r="M1218" s="49"/>
      <c r="N1218" s="49"/>
      <c r="O1218" s="49"/>
      <c r="P1218" s="49"/>
      <c r="Q1218" s="49"/>
      <c r="R1218" s="49"/>
      <c r="S1218" s="49"/>
      <c r="T1218" s="49"/>
      <c r="U1218" s="49"/>
      <c r="V1218" s="49"/>
      <c r="W1218" s="49"/>
      <c r="X1218" s="49"/>
      <c r="Y1218" s="49"/>
      <c r="Z1218" s="49"/>
    </row>
    <row r="1219">
      <c r="A1219" s="49"/>
      <c r="B1219" s="49"/>
      <c r="C1219" s="91"/>
      <c r="D1219" s="49"/>
      <c r="E1219" s="49"/>
      <c r="F1219" s="49"/>
      <c r="G1219" s="49"/>
      <c r="H1219" s="49"/>
      <c r="I1219" s="49"/>
      <c r="J1219" s="49"/>
      <c r="K1219" s="49"/>
      <c r="L1219" s="49"/>
      <c r="M1219" s="49"/>
      <c r="N1219" s="49"/>
      <c r="O1219" s="49"/>
      <c r="P1219" s="49"/>
      <c r="Q1219" s="49"/>
      <c r="R1219" s="49"/>
      <c r="S1219" s="49"/>
      <c r="T1219" s="49"/>
      <c r="U1219" s="49"/>
      <c r="V1219" s="49"/>
      <c r="W1219" s="49"/>
      <c r="X1219" s="49"/>
      <c r="Y1219" s="49"/>
      <c r="Z1219" s="49"/>
    </row>
    <row r="1220">
      <c r="A1220" s="49"/>
      <c r="B1220" s="49"/>
      <c r="C1220" s="91"/>
      <c r="D1220" s="49"/>
      <c r="E1220" s="49"/>
      <c r="F1220" s="49"/>
      <c r="G1220" s="49"/>
      <c r="H1220" s="49"/>
      <c r="I1220" s="49"/>
      <c r="J1220" s="49"/>
      <c r="K1220" s="49"/>
      <c r="L1220" s="49"/>
      <c r="M1220" s="49"/>
      <c r="N1220" s="49"/>
      <c r="O1220" s="49"/>
      <c r="P1220" s="49"/>
      <c r="Q1220" s="49"/>
      <c r="R1220" s="49"/>
      <c r="S1220" s="49"/>
      <c r="T1220" s="49"/>
      <c r="U1220" s="49"/>
      <c r="V1220" s="49"/>
      <c r="W1220" s="49"/>
      <c r="X1220" s="49"/>
      <c r="Y1220" s="49"/>
      <c r="Z1220" s="49"/>
    </row>
    <row r="1221">
      <c r="A1221" s="49"/>
      <c r="B1221" s="49"/>
      <c r="C1221" s="91"/>
      <c r="D1221" s="49"/>
      <c r="E1221" s="49"/>
      <c r="F1221" s="49"/>
      <c r="G1221" s="49"/>
      <c r="H1221" s="49"/>
      <c r="I1221" s="49"/>
      <c r="J1221" s="49"/>
      <c r="K1221" s="49"/>
      <c r="L1221" s="49"/>
      <c r="M1221" s="49"/>
      <c r="N1221" s="49"/>
      <c r="O1221" s="49"/>
      <c r="P1221" s="49"/>
      <c r="Q1221" s="49"/>
      <c r="R1221" s="49"/>
      <c r="S1221" s="49"/>
      <c r="T1221" s="49"/>
      <c r="U1221" s="49"/>
      <c r="V1221" s="49"/>
      <c r="W1221" s="49"/>
      <c r="X1221" s="49"/>
      <c r="Y1221" s="49"/>
      <c r="Z1221" s="49"/>
    </row>
    <row r="1222">
      <c r="A1222" s="49"/>
      <c r="B1222" s="49"/>
      <c r="C1222" s="91"/>
      <c r="D1222" s="49"/>
      <c r="E1222" s="49"/>
      <c r="F1222" s="49"/>
      <c r="G1222" s="49"/>
      <c r="H1222" s="49"/>
      <c r="I1222" s="49"/>
      <c r="J1222" s="49"/>
      <c r="K1222" s="49"/>
      <c r="L1222" s="49"/>
      <c r="M1222" s="49"/>
      <c r="N1222" s="49"/>
      <c r="O1222" s="49"/>
      <c r="P1222" s="49"/>
      <c r="Q1222" s="49"/>
      <c r="R1222" s="49"/>
      <c r="S1222" s="49"/>
      <c r="T1222" s="49"/>
      <c r="U1222" s="49"/>
      <c r="V1222" s="49"/>
      <c r="W1222" s="49"/>
      <c r="X1222" s="49"/>
      <c r="Y1222" s="49"/>
      <c r="Z1222" s="49"/>
    </row>
    <row r="1223">
      <c r="A1223" s="49"/>
      <c r="B1223" s="49"/>
      <c r="C1223" s="91"/>
      <c r="D1223" s="49"/>
      <c r="E1223" s="49"/>
      <c r="F1223" s="49"/>
      <c r="G1223" s="49"/>
      <c r="H1223" s="49"/>
      <c r="I1223" s="49"/>
      <c r="J1223" s="49"/>
      <c r="K1223" s="49"/>
      <c r="L1223" s="49"/>
      <c r="M1223" s="49"/>
      <c r="N1223" s="49"/>
      <c r="O1223" s="49"/>
      <c r="P1223" s="49"/>
      <c r="Q1223" s="49"/>
      <c r="R1223" s="49"/>
      <c r="S1223" s="49"/>
      <c r="T1223" s="49"/>
      <c r="U1223" s="49"/>
      <c r="V1223" s="49"/>
      <c r="W1223" s="49"/>
      <c r="X1223" s="49"/>
      <c r="Y1223" s="49"/>
      <c r="Z1223" s="49"/>
    </row>
    <row r="1224">
      <c r="A1224" s="49"/>
      <c r="B1224" s="49"/>
      <c r="C1224" s="91"/>
      <c r="D1224" s="49"/>
      <c r="E1224" s="49"/>
      <c r="F1224" s="49"/>
      <c r="G1224" s="49"/>
      <c r="H1224" s="49"/>
      <c r="I1224" s="49"/>
      <c r="J1224" s="49"/>
      <c r="K1224" s="49"/>
      <c r="L1224" s="49"/>
      <c r="M1224" s="49"/>
      <c r="N1224" s="49"/>
      <c r="O1224" s="49"/>
      <c r="P1224" s="49"/>
      <c r="Q1224" s="49"/>
      <c r="R1224" s="49"/>
      <c r="S1224" s="49"/>
      <c r="T1224" s="49"/>
      <c r="U1224" s="49"/>
      <c r="V1224" s="49"/>
      <c r="W1224" s="49"/>
      <c r="X1224" s="49"/>
      <c r="Y1224" s="49"/>
      <c r="Z1224" s="49"/>
    </row>
    <row r="1225">
      <c r="A1225" s="49"/>
      <c r="B1225" s="49"/>
      <c r="C1225" s="91"/>
      <c r="D1225" s="49"/>
      <c r="E1225" s="49"/>
      <c r="F1225" s="49"/>
      <c r="G1225" s="49"/>
      <c r="H1225" s="49"/>
      <c r="I1225" s="49"/>
      <c r="J1225" s="49"/>
      <c r="K1225" s="49"/>
      <c r="L1225" s="49"/>
      <c r="M1225" s="49"/>
      <c r="N1225" s="49"/>
      <c r="O1225" s="49"/>
      <c r="P1225" s="49"/>
      <c r="Q1225" s="49"/>
      <c r="R1225" s="49"/>
      <c r="S1225" s="49"/>
      <c r="T1225" s="49"/>
      <c r="U1225" s="49"/>
      <c r="V1225" s="49"/>
      <c r="W1225" s="49"/>
      <c r="X1225" s="49"/>
      <c r="Y1225" s="49"/>
      <c r="Z1225" s="49"/>
    </row>
    <row r="1226">
      <c r="A1226" s="49"/>
      <c r="B1226" s="49"/>
      <c r="C1226" s="91"/>
      <c r="D1226" s="49"/>
      <c r="E1226" s="49"/>
      <c r="F1226" s="49"/>
      <c r="G1226" s="49"/>
      <c r="H1226" s="49"/>
      <c r="I1226" s="49"/>
      <c r="J1226" s="49"/>
      <c r="K1226" s="49"/>
      <c r="L1226" s="49"/>
      <c r="M1226" s="49"/>
      <c r="N1226" s="49"/>
      <c r="O1226" s="49"/>
      <c r="P1226" s="49"/>
      <c r="Q1226" s="49"/>
      <c r="R1226" s="49"/>
      <c r="S1226" s="49"/>
      <c r="T1226" s="49"/>
      <c r="U1226" s="49"/>
      <c r="V1226" s="49"/>
      <c r="W1226" s="49"/>
      <c r="X1226" s="49"/>
      <c r="Y1226" s="49"/>
      <c r="Z1226" s="49"/>
    </row>
    <row r="1227">
      <c r="A1227" s="49"/>
      <c r="B1227" s="49"/>
      <c r="C1227" s="91"/>
      <c r="D1227" s="49"/>
      <c r="E1227" s="49"/>
      <c r="F1227" s="49"/>
      <c r="G1227" s="49"/>
      <c r="H1227" s="49"/>
      <c r="I1227" s="49"/>
      <c r="J1227" s="49"/>
      <c r="K1227" s="49"/>
      <c r="L1227" s="49"/>
      <c r="M1227" s="49"/>
      <c r="N1227" s="49"/>
      <c r="O1227" s="49"/>
      <c r="P1227" s="49"/>
      <c r="Q1227" s="49"/>
      <c r="R1227" s="49"/>
      <c r="S1227" s="49"/>
      <c r="T1227" s="49"/>
      <c r="U1227" s="49"/>
      <c r="V1227" s="49"/>
      <c r="W1227" s="49"/>
      <c r="X1227" s="49"/>
      <c r="Y1227" s="49"/>
      <c r="Z1227" s="49"/>
    </row>
    <row r="1228">
      <c r="A1228" s="49"/>
      <c r="B1228" s="49"/>
      <c r="C1228" s="91"/>
      <c r="D1228" s="49"/>
      <c r="E1228" s="49"/>
      <c r="F1228" s="49"/>
      <c r="G1228" s="49"/>
      <c r="H1228" s="49"/>
      <c r="I1228" s="49"/>
      <c r="J1228" s="49"/>
      <c r="K1228" s="49"/>
      <c r="L1228" s="49"/>
      <c r="M1228" s="49"/>
      <c r="N1228" s="49"/>
      <c r="O1228" s="49"/>
      <c r="P1228" s="49"/>
      <c r="Q1228" s="49"/>
      <c r="R1228" s="49"/>
      <c r="S1228" s="49"/>
      <c r="T1228" s="49"/>
      <c r="U1228" s="49"/>
      <c r="V1228" s="49"/>
      <c r="W1228" s="49"/>
      <c r="X1228" s="49"/>
      <c r="Y1228" s="49"/>
      <c r="Z1228" s="49"/>
    </row>
    <row r="1229">
      <c r="A1229" s="49"/>
      <c r="B1229" s="49"/>
      <c r="C1229" s="91"/>
      <c r="D1229" s="49"/>
      <c r="E1229" s="49"/>
      <c r="F1229" s="49"/>
      <c r="G1229" s="49"/>
      <c r="H1229" s="49"/>
      <c r="I1229" s="49"/>
      <c r="J1229" s="49"/>
      <c r="K1229" s="49"/>
      <c r="L1229" s="49"/>
      <c r="M1229" s="49"/>
      <c r="N1229" s="49"/>
      <c r="O1229" s="49"/>
      <c r="P1229" s="49"/>
      <c r="Q1229" s="49"/>
      <c r="R1229" s="49"/>
      <c r="S1229" s="49"/>
      <c r="T1229" s="49"/>
      <c r="U1229" s="49"/>
      <c r="V1229" s="49"/>
      <c r="W1229" s="49"/>
      <c r="X1229" s="49"/>
      <c r="Y1229" s="49"/>
      <c r="Z1229" s="49"/>
    </row>
    <row r="1230">
      <c r="A1230" s="49"/>
      <c r="B1230" s="49"/>
      <c r="C1230" s="91"/>
      <c r="D1230" s="49"/>
      <c r="E1230" s="49"/>
      <c r="F1230" s="49"/>
      <c r="G1230" s="49"/>
      <c r="H1230" s="49"/>
      <c r="I1230" s="49"/>
      <c r="J1230" s="49"/>
      <c r="K1230" s="49"/>
      <c r="L1230" s="49"/>
      <c r="M1230" s="49"/>
      <c r="N1230" s="49"/>
      <c r="O1230" s="49"/>
      <c r="P1230" s="49"/>
      <c r="Q1230" s="49"/>
      <c r="R1230" s="49"/>
      <c r="S1230" s="49"/>
      <c r="T1230" s="49"/>
      <c r="U1230" s="49"/>
      <c r="V1230" s="49"/>
      <c r="W1230" s="49"/>
      <c r="X1230" s="49"/>
      <c r="Y1230" s="49"/>
      <c r="Z1230" s="49"/>
    </row>
    <row r="1231">
      <c r="A1231" s="49"/>
      <c r="B1231" s="49"/>
      <c r="C1231" s="91"/>
      <c r="D1231" s="49"/>
      <c r="E1231" s="49"/>
      <c r="F1231" s="49"/>
      <c r="G1231" s="49"/>
      <c r="H1231" s="49"/>
      <c r="I1231" s="49"/>
      <c r="J1231" s="49"/>
      <c r="K1231" s="49"/>
      <c r="L1231" s="49"/>
      <c r="M1231" s="49"/>
      <c r="N1231" s="49"/>
      <c r="O1231" s="49"/>
      <c r="P1231" s="49"/>
      <c r="Q1231" s="49"/>
      <c r="R1231" s="49"/>
      <c r="S1231" s="49"/>
      <c r="T1231" s="49"/>
      <c r="U1231" s="49"/>
      <c r="V1231" s="49"/>
      <c r="W1231" s="49"/>
      <c r="X1231" s="49"/>
      <c r="Y1231" s="49"/>
      <c r="Z1231" s="49"/>
    </row>
    <row r="1232">
      <c r="A1232" s="49"/>
      <c r="B1232" s="49"/>
      <c r="C1232" s="91"/>
      <c r="D1232" s="49"/>
      <c r="E1232" s="49"/>
      <c r="F1232" s="49"/>
      <c r="G1232" s="49"/>
      <c r="H1232" s="49"/>
      <c r="I1232" s="49"/>
      <c r="J1232" s="49"/>
      <c r="K1232" s="49"/>
      <c r="L1232" s="49"/>
      <c r="M1232" s="49"/>
      <c r="N1232" s="49"/>
      <c r="O1232" s="49"/>
      <c r="P1232" s="49"/>
      <c r="Q1232" s="49"/>
      <c r="R1232" s="49"/>
      <c r="S1232" s="49"/>
      <c r="T1232" s="49"/>
      <c r="U1232" s="49"/>
      <c r="V1232" s="49"/>
      <c r="W1232" s="49"/>
      <c r="X1232" s="49"/>
      <c r="Y1232" s="49"/>
      <c r="Z1232" s="49"/>
    </row>
    <row r="1233">
      <c r="A1233" s="49"/>
      <c r="B1233" s="49"/>
      <c r="C1233" s="91"/>
      <c r="D1233" s="49"/>
      <c r="E1233" s="49"/>
      <c r="F1233" s="49"/>
      <c r="G1233" s="49"/>
      <c r="H1233" s="49"/>
      <c r="I1233" s="49"/>
      <c r="J1233" s="49"/>
      <c r="K1233" s="49"/>
      <c r="L1233" s="49"/>
      <c r="M1233" s="49"/>
      <c r="N1233" s="49"/>
      <c r="O1233" s="49"/>
      <c r="P1233" s="49"/>
      <c r="Q1233" s="49"/>
      <c r="R1233" s="49"/>
      <c r="S1233" s="49"/>
      <c r="T1233" s="49"/>
      <c r="U1233" s="49"/>
      <c r="V1233" s="49"/>
      <c r="W1233" s="49"/>
      <c r="X1233" s="49"/>
      <c r="Y1233" s="49"/>
      <c r="Z1233" s="49"/>
    </row>
    <row r="1234">
      <c r="A1234" s="49"/>
      <c r="B1234" s="49"/>
      <c r="C1234" s="91"/>
      <c r="D1234" s="49"/>
      <c r="E1234" s="49"/>
      <c r="F1234" s="49"/>
      <c r="G1234" s="49"/>
      <c r="H1234" s="49"/>
      <c r="I1234" s="49"/>
      <c r="J1234" s="49"/>
      <c r="K1234" s="49"/>
      <c r="L1234" s="49"/>
      <c r="M1234" s="49"/>
      <c r="N1234" s="49"/>
      <c r="O1234" s="49"/>
      <c r="P1234" s="49"/>
      <c r="Q1234" s="49"/>
      <c r="R1234" s="49"/>
      <c r="S1234" s="49"/>
      <c r="T1234" s="49"/>
      <c r="U1234" s="49"/>
      <c r="V1234" s="49"/>
      <c r="W1234" s="49"/>
      <c r="X1234" s="49"/>
      <c r="Y1234" s="49"/>
      <c r="Z1234" s="49"/>
    </row>
    <row r="1235">
      <c r="A1235" s="49"/>
      <c r="B1235" s="49"/>
      <c r="C1235" s="91"/>
      <c r="D1235" s="49"/>
      <c r="E1235" s="49"/>
      <c r="F1235" s="49"/>
      <c r="G1235" s="49"/>
      <c r="H1235" s="49"/>
      <c r="I1235" s="49"/>
      <c r="J1235" s="49"/>
      <c r="K1235" s="49"/>
      <c r="L1235" s="49"/>
      <c r="M1235" s="49"/>
      <c r="N1235" s="49"/>
      <c r="O1235" s="49"/>
      <c r="P1235" s="49"/>
      <c r="Q1235" s="49"/>
      <c r="R1235" s="49"/>
      <c r="S1235" s="49"/>
      <c r="T1235" s="49"/>
      <c r="U1235" s="49"/>
      <c r="V1235" s="49"/>
      <c r="W1235" s="49"/>
      <c r="X1235" s="49"/>
      <c r="Y1235" s="49"/>
      <c r="Z1235" s="49"/>
    </row>
    <row r="1236">
      <c r="A1236" s="49"/>
      <c r="B1236" s="49"/>
      <c r="C1236" s="91"/>
      <c r="D1236" s="49"/>
      <c r="E1236" s="49"/>
      <c r="F1236" s="49"/>
      <c r="G1236" s="49"/>
      <c r="H1236" s="49"/>
      <c r="I1236" s="49"/>
      <c r="J1236" s="49"/>
      <c r="K1236" s="49"/>
      <c r="L1236" s="49"/>
      <c r="M1236" s="49"/>
      <c r="N1236" s="49"/>
      <c r="O1236" s="49"/>
      <c r="P1236" s="49"/>
      <c r="Q1236" s="49"/>
      <c r="R1236" s="49"/>
      <c r="S1236" s="49"/>
      <c r="T1236" s="49"/>
      <c r="U1236" s="49"/>
      <c r="V1236" s="49"/>
      <c r="W1236" s="49"/>
      <c r="X1236" s="49"/>
      <c r="Y1236" s="49"/>
      <c r="Z1236" s="49"/>
    </row>
    <row r="1237">
      <c r="A1237" s="49"/>
      <c r="B1237" s="49"/>
      <c r="C1237" s="91"/>
      <c r="D1237" s="49"/>
      <c r="E1237" s="49"/>
      <c r="F1237" s="49"/>
      <c r="G1237" s="49"/>
      <c r="H1237" s="49"/>
      <c r="I1237" s="49"/>
      <c r="J1237" s="49"/>
      <c r="K1237" s="49"/>
      <c r="L1237" s="49"/>
      <c r="M1237" s="49"/>
      <c r="N1237" s="49"/>
      <c r="O1237" s="49"/>
      <c r="P1237" s="49"/>
      <c r="Q1237" s="49"/>
      <c r="R1237" s="49"/>
      <c r="S1237" s="49"/>
      <c r="T1237" s="49"/>
      <c r="U1237" s="49"/>
      <c r="V1237" s="49"/>
      <c r="W1237" s="49"/>
      <c r="X1237" s="49"/>
      <c r="Y1237" s="49"/>
      <c r="Z1237" s="49"/>
    </row>
    <row r="1238">
      <c r="A1238" s="49"/>
      <c r="B1238" s="49"/>
      <c r="C1238" s="91"/>
      <c r="D1238" s="49"/>
      <c r="E1238" s="49"/>
      <c r="F1238" s="49"/>
      <c r="G1238" s="49"/>
      <c r="H1238" s="49"/>
      <c r="I1238" s="49"/>
      <c r="J1238" s="49"/>
      <c r="K1238" s="49"/>
      <c r="L1238" s="49"/>
      <c r="M1238" s="49"/>
      <c r="N1238" s="49"/>
      <c r="O1238" s="49"/>
      <c r="P1238" s="49"/>
      <c r="Q1238" s="49"/>
      <c r="R1238" s="49"/>
      <c r="S1238" s="49"/>
      <c r="T1238" s="49"/>
      <c r="U1238" s="49"/>
      <c r="V1238" s="49"/>
      <c r="W1238" s="49"/>
      <c r="X1238" s="49"/>
      <c r="Y1238" s="49"/>
      <c r="Z1238" s="49"/>
    </row>
    <row r="1239">
      <c r="A1239" s="49"/>
      <c r="B1239" s="49"/>
      <c r="C1239" s="91"/>
      <c r="D1239" s="49"/>
      <c r="E1239" s="49"/>
      <c r="F1239" s="49"/>
      <c r="G1239" s="49"/>
      <c r="H1239" s="49"/>
      <c r="I1239" s="49"/>
      <c r="J1239" s="49"/>
      <c r="K1239" s="49"/>
      <c r="L1239" s="49"/>
      <c r="M1239" s="49"/>
      <c r="N1239" s="49"/>
      <c r="O1239" s="49"/>
      <c r="P1239" s="49"/>
      <c r="Q1239" s="49"/>
      <c r="R1239" s="49"/>
      <c r="S1239" s="49"/>
      <c r="T1239" s="49"/>
      <c r="U1239" s="49"/>
      <c r="V1239" s="49"/>
      <c r="W1239" s="49"/>
      <c r="X1239" s="49"/>
      <c r="Y1239" s="49"/>
      <c r="Z1239" s="49"/>
    </row>
    <row r="1240">
      <c r="A1240" s="49"/>
      <c r="B1240" s="49"/>
      <c r="C1240" s="91"/>
      <c r="D1240" s="49"/>
      <c r="E1240" s="49"/>
      <c r="F1240" s="49"/>
      <c r="G1240" s="49"/>
      <c r="H1240" s="49"/>
      <c r="I1240" s="49"/>
      <c r="J1240" s="49"/>
      <c r="K1240" s="49"/>
      <c r="L1240" s="49"/>
      <c r="M1240" s="49"/>
      <c r="N1240" s="49"/>
      <c r="O1240" s="49"/>
      <c r="P1240" s="49"/>
      <c r="Q1240" s="49"/>
      <c r="R1240" s="49"/>
      <c r="S1240" s="49"/>
      <c r="T1240" s="49"/>
      <c r="U1240" s="49"/>
      <c r="V1240" s="49"/>
      <c r="W1240" s="49"/>
      <c r="X1240" s="49"/>
      <c r="Y1240" s="49"/>
      <c r="Z1240" s="49"/>
    </row>
    <row r="1241">
      <c r="A1241" s="49"/>
      <c r="B1241" s="49"/>
      <c r="C1241" s="91"/>
      <c r="D1241" s="49"/>
      <c r="E1241" s="49"/>
      <c r="F1241" s="49"/>
      <c r="G1241" s="49"/>
      <c r="H1241" s="49"/>
      <c r="I1241" s="49"/>
      <c r="J1241" s="49"/>
      <c r="K1241" s="49"/>
      <c r="L1241" s="49"/>
      <c r="M1241" s="49"/>
      <c r="N1241" s="49"/>
      <c r="O1241" s="49"/>
      <c r="P1241" s="49"/>
      <c r="Q1241" s="49"/>
      <c r="R1241" s="49"/>
      <c r="S1241" s="49"/>
      <c r="T1241" s="49"/>
      <c r="U1241" s="49"/>
      <c r="V1241" s="49"/>
      <c r="W1241" s="49"/>
      <c r="X1241" s="49"/>
      <c r="Y1241" s="49"/>
      <c r="Z1241" s="49"/>
    </row>
    <row r="1242">
      <c r="A1242" s="49"/>
      <c r="B1242" s="49"/>
      <c r="C1242" s="91"/>
      <c r="D1242" s="49"/>
      <c r="E1242" s="49"/>
      <c r="F1242" s="49"/>
      <c r="G1242" s="49"/>
      <c r="H1242" s="49"/>
      <c r="I1242" s="49"/>
      <c r="J1242" s="49"/>
      <c r="K1242" s="49"/>
      <c r="L1242" s="49"/>
      <c r="M1242" s="49"/>
      <c r="N1242" s="49"/>
      <c r="O1242" s="49"/>
      <c r="P1242" s="49"/>
      <c r="Q1242" s="49"/>
      <c r="R1242" s="49"/>
      <c r="S1242" s="49"/>
      <c r="T1242" s="49"/>
      <c r="U1242" s="49"/>
      <c r="V1242" s="49"/>
      <c r="W1242" s="49"/>
      <c r="X1242" s="49"/>
      <c r="Y1242" s="49"/>
      <c r="Z1242" s="49"/>
    </row>
    <row r="1243">
      <c r="A1243" s="49"/>
      <c r="B1243" s="49"/>
      <c r="C1243" s="91"/>
      <c r="D1243" s="49"/>
      <c r="E1243" s="49"/>
      <c r="F1243" s="49"/>
      <c r="G1243" s="49"/>
      <c r="H1243" s="49"/>
      <c r="I1243" s="49"/>
      <c r="J1243" s="49"/>
      <c r="K1243" s="49"/>
      <c r="L1243" s="49"/>
      <c r="M1243" s="49"/>
      <c r="N1243" s="49"/>
      <c r="O1243" s="49"/>
      <c r="P1243" s="49"/>
      <c r="Q1243" s="49"/>
      <c r="R1243" s="49"/>
      <c r="S1243" s="49"/>
      <c r="T1243" s="49"/>
      <c r="U1243" s="49"/>
      <c r="V1243" s="49"/>
      <c r="W1243" s="49"/>
      <c r="X1243" s="49"/>
      <c r="Y1243" s="49"/>
      <c r="Z1243" s="49"/>
    </row>
    <row r="1244">
      <c r="A1244" s="49"/>
      <c r="B1244" s="49"/>
      <c r="C1244" s="91"/>
      <c r="D1244" s="49"/>
      <c r="E1244" s="49"/>
      <c r="F1244" s="49"/>
      <c r="G1244" s="49"/>
      <c r="H1244" s="49"/>
      <c r="I1244" s="49"/>
      <c r="J1244" s="49"/>
      <c r="K1244" s="49"/>
      <c r="L1244" s="49"/>
      <c r="M1244" s="49"/>
      <c r="N1244" s="49"/>
      <c r="O1244" s="49"/>
      <c r="P1244" s="49"/>
      <c r="Q1244" s="49"/>
      <c r="R1244" s="49"/>
      <c r="S1244" s="49"/>
      <c r="T1244" s="49"/>
      <c r="U1244" s="49"/>
      <c r="V1244" s="49"/>
      <c r="W1244" s="49"/>
      <c r="X1244" s="49"/>
      <c r="Y1244" s="49"/>
      <c r="Z1244" s="49"/>
    </row>
    <row r="1245">
      <c r="A1245" s="49"/>
      <c r="B1245" s="49"/>
      <c r="C1245" s="91"/>
      <c r="D1245" s="49"/>
      <c r="E1245" s="49"/>
      <c r="F1245" s="49"/>
      <c r="G1245" s="49"/>
      <c r="H1245" s="49"/>
      <c r="I1245" s="49"/>
      <c r="J1245" s="49"/>
      <c r="K1245" s="49"/>
      <c r="L1245" s="49"/>
      <c r="M1245" s="49"/>
      <c r="N1245" s="49"/>
      <c r="O1245" s="49"/>
      <c r="P1245" s="49"/>
      <c r="Q1245" s="49"/>
      <c r="R1245" s="49"/>
      <c r="S1245" s="49"/>
      <c r="T1245" s="49"/>
      <c r="U1245" s="49"/>
      <c r="V1245" s="49"/>
      <c r="W1245" s="49"/>
      <c r="X1245" s="49"/>
      <c r="Y1245" s="49"/>
      <c r="Z1245" s="49"/>
    </row>
    <row r="1246">
      <c r="A1246" s="49"/>
      <c r="B1246" s="49"/>
      <c r="C1246" s="91"/>
      <c r="D1246" s="49"/>
      <c r="E1246" s="49"/>
      <c r="F1246" s="49"/>
      <c r="G1246" s="49"/>
      <c r="H1246" s="49"/>
      <c r="I1246" s="49"/>
      <c r="J1246" s="49"/>
      <c r="K1246" s="49"/>
      <c r="L1246" s="49"/>
      <c r="M1246" s="49"/>
      <c r="N1246" s="49"/>
      <c r="O1246" s="49"/>
      <c r="P1246" s="49"/>
      <c r="Q1246" s="49"/>
      <c r="R1246" s="49"/>
      <c r="S1246" s="49"/>
      <c r="T1246" s="49"/>
      <c r="U1246" s="49"/>
      <c r="V1246" s="49"/>
      <c r="W1246" s="49"/>
      <c r="X1246" s="49"/>
      <c r="Y1246" s="49"/>
      <c r="Z1246" s="49"/>
    </row>
    <row r="1247">
      <c r="A1247" s="49"/>
      <c r="B1247" s="49"/>
      <c r="C1247" s="91"/>
      <c r="D1247" s="49"/>
      <c r="E1247" s="49"/>
      <c r="F1247" s="49"/>
      <c r="G1247" s="49"/>
      <c r="H1247" s="49"/>
      <c r="I1247" s="49"/>
      <c r="J1247" s="49"/>
      <c r="K1247" s="49"/>
      <c r="L1247" s="49"/>
      <c r="M1247" s="49"/>
      <c r="N1247" s="49"/>
      <c r="O1247" s="49"/>
      <c r="P1247" s="49"/>
      <c r="Q1247" s="49"/>
      <c r="R1247" s="49"/>
      <c r="S1247" s="49"/>
      <c r="T1247" s="49"/>
      <c r="U1247" s="49"/>
      <c r="V1247" s="49"/>
      <c r="W1247" s="49"/>
      <c r="X1247" s="49"/>
      <c r="Y1247" s="49"/>
      <c r="Z1247" s="49"/>
    </row>
    <row r="1248">
      <c r="A1248" s="49"/>
      <c r="B1248" s="49"/>
      <c r="C1248" s="91"/>
      <c r="D1248" s="49"/>
      <c r="E1248" s="49"/>
      <c r="F1248" s="49"/>
      <c r="G1248" s="49"/>
      <c r="H1248" s="49"/>
      <c r="I1248" s="49"/>
      <c r="J1248" s="49"/>
      <c r="K1248" s="49"/>
      <c r="L1248" s="49"/>
      <c r="M1248" s="49"/>
      <c r="N1248" s="49"/>
      <c r="O1248" s="49"/>
      <c r="P1248" s="49"/>
      <c r="Q1248" s="49"/>
      <c r="R1248" s="49"/>
      <c r="S1248" s="49"/>
      <c r="T1248" s="49"/>
      <c r="U1248" s="49"/>
      <c r="V1248" s="49"/>
      <c r="W1248" s="49"/>
      <c r="X1248" s="49"/>
      <c r="Y1248" s="49"/>
      <c r="Z1248" s="49"/>
    </row>
    <row r="1249">
      <c r="A1249" s="49"/>
      <c r="B1249" s="49"/>
      <c r="C1249" s="91"/>
      <c r="D1249" s="49"/>
      <c r="E1249" s="49"/>
      <c r="F1249" s="49"/>
      <c r="G1249" s="49"/>
      <c r="H1249" s="49"/>
      <c r="I1249" s="49"/>
      <c r="J1249" s="49"/>
      <c r="K1249" s="49"/>
      <c r="L1249" s="49"/>
      <c r="M1249" s="49"/>
      <c r="N1249" s="49"/>
      <c r="O1249" s="49"/>
      <c r="P1249" s="49"/>
      <c r="Q1249" s="49"/>
      <c r="R1249" s="49"/>
      <c r="S1249" s="49"/>
      <c r="T1249" s="49"/>
      <c r="U1249" s="49"/>
      <c r="V1249" s="49"/>
      <c r="W1249" s="49"/>
      <c r="X1249" s="49"/>
      <c r="Y1249" s="49"/>
      <c r="Z1249" s="49"/>
    </row>
    <row r="1250">
      <c r="A1250" s="49"/>
      <c r="B1250" s="49"/>
      <c r="C1250" s="91"/>
      <c r="D1250" s="49"/>
      <c r="E1250" s="49"/>
      <c r="F1250" s="49"/>
      <c r="G1250" s="49"/>
      <c r="H1250" s="49"/>
      <c r="I1250" s="49"/>
      <c r="J1250" s="49"/>
      <c r="K1250" s="49"/>
      <c r="L1250" s="49"/>
      <c r="M1250" s="49"/>
      <c r="N1250" s="49"/>
      <c r="O1250" s="49"/>
      <c r="P1250" s="49"/>
      <c r="Q1250" s="49"/>
      <c r="R1250" s="49"/>
      <c r="S1250" s="49"/>
      <c r="T1250" s="49"/>
      <c r="U1250" s="49"/>
      <c r="V1250" s="49"/>
      <c r="W1250" s="49"/>
      <c r="X1250" s="49"/>
      <c r="Y1250" s="49"/>
      <c r="Z1250" s="49"/>
    </row>
    <row r="1251">
      <c r="A1251" s="49"/>
      <c r="B1251" s="49"/>
      <c r="C1251" s="91"/>
      <c r="D1251" s="49"/>
      <c r="E1251" s="49"/>
      <c r="F1251" s="49"/>
      <c r="G1251" s="49"/>
      <c r="H1251" s="49"/>
      <c r="I1251" s="49"/>
      <c r="J1251" s="49"/>
      <c r="K1251" s="49"/>
      <c r="L1251" s="49"/>
      <c r="M1251" s="49"/>
      <c r="N1251" s="49"/>
      <c r="O1251" s="49"/>
      <c r="P1251" s="49"/>
      <c r="Q1251" s="49"/>
      <c r="R1251" s="49"/>
      <c r="S1251" s="49"/>
      <c r="T1251" s="49"/>
      <c r="U1251" s="49"/>
      <c r="V1251" s="49"/>
      <c r="W1251" s="49"/>
      <c r="X1251" s="49"/>
      <c r="Y1251" s="49"/>
      <c r="Z1251" s="49"/>
    </row>
    <row r="1252">
      <c r="A1252" s="49"/>
      <c r="B1252" s="49"/>
      <c r="C1252" s="91"/>
      <c r="D1252" s="49"/>
      <c r="E1252" s="49"/>
      <c r="F1252" s="49"/>
      <c r="G1252" s="49"/>
      <c r="H1252" s="49"/>
      <c r="I1252" s="49"/>
      <c r="J1252" s="49"/>
      <c r="K1252" s="49"/>
      <c r="L1252" s="49"/>
      <c r="M1252" s="49"/>
      <c r="N1252" s="49"/>
      <c r="O1252" s="49"/>
      <c r="P1252" s="49"/>
      <c r="Q1252" s="49"/>
      <c r="R1252" s="49"/>
      <c r="S1252" s="49"/>
      <c r="T1252" s="49"/>
      <c r="U1252" s="49"/>
      <c r="V1252" s="49"/>
      <c r="W1252" s="49"/>
      <c r="X1252" s="49"/>
      <c r="Y1252" s="49"/>
      <c r="Z1252" s="49"/>
    </row>
    <row r="1253">
      <c r="A1253" s="49"/>
      <c r="B1253" s="49"/>
      <c r="C1253" s="91"/>
      <c r="D1253" s="49"/>
      <c r="E1253" s="49"/>
      <c r="F1253" s="49"/>
      <c r="G1253" s="49"/>
      <c r="H1253" s="49"/>
      <c r="I1253" s="49"/>
      <c r="J1253" s="49"/>
      <c r="K1253" s="49"/>
      <c r="L1253" s="49"/>
      <c r="M1253" s="49"/>
      <c r="N1253" s="49"/>
      <c r="O1253" s="49"/>
      <c r="P1253" s="49"/>
      <c r="Q1253" s="49"/>
      <c r="R1253" s="49"/>
      <c r="S1253" s="49"/>
      <c r="T1253" s="49"/>
      <c r="U1253" s="49"/>
      <c r="V1253" s="49"/>
      <c r="W1253" s="49"/>
      <c r="X1253" s="49"/>
      <c r="Y1253" s="49"/>
      <c r="Z1253" s="49"/>
    </row>
    <row r="1254">
      <c r="A1254" s="49"/>
      <c r="B1254" s="49"/>
      <c r="C1254" s="91"/>
      <c r="D1254" s="49"/>
      <c r="E1254" s="49"/>
      <c r="F1254" s="49"/>
      <c r="G1254" s="49"/>
      <c r="H1254" s="49"/>
      <c r="I1254" s="49"/>
      <c r="J1254" s="49"/>
      <c r="K1254" s="49"/>
      <c r="L1254" s="49"/>
      <c r="M1254" s="49"/>
      <c r="N1254" s="49"/>
      <c r="O1254" s="49"/>
      <c r="P1254" s="49"/>
      <c r="Q1254" s="49"/>
      <c r="R1254" s="49"/>
      <c r="S1254" s="49"/>
      <c r="T1254" s="49"/>
      <c r="U1254" s="49"/>
      <c r="V1254" s="49"/>
      <c r="W1254" s="49"/>
      <c r="X1254" s="49"/>
      <c r="Y1254" s="49"/>
      <c r="Z1254" s="49"/>
    </row>
    <row r="1255">
      <c r="A1255" s="49"/>
      <c r="B1255" s="49"/>
      <c r="C1255" s="91"/>
      <c r="D1255" s="49"/>
      <c r="E1255" s="49"/>
      <c r="F1255" s="49"/>
      <c r="G1255" s="49"/>
      <c r="H1255" s="49"/>
      <c r="I1255" s="49"/>
      <c r="J1255" s="49"/>
      <c r="K1255" s="49"/>
      <c r="L1255" s="49"/>
      <c r="M1255" s="49"/>
      <c r="N1255" s="49"/>
      <c r="O1255" s="49"/>
      <c r="P1255" s="49"/>
      <c r="Q1255" s="49"/>
      <c r="R1255" s="49"/>
      <c r="S1255" s="49"/>
      <c r="T1255" s="49"/>
      <c r="U1255" s="49"/>
      <c r="V1255" s="49"/>
      <c r="W1255" s="49"/>
      <c r="X1255" s="49"/>
      <c r="Y1255" s="49"/>
      <c r="Z1255" s="49"/>
    </row>
    <row r="1256">
      <c r="A1256" s="49"/>
      <c r="B1256" s="49"/>
      <c r="C1256" s="91"/>
      <c r="D1256" s="49"/>
      <c r="E1256" s="49"/>
      <c r="F1256" s="49"/>
      <c r="G1256" s="49"/>
      <c r="H1256" s="49"/>
      <c r="I1256" s="49"/>
      <c r="J1256" s="49"/>
      <c r="K1256" s="49"/>
      <c r="L1256" s="49"/>
      <c r="M1256" s="49"/>
      <c r="N1256" s="49"/>
      <c r="O1256" s="49"/>
      <c r="P1256" s="49"/>
      <c r="Q1256" s="49"/>
      <c r="R1256" s="49"/>
      <c r="S1256" s="49"/>
      <c r="T1256" s="49"/>
      <c r="U1256" s="49"/>
      <c r="V1256" s="49"/>
      <c r="W1256" s="49"/>
      <c r="X1256" s="49"/>
      <c r="Y1256" s="49"/>
      <c r="Z1256" s="49"/>
    </row>
    <row r="1257">
      <c r="A1257" s="49"/>
      <c r="B1257" s="49"/>
      <c r="C1257" s="91"/>
      <c r="D1257" s="49"/>
      <c r="E1257" s="49"/>
      <c r="F1257" s="49"/>
      <c r="G1257" s="49"/>
      <c r="H1257" s="49"/>
      <c r="I1257" s="49"/>
      <c r="J1257" s="49"/>
      <c r="K1257" s="49"/>
      <c r="L1257" s="49"/>
      <c r="M1257" s="49"/>
      <c r="N1257" s="49"/>
      <c r="O1257" s="49"/>
      <c r="P1257" s="49"/>
      <c r="Q1257" s="49"/>
      <c r="R1257" s="49"/>
      <c r="S1257" s="49"/>
      <c r="T1257" s="49"/>
      <c r="U1257" s="49"/>
      <c r="V1257" s="49"/>
      <c r="W1257" s="49"/>
      <c r="X1257" s="49"/>
      <c r="Y1257" s="49"/>
      <c r="Z1257" s="49"/>
    </row>
    <row r="1258">
      <c r="A1258" s="49"/>
      <c r="B1258" s="49"/>
      <c r="C1258" s="91"/>
      <c r="D1258" s="49"/>
      <c r="E1258" s="49"/>
      <c r="F1258" s="49"/>
      <c r="G1258" s="49"/>
      <c r="H1258" s="49"/>
      <c r="I1258" s="49"/>
      <c r="J1258" s="49"/>
      <c r="K1258" s="49"/>
      <c r="L1258" s="49"/>
      <c r="M1258" s="49"/>
      <c r="N1258" s="49"/>
      <c r="O1258" s="49"/>
      <c r="P1258" s="49"/>
      <c r="Q1258" s="49"/>
      <c r="R1258" s="49"/>
      <c r="S1258" s="49"/>
      <c r="T1258" s="49"/>
      <c r="U1258" s="49"/>
      <c r="V1258" s="49"/>
      <c r="W1258" s="49"/>
      <c r="X1258" s="49"/>
      <c r="Y1258" s="49"/>
      <c r="Z1258" s="49"/>
    </row>
    <row r="1259">
      <c r="A1259" s="49"/>
      <c r="B1259" s="49"/>
      <c r="C1259" s="91"/>
      <c r="D1259" s="49"/>
      <c r="E1259" s="49"/>
      <c r="F1259" s="49"/>
      <c r="G1259" s="49"/>
      <c r="H1259" s="49"/>
      <c r="I1259" s="49"/>
      <c r="J1259" s="49"/>
      <c r="K1259" s="49"/>
      <c r="L1259" s="49"/>
      <c r="M1259" s="49"/>
      <c r="N1259" s="49"/>
      <c r="O1259" s="49"/>
      <c r="P1259" s="49"/>
      <c r="Q1259" s="49"/>
      <c r="R1259" s="49"/>
      <c r="S1259" s="49"/>
      <c r="T1259" s="49"/>
      <c r="U1259" s="49"/>
      <c r="V1259" s="49"/>
      <c r="W1259" s="49"/>
      <c r="X1259" s="49"/>
      <c r="Y1259" s="49"/>
      <c r="Z1259" s="49"/>
    </row>
    <row r="1260">
      <c r="A1260" s="49"/>
      <c r="B1260" s="49"/>
      <c r="C1260" s="91"/>
      <c r="D1260" s="49"/>
      <c r="E1260" s="49"/>
      <c r="F1260" s="49"/>
      <c r="G1260" s="49"/>
      <c r="H1260" s="49"/>
      <c r="I1260" s="49"/>
      <c r="J1260" s="49"/>
      <c r="K1260" s="49"/>
      <c r="L1260" s="49"/>
      <c r="M1260" s="49"/>
      <c r="N1260" s="49"/>
      <c r="O1260" s="49"/>
      <c r="P1260" s="49"/>
      <c r="Q1260" s="49"/>
      <c r="R1260" s="49"/>
      <c r="S1260" s="49"/>
      <c r="T1260" s="49"/>
      <c r="U1260" s="49"/>
      <c r="V1260" s="49"/>
      <c r="W1260" s="49"/>
      <c r="X1260" s="49"/>
      <c r="Y1260" s="49"/>
      <c r="Z1260" s="49"/>
    </row>
    <row r="1261">
      <c r="A1261" s="49"/>
      <c r="B1261" s="49"/>
      <c r="C1261" s="91"/>
      <c r="D1261" s="49"/>
      <c r="E1261" s="49"/>
      <c r="F1261" s="49"/>
      <c r="G1261" s="49"/>
      <c r="H1261" s="49"/>
      <c r="I1261" s="49"/>
      <c r="J1261" s="49"/>
      <c r="K1261" s="49"/>
      <c r="L1261" s="49"/>
      <c r="M1261" s="49"/>
      <c r="N1261" s="49"/>
      <c r="O1261" s="49"/>
      <c r="P1261" s="49"/>
      <c r="Q1261" s="49"/>
      <c r="R1261" s="49"/>
      <c r="S1261" s="49"/>
      <c r="T1261" s="49"/>
      <c r="U1261" s="49"/>
      <c r="V1261" s="49"/>
      <c r="W1261" s="49"/>
      <c r="X1261" s="49"/>
      <c r="Y1261" s="49"/>
      <c r="Z1261" s="49"/>
    </row>
    <row r="1262">
      <c r="A1262" s="49"/>
      <c r="B1262" s="49"/>
      <c r="C1262" s="91"/>
      <c r="D1262" s="49"/>
      <c r="E1262" s="49"/>
      <c r="F1262" s="49"/>
      <c r="G1262" s="49"/>
      <c r="H1262" s="49"/>
      <c r="I1262" s="49"/>
      <c r="J1262" s="49"/>
      <c r="K1262" s="49"/>
      <c r="L1262" s="49"/>
      <c r="M1262" s="49"/>
      <c r="N1262" s="49"/>
      <c r="O1262" s="49"/>
      <c r="P1262" s="49"/>
      <c r="Q1262" s="49"/>
      <c r="R1262" s="49"/>
      <c r="S1262" s="49"/>
      <c r="T1262" s="49"/>
      <c r="U1262" s="49"/>
      <c r="V1262" s="49"/>
      <c r="W1262" s="49"/>
      <c r="X1262" s="49"/>
      <c r="Y1262" s="49"/>
      <c r="Z1262" s="49"/>
    </row>
    <row r="1263">
      <c r="A1263" s="49"/>
      <c r="B1263" s="49"/>
      <c r="C1263" s="91"/>
      <c r="D1263" s="49"/>
      <c r="E1263" s="49"/>
      <c r="F1263" s="49"/>
      <c r="G1263" s="49"/>
      <c r="H1263" s="49"/>
      <c r="I1263" s="49"/>
      <c r="J1263" s="49"/>
      <c r="K1263" s="49"/>
      <c r="L1263" s="49"/>
      <c r="M1263" s="49"/>
      <c r="N1263" s="49"/>
      <c r="O1263" s="49"/>
      <c r="P1263" s="49"/>
      <c r="Q1263" s="49"/>
      <c r="R1263" s="49"/>
      <c r="S1263" s="49"/>
      <c r="T1263" s="49"/>
      <c r="U1263" s="49"/>
      <c r="V1263" s="49"/>
      <c r="W1263" s="49"/>
      <c r="X1263" s="49"/>
      <c r="Y1263" s="49"/>
      <c r="Z1263" s="49"/>
    </row>
    <row r="1264">
      <c r="A1264" s="49"/>
      <c r="B1264" s="49"/>
      <c r="C1264" s="91"/>
      <c r="D1264" s="49"/>
      <c r="E1264" s="49"/>
      <c r="F1264" s="49"/>
      <c r="G1264" s="49"/>
      <c r="H1264" s="49"/>
      <c r="I1264" s="49"/>
      <c r="J1264" s="49"/>
      <c r="K1264" s="49"/>
      <c r="L1264" s="49"/>
      <c r="M1264" s="49"/>
      <c r="N1264" s="49"/>
      <c r="O1264" s="49"/>
      <c r="P1264" s="49"/>
      <c r="Q1264" s="49"/>
      <c r="R1264" s="49"/>
      <c r="S1264" s="49"/>
      <c r="T1264" s="49"/>
      <c r="U1264" s="49"/>
      <c r="V1264" s="49"/>
      <c r="W1264" s="49"/>
      <c r="X1264" s="49"/>
      <c r="Y1264" s="49"/>
      <c r="Z1264" s="49"/>
    </row>
    <row r="1265">
      <c r="A1265" s="49"/>
      <c r="B1265" s="49"/>
      <c r="C1265" s="91"/>
      <c r="D1265" s="49"/>
      <c r="E1265" s="49"/>
      <c r="F1265" s="49"/>
      <c r="G1265" s="49"/>
      <c r="H1265" s="49"/>
      <c r="I1265" s="49"/>
      <c r="J1265" s="49"/>
      <c r="K1265" s="49"/>
      <c r="L1265" s="49"/>
      <c r="M1265" s="49"/>
      <c r="N1265" s="49"/>
      <c r="O1265" s="49"/>
      <c r="P1265" s="49"/>
      <c r="Q1265" s="49"/>
      <c r="R1265" s="49"/>
      <c r="S1265" s="49"/>
      <c r="T1265" s="49"/>
      <c r="U1265" s="49"/>
      <c r="V1265" s="49"/>
      <c r="W1265" s="49"/>
      <c r="X1265" s="49"/>
      <c r="Y1265" s="49"/>
      <c r="Z1265" s="49"/>
    </row>
    <row r="1266">
      <c r="A1266" s="49"/>
      <c r="B1266" s="49"/>
      <c r="C1266" s="91"/>
      <c r="D1266" s="49"/>
      <c r="E1266" s="49"/>
      <c r="F1266" s="49"/>
      <c r="G1266" s="49"/>
      <c r="H1266" s="49"/>
      <c r="I1266" s="49"/>
      <c r="J1266" s="49"/>
      <c r="K1266" s="49"/>
      <c r="L1266" s="49"/>
      <c r="M1266" s="49"/>
      <c r="N1266" s="49"/>
      <c r="O1266" s="49"/>
      <c r="P1266" s="49"/>
      <c r="Q1266" s="49"/>
      <c r="R1266" s="49"/>
      <c r="S1266" s="49"/>
      <c r="T1266" s="49"/>
      <c r="U1266" s="49"/>
      <c r="V1266" s="49"/>
      <c r="W1266" s="49"/>
      <c r="X1266" s="49"/>
      <c r="Y1266" s="49"/>
      <c r="Z1266" s="49"/>
    </row>
    <row r="1267">
      <c r="A1267" s="49"/>
      <c r="B1267" s="49"/>
      <c r="C1267" s="91"/>
      <c r="D1267" s="49"/>
      <c r="E1267" s="49"/>
      <c r="F1267" s="49"/>
      <c r="G1267" s="49"/>
      <c r="H1267" s="49"/>
      <c r="I1267" s="49"/>
      <c r="J1267" s="49"/>
      <c r="K1267" s="49"/>
      <c r="L1267" s="49"/>
      <c r="M1267" s="49"/>
      <c r="N1267" s="49"/>
      <c r="O1267" s="49"/>
      <c r="P1267" s="49"/>
      <c r="Q1267" s="49"/>
      <c r="R1267" s="49"/>
      <c r="S1267" s="49"/>
      <c r="T1267" s="49"/>
      <c r="U1267" s="49"/>
      <c r="V1267" s="49"/>
      <c r="W1267" s="49"/>
      <c r="X1267" s="49"/>
      <c r="Y1267" s="49"/>
      <c r="Z1267" s="49"/>
    </row>
    <row r="1268">
      <c r="A1268" s="49"/>
      <c r="B1268" s="49"/>
      <c r="C1268" s="91"/>
      <c r="D1268" s="49"/>
      <c r="E1268" s="49"/>
      <c r="F1268" s="49"/>
      <c r="G1268" s="49"/>
      <c r="H1268" s="49"/>
      <c r="I1268" s="49"/>
      <c r="J1268" s="49"/>
      <c r="K1268" s="49"/>
      <c r="L1268" s="49"/>
      <c r="M1268" s="49"/>
      <c r="N1268" s="49"/>
      <c r="O1268" s="49"/>
      <c r="P1268" s="49"/>
      <c r="Q1268" s="49"/>
      <c r="R1268" s="49"/>
      <c r="S1268" s="49"/>
      <c r="T1268" s="49"/>
      <c r="U1268" s="49"/>
      <c r="V1268" s="49"/>
      <c r="W1268" s="49"/>
      <c r="X1268" s="49"/>
      <c r="Y1268" s="49"/>
      <c r="Z1268" s="49"/>
    </row>
    <row r="1269">
      <c r="A1269" s="49"/>
      <c r="B1269" s="49"/>
      <c r="C1269" s="91"/>
      <c r="D1269" s="49"/>
      <c r="E1269" s="49"/>
      <c r="F1269" s="49"/>
      <c r="G1269" s="49"/>
      <c r="H1269" s="49"/>
      <c r="I1269" s="49"/>
      <c r="J1269" s="49"/>
      <c r="K1269" s="49"/>
      <c r="L1269" s="49"/>
      <c r="M1269" s="49"/>
      <c r="N1269" s="49"/>
      <c r="O1269" s="49"/>
      <c r="P1269" s="49"/>
      <c r="Q1269" s="49"/>
      <c r="R1269" s="49"/>
      <c r="S1269" s="49"/>
      <c r="T1269" s="49"/>
      <c r="U1269" s="49"/>
      <c r="V1269" s="49"/>
      <c r="W1269" s="49"/>
      <c r="X1269" s="49"/>
      <c r="Y1269" s="49"/>
      <c r="Z1269" s="49"/>
    </row>
    <row r="1270">
      <c r="A1270" s="49"/>
      <c r="B1270" s="49"/>
      <c r="C1270" s="91"/>
      <c r="D1270" s="49"/>
      <c r="E1270" s="49"/>
      <c r="F1270" s="49"/>
      <c r="G1270" s="49"/>
      <c r="H1270" s="49"/>
      <c r="I1270" s="49"/>
      <c r="J1270" s="49"/>
      <c r="K1270" s="49"/>
      <c r="L1270" s="49"/>
      <c r="M1270" s="49"/>
      <c r="N1270" s="49"/>
      <c r="O1270" s="49"/>
      <c r="P1270" s="49"/>
      <c r="Q1270" s="49"/>
      <c r="R1270" s="49"/>
      <c r="S1270" s="49"/>
      <c r="T1270" s="49"/>
      <c r="U1270" s="49"/>
      <c r="V1270" s="49"/>
      <c r="W1270" s="49"/>
      <c r="X1270" s="49"/>
      <c r="Y1270" s="49"/>
      <c r="Z1270" s="49"/>
    </row>
    <row r="1271">
      <c r="A1271" s="49"/>
      <c r="B1271" s="49"/>
      <c r="C1271" s="91"/>
      <c r="D1271" s="49"/>
      <c r="E1271" s="49"/>
      <c r="F1271" s="49"/>
      <c r="G1271" s="49"/>
      <c r="H1271" s="49"/>
      <c r="I1271" s="49"/>
      <c r="J1271" s="49"/>
      <c r="K1271" s="49"/>
      <c r="L1271" s="49"/>
      <c r="M1271" s="49"/>
      <c r="N1271" s="49"/>
      <c r="O1271" s="49"/>
      <c r="P1271" s="49"/>
      <c r="Q1271" s="49"/>
      <c r="R1271" s="49"/>
      <c r="S1271" s="49"/>
      <c r="T1271" s="49"/>
      <c r="U1271" s="49"/>
      <c r="V1271" s="49"/>
      <c r="W1271" s="49"/>
      <c r="X1271" s="49"/>
      <c r="Y1271" s="49"/>
      <c r="Z1271" s="49"/>
    </row>
    <row r="1272">
      <c r="A1272" s="49"/>
      <c r="B1272" s="49"/>
      <c r="C1272" s="91"/>
      <c r="D1272" s="49"/>
      <c r="E1272" s="49"/>
      <c r="F1272" s="49"/>
      <c r="G1272" s="49"/>
      <c r="H1272" s="49"/>
      <c r="I1272" s="49"/>
      <c r="J1272" s="49"/>
      <c r="K1272" s="49"/>
      <c r="L1272" s="49"/>
      <c r="M1272" s="49"/>
      <c r="N1272" s="49"/>
      <c r="O1272" s="49"/>
      <c r="P1272" s="49"/>
      <c r="Q1272" s="49"/>
      <c r="R1272" s="49"/>
      <c r="S1272" s="49"/>
      <c r="T1272" s="49"/>
      <c r="U1272" s="49"/>
      <c r="V1272" s="49"/>
      <c r="W1272" s="49"/>
      <c r="X1272" s="49"/>
      <c r="Y1272" s="49"/>
      <c r="Z1272" s="49"/>
    </row>
    <row r="1273">
      <c r="A1273" s="49"/>
      <c r="B1273" s="49"/>
      <c r="C1273" s="91"/>
      <c r="D1273" s="49"/>
      <c r="E1273" s="49"/>
      <c r="F1273" s="49"/>
      <c r="G1273" s="49"/>
      <c r="H1273" s="49"/>
      <c r="I1273" s="49"/>
      <c r="J1273" s="49"/>
      <c r="K1273" s="49"/>
      <c r="L1273" s="49"/>
      <c r="M1273" s="49"/>
      <c r="N1273" s="49"/>
      <c r="O1273" s="49"/>
      <c r="P1273" s="49"/>
      <c r="Q1273" s="49"/>
      <c r="R1273" s="49"/>
      <c r="S1273" s="49"/>
      <c r="T1273" s="49"/>
      <c r="U1273" s="49"/>
      <c r="V1273" s="49"/>
      <c r="W1273" s="49"/>
      <c r="X1273" s="49"/>
      <c r="Y1273" s="49"/>
      <c r="Z1273" s="49"/>
    </row>
    <row r="1274">
      <c r="A1274" s="49"/>
      <c r="B1274" s="49"/>
      <c r="C1274" s="91"/>
      <c r="D1274" s="49"/>
      <c r="E1274" s="49"/>
      <c r="F1274" s="49"/>
      <c r="G1274" s="49"/>
      <c r="H1274" s="49"/>
      <c r="I1274" s="49"/>
      <c r="J1274" s="49"/>
      <c r="K1274" s="49"/>
      <c r="L1274" s="49"/>
      <c r="M1274" s="49"/>
      <c r="N1274" s="49"/>
      <c r="O1274" s="49"/>
      <c r="P1274" s="49"/>
      <c r="Q1274" s="49"/>
      <c r="R1274" s="49"/>
      <c r="S1274" s="49"/>
      <c r="T1274" s="49"/>
      <c r="U1274" s="49"/>
      <c r="V1274" s="49"/>
      <c r="W1274" s="49"/>
      <c r="X1274" s="49"/>
      <c r="Y1274" s="49"/>
      <c r="Z1274" s="49"/>
    </row>
    <row r="1275">
      <c r="A1275" s="49"/>
      <c r="B1275" s="49"/>
      <c r="C1275" s="91"/>
      <c r="D1275" s="49"/>
      <c r="E1275" s="49"/>
      <c r="F1275" s="49"/>
      <c r="G1275" s="49"/>
      <c r="H1275" s="49"/>
      <c r="I1275" s="49"/>
      <c r="J1275" s="49"/>
      <c r="K1275" s="49"/>
      <c r="L1275" s="49"/>
      <c r="M1275" s="49"/>
      <c r="N1275" s="49"/>
      <c r="O1275" s="49"/>
      <c r="P1275" s="49"/>
      <c r="Q1275" s="49"/>
      <c r="R1275" s="49"/>
      <c r="S1275" s="49"/>
      <c r="T1275" s="49"/>
      <c r="U1275" s="49"/>
      <c r="V1275" s="49"/>
      <c r="W1275" s="49"/>
      <c r="X1275" s="49"/>
      <c r="Y1275" s="49"/>
      <c r="Z1275" s="49"/>
    </row>
    <row r="1276">
      <c r="A1276" s="49"/>
      <c r="B1276" s="49"/>
      <c r="C1276" s="91"/>
      <c r="D1276" s="49"/>
      <c r="E1276" s="49"/>
      <c r="F1276" s="49"/>
      <c r="G1276" s="49"/>
      <c r="H1276" s="49"/>
      <c r="I1276" s="49"/>
      <c r="J1276" s="49"/>
      <c r="K1276" s="49"/>
      <c r="L1276" s="49"/>
      <c r="M1276" s="49"/>
      <c r="N1276" s="49"/>
      <c r="O1276" s="49"/>
      <c r="P1276" s="49"/>
      <c r="Q1276" s="49"/>
      <c r="R1276" s="49"/>
      <c r="S1276" s="49"/>
      <c r="T1276" s="49"/>
      <c r="U1276" s="49"/>
      <c r="V1276" s="49"/>
      <c r="W1276" s="49"/>
      <c r="X1276" s="49"/>
      <c r="Y1276" s="49"/>
      <c r="Z1276" s="49"/>
    </row>
    <row r="1277">
      <c r="A1277" s="49"/>
      <c r="B1277" s="49"/>
      <c r="C1277" s="91"/>
      <c r="D1277" s="49"/>
      <c r="E1277" s="49"/>
      <c r="F1277" s="49"/>
      <c r="G1277" s="49"/>
      <c r="H1277" s="49"/>
      <c r="I1277" s="49"/>
      <c r="J1277" s="49"/>
      <c r="K1277" s="49"/>
      <c r="L1277" s="49"/>
      <c r="M1277" s="49"/>
      <c r="N1277" s="49"/>
      <c r="O1277" s="49"/>
      <c r="P1277" s="49"/>
      <c r="Q1277" s="49"/>
      <c r="R1277" s="49"/>
      <c r="S1277" s="49"/>
      <c r="T1277" s="49"/>
      <c r="U1277" s="49"/>
      <c r="V1277" s="49"/>
      <c r="W1277" s="49"/>
      <c r="X1277" s="49"/>
      <c r="Y1277" s="49"/>
      <c r="Z1277" s="49"/>
    </row>
    <row r="1278">
      <c r="A1278" s="49"/>
      <c r="B1278" s="49"/>
      <c r="C1278" s="91"/>
      <c r="D1278" s="49"/>
      <c r="E1278" s="49"/>
      <c r="F1278" s="49"/>
      <c r="G1278" s="49"/>
      <c r="H1278" s="49"/>
      <c r="I1278" s="49"/>
      <c r="J1278" s="49"/>
      <c r="K1278" s="49"/>
      <c r="L1278" s="49"/>
      <c r="M1278" s="49"/>
      <c r="N1278" s="49"/>
      <c r="O1278" s="49"/>
      <c r="P1278" s="49"/>
      <c r="Q1278" s="49"/>
      <c r="R1278" s="49"/>
      <c r="S1278" s="49"/>
      <c r="T1278" s="49"/>
      <c r="U1278" s="49"/>
      <c r="V1278" s="49"/>
      <c r="W1278" s="49"/>
      <c r="X1278" s="49"/>
      <c r="Y1278" s="49"/>
      <c r="Z1278" s="49"/>
    </row>
    <row r="1279">
      <c r="A1279" s="49"/>
      <c r="B1279" s="49"/>
      <c r="C1279" s="91"/>
      <c r="D1279" s="49"/>
      <c r="E1279" s="49"/>
      <c r="F1279" s="49"/>
      <c r="G1279" s="49"/>
      <c r="H1279" s="49"/>
      <c r="I1279" s="49"/>
      <c r="J1279" s="49"/>
      <c r="K1279" s="49"/>
      <c r="L1279" s="49"/>
      <c r="M1279" s="49"/>
      <c r="N1279" s="49"/>
      <c r="O1279" s="49"/>
      <c r="P1279" s="49"/>
      <c r="Q1279" s="49"/>
      <c r="R1279" s="49"/>
      <c r="S1279" s="49"/>
      <c r="T1279" s="49"/>
      <c r="U1279" s="49"/>
      <c r="V1279" s="49"/>
      <c r="W1279" s="49"/>
      <c r="X1279" s="49"/>
      <c r="Y1279" s="49"/>
      <c r="Z1279" s="49"/>
    </row>
    <row r="1280">
      <c r="A1280" s="49"/>
      <c r="B1280" s="49"/>
      <c r="C1280" s="91"/>
      <c r="D1280" s="49"/>
      <c r="E1280" s="49"/>
      <c r="F1280" s="49"/>
      <c r="G1280" s="49"/>
      <c r="H1280" s="49"/>
      <c r="I1280" s="49"/>
      <c r="J1280" s="49"/>
      <c r="K1280" s="49"/>
      <c r="L1280" s="49"/>
      <c r="M1280" s="49"/>
      <c r="N1280" s="49"/>
      <c r="O1280" s="49"/>
      <c r="P1280" s="49"/>
      <c r="Q1280" s="49"/>
      <c r="R1280" s="49"/>
      <c r="S1280" s="49"/>
      <c r="T1280" s="49"/>
      <c r="U1280" s="49"/>
      <c r="V1280" s="49"/>
      <c r="W1280" s="49"/>
      <c r="X1280" s="49"/>
      <c r="Y1280" s="49"/>
      <c r="Z1280" s="49"/>
    </row>
    <row r="1281">
      <c r="A1281" s="49"/>
      <c r="B1281" s="49"/>
      <c r="C1281" s="91"/>
      <c r="D1281" s="49"/>
      <c r="E1281" s="49"/>
      <c r="F1281" s="49"/>
      <c r="G1281" s="49"/>
      <c r="H1281" s="49"/>
      <c r="I1281" s="49"/>
      <c r="J1281" s="49"/>
      <c r="K1281" s="49"/>
      <c r="L1281" s="49"/>
      <c r="M1281" s="49"/>
      <c r="N1281" s="49"/>
      <c r="O1281" s="49"/>
      <c r="P1281" s="49"/>
      <c r="Q1281" s="49"/>
      <c r="R1281" s="49"/>
      <c r="S1281" s="49"/>
      <c r="T1281" s="49"/>
      <c r="U1281" s="49"/>
      <c r="V1281" s="49"/>
      <c r="W1281" s="49"/>
      <c r="X1281" s="49"/>
      <c r="Y1281" s="49"/>
      <c r="Z1281" s="49"/>
    </row>
    <row r="1282">
      <c r="A1282" s="49"/>
      <c r="B1282" s="49"/>
      <c r="C1282" s="91"/>
      <c r="D1282" s="49"/>
      <c r="E1282" s="49"/>
      <c r="F1282" s="49"/>
      <c r="G1282" s="49"/>
      <c r="H1282" s="49"/>
      <c r="I1282" s="49"/>
      <c r="J1282" s="49"/>
      <c r="K1282" s="49"/>
      <c r="L1282" s="49"/>
      <c r="M1282" s="49"/>
      <c r="N1282" s="49"/>
      <c r="O1282" s="49"/>
      <c r="P1282" s="49"/>
      <c r="Q1282" s="49"/>
      <c r="R1282" s="49"/>
      <c r="S1282" s="49"/>
      <c r="T1282" s="49"/>
      <c r="U1282" s="49"/>
      <c r="V1282" s="49"/>
      <c r="W1282" s="49"/>
      <c r="X1282" s="49"/>
      <c r="Y1282" s="49"/>
      <c r="Z1282" s="49"/>
    </row>
    <row r="1283">
      <c r="A1283" s="49"/>
      <c r="B1283" s="49"/>
      <c r="C1283" s="91"/>
      <c r="D1283" s="49"/>
      <c r="E1283" s="49"/>
      <c r="F1283" s="49"/>
      <c r="G1283" s="49"/>
      <c r="H1283" s="49"/>
      <c r="I1283" s="49"/>
      <c r="J1283" s="49"/>
      <c r="K1283" s="49"/>
      <c r="L1283" s="49"/>
      <c r="M1283" s="49"/>
      <c r="N1283" s="49"/>
      <c r="O1283" s="49"/>
      <c r="P1283" s="49"/>
      <c r="Q1283" s="49"/>
      <c r="R1283" s="49"/>
      <c r="S1283" s="49"/>
      <c r="T1283" s="49"/>
      <c r="U1283" s="49"/>
      <c r="V1283" s="49"/>
      <c r="W1283" s="49"/>
      <c r="X1283" s="49"/>
      <c r="Y1283" s="49"/>
      <c r="Z1283" s="49"/>
    </row>
    <row r="1284">
      <c r="A1284" s="49"/>
      <c r="B1284" s="49"/>
      <c r="C1284" s="91"/>
      <c r="D1284" s="49"/>
      <c r="E1284" s="49"/>
      <c r="F1284" s="49"/>
      <c r="G1284" s="49"/>
      <c r="H1284" s="49"/>
      <c r="I1284" s="49"/>
      <c r="J1284" s="49"/>
      <c r="K1284" s="49"/>
      <c r="L1284" s="49"/>
      <c r="M1284" s="49"/>
      <c r="N1284" s="49"/>
      <c r="O1284" s="49"/>
      <c r="P1284" s="49"/>
      <c r="Q1284" s="49"/>
      <c r="R1284" s="49"/>
      <c r="S1284" s="49"/>
      <c r="T1284" s="49"/>
      <c r="U1284" s="49"/>
      <c r="V1284" s="49"/>
      <c r="W1284" s="49"/>
      <c r="X1284" s="49"/>
      <c r="Y1284" s="49"/>
      <c r="Z1284" s="49"/>
    </row>
    <row r="1285">
      <c r="A1285" s="49"/>
      <c r="B1285" s="49"/>
      <c r="C1285" s="91"/>
      <c r="D1285" s="49"/>
      <c r="E1285" s="49"/>
      <c r="F1285" s="49"/>
      <c r="G1285" s="49"/>
      <c r="H1285" s="49"/>
      <c r="I1285" s="49"/>
      <c r="J1285" s="49"/>
      <c r="K1285" s="49"/>
      <c r="L1285" s="49"/>
      <c r="M1285" s="49"/>
      <c r="N1285" s="49"/>
      <c r="O1285" s="49"/>
      <c r="P1285" s="49"/>
      <c r="Q1285" s="49"/>
      <c r="R1285" s="49"/>
      <c r="S1285" s="49"/>
      <c r="T1285" s="49"/>
      <c r="U1285" s="49"/>
      <c r="V1285" s="49"/>
      <c r="W1285" s="49"/>
      <c r="X1285" s="49"/>
      <c r="Y1285" s="49"/>
      <c r="Z1285" s="49"/>
    </row>
    <row r="1286">
      <c r="A1286" s="49"/>
      <c r="B1286" s="49"/>
      <c r="C1286" s="91"/>
      <c r="D1286" s="49"/>
      <c r="E1286" s="49"/>
      <c r="F1286" s="49"/>
      <c r="G1286" s="49"/>
      <c r="H1286" s="49"/>
      <c r="I1286" s="49"/>
      <c r="J1286" s="49"/>
      <c r="K1286" s="49"/>
      <c r="L1286" s="49"/>
      <c r="M1286" s="49"/>
      <c r="N1286" s="49"/>
      <c r="O1286" s="49"/>
      <c r="P1286" s="49"/>
      <c r="Q1286" s="49"/>
      <c r="R1286" s="49"/>
      <c r="S1286" s="49"/>
      <c r="T1286" s="49"/>
      <c r="U1286" s="49"/>
      <c r="V1286" s="49"/>
      <c r="W1286" s="49"/>
      <c r="X1286" s="49"/>
      <c r="Y1286" s="49"/>
      <c r="Z1286" s="49"/>
    </row>
    <row r="1287">
      <c r="A1287" s="49"/>
      <c r="B1287" s="49"/>
      <c r="C1287" s="91"/>
      <c r="D1287" s="49"/>
      <c r="E1287" s="49"/>
      <c r="F1287" s="49"/>
      <c r="G1287" s="49"/>
      <c r="H1287" s="49"/>
      <c r="I1287" s="49"/>
      <c r="J1287" s="49"/>
      <c r="K1287" s="49"/>
      <c r="L1287" s="49"/>
      <c r="M1287" s="49"/>
      <c r="N1287" s="49"/>
      <c r="O1287" s="49"/>
      <c r="P1287" s="49"/>
      <c r="Q1287" s="49"/>
      <c r="R1287" s="49"/>
      <c r="S1287" s="49"/>
      <c r="T1287" s="49"/>
      <c r="U1287" s="49"/>
      <c r="V1287" s="49"/>
      <c r="W1287" s="49"/>
      <c r="X1287" s="49"/>
      <c r="Y1287" s="49"/>
      <c r="Z1287" s="49"/>
    </row>
    <row r="1288">
      <c r="A1288" s="49"/>
      <c r="B1288" s="49"/>
      <c r="C1288" s="91"/>
      <c r="D1288" s="49"/>
      <c r="E1288" s="49"/>
      <c r="F1288" s="49"/>
      <c r="G1288" s="49"/>
      <c r="H1288" s="49"/>
      <c r="I1288" s="49"/>
      <c r="J1288" s="49"/>
      <c r="K1288" s="49"/>
      <c r="L1288" s="49"/>
      <c r="M1288" s="49"/>
      <c r="N1288" s="49"/>
      <c r="O1288" s="49"/>
      <c r="P1288" s="49"/>
      <c r="Q1288" s="49"/>
      <c r="R1288" s="49"/>
      <c r="S1288" s="49"/>
      <c r="T1288" s="49"/>
      <c r="U1288" s="49"/>
      <c r="V1288" s="49"/>
      <c r="W1288" s="49"/>
      <c r="X1288" s="49"/>
      <c r="Y1288" s="49"/>
      <c r="Z1288" s="49"/>
    </row>
    <row r="1289">
      <c r="A1289" s="49"/>
      <c r="B1289" s="49"/>
      <c r="C1289" s="91"/>
      <c r="D1289" s="49"/>
      <c r="E1289" s="49"/>
      <c r="F1289" s="49"/>
      <c r="G1289" s="49"/>
      <c r="H1289" s="49"/>
      <c r="I1289" s="49"/>
      <c r="J1289" s="49"/>
      <c r="K1289" s="49"/>
      <c r="L1289" s="49"/>
      <c r="M1289" s="49"/>
      <c r="N1289" s="49"/>
      <c r="O1289" s="49"/>
      <c r="P1289" s="49"/>
      <c r="Q1289" s="49"/>
      <c r="R1289" s="49"/>
      <c r="S1289" s="49"/>
      <c r="T1289" s="49"/>
      <c r="U1289" s="49"/>
      <c r="V1289" s="49"/>
      <c r="W1289" s="49"/>
      <c r="X1289" s="49"/>
      <c r="Y1289" s="49"/>
      <c r="Z1289" s="49"/>
    </row>
    <row r="1290">
      <c r="A1290" s="49"/>
      <c r="B1290" s="49"/>
      <c r="C1290" s="91"/>
      <c r="D1290" s="49"/>
      <c r="E1290" s="49"/>
      <c r="F1290" s="49"/>
      <c r="G1290" s="49"/>
      <c r="H1290" s="49"/>
      <c r="I1290" s="49"/>
      <c r="J1290" s="49"/>
      <c r="K1290" s="49"/>
      <c r="L1290" s="49"/>
      <c r="M1290" s="49"/>
      <c r="N1290" s="49"/>
      <c r="O1290" s="49"/>
      <c r="P1290" s="49"/>
      <c r="Q1290" s="49"/>
      <c r="R1290" s="49"/>
      <c r="S1290" s="49"/>
      <c r="T1290" s="49"/>
      <c r="U1290" s="49"/>
      <c r="V1290" s="49"/>
      <c r="W1290" s="49"/>
      <c r="X1290" s="49"/>
      <c r="Y1290" s="49"/>
      <c r="Z1290" s="49"/>
    </row>
    <row r="1291">
      <c r="A1291" s="49"/>
      <c r="B1291" s="49"/>
      <c r="C1291" s="91"/>
      <c r="D1291" s="49"/>
      <c r="E1291" s="49"/>
      <c r="F1291" s="49"/>
      <c r="G1291" s="49"/>
      <c r="H1291" s="49"/>
      <c r="I1291" s="49"/>
      <c r="J1291" s="49"/>
      <c r="K1291" s="49"/>
      <c r="L1291" s="49"/>
      <c r="M1291" s="49"/>
      <c r="N1291" s="49"/>
      <c r="O1291" s="49"/>
      <c r="P1291" s="49"/>
      <c r="Q1291" s="49"/>
      <c r="R1291" s="49"/>
      <c r="S1291" s="49"/>
      <c r="T1291" s="49"/>
      <c r="U1291" s="49"/>
      <c r="V1291" s="49"/>
      <c r="W1291" s="49"/>
      <c r="X1291" s="49"/>
      <c r="Y1291" s="49"/>
      <c r="Z1291" s="49"/>
    </row>
    <row r="1292">
      <c r="A1292" s="49"/>
      <c r="B1292" s="49"/>
      <c r="C1292" s="91"/>
      <c r="D1292" s="49"/>
      <c r="E1292" s="49"/>
      <c r="F1292" s="49"/>
      <c r="G1292" s="49"/>
      <c r="H1292" s="49"/>
      <c r="I1292" s="49"/>
      <c r="J1292" s="49"/>
      <c r="K1292" s="49"/>
      <c r="L1292" s="49"/>
      <c r="M1292" s="49"/>
      <c r="N1292" s="49"/>
      <c r="O1292" s="49"/>
      <c r="P1292" s="49"/>
      <c r="Q1292" s="49"/>
      <c r="R1292" s="49"/>
      <c r="S1292" s="49"/>
      <c r="T1292" s="49"/>
      <c r="U1292" s="49"/>
      <c r="V1292" s="49"/>
      <c r="W1292" s="49"/>
      <c r="X1292" s="49"/>
      <c r="Y1292" s="49"/>
      <c r="Z1292" s="49"/>
    </row>
    <row r="1293">
      <c r="A1293" s="49"/>
      <c r="B1293" s="49"/>
      <c r="C1293" s="91"/>
      <c r="D1293" s="49"/>
      <c r="E1293" s="49"/>
      <c r="F1293" s="49"/>
      <c r="G1293" s="49"/>
      <c r="H1293" s="49"/>
      <c r="I1293" s="49"/>
      <c r="J1293" s="49"/>
      <c r="K1293" s="49"/>
      <c r="L1293" s="49"/>
      <c r="M1293" s="49"/>
      <c r="N1293" s="49"/>
      <c r="O1293" s="49"/>
      <c r="P1293" s="49"/>
      <c r="Q1293" s="49"/>
      <c r="R1293" s="49"/>
      <c r="S1293" s="49"/>
      <c r="T1293" s="49"/>
      <c r="U1293" s="49"/>
      <c r="V1293" s="49"/>
      <c r="W1293" s="49"/>
      <c r="X1293" s="49"/>
      <c r="Y1293" s="49"/>
      <c r="Z1293" s="49"/>
    </row>
    <row r="1294">
      <c r="A1294" s="49"/>
      <c r="B1294" s="49"/>
      <c r="C1294" s="91"/>
      <c r="D1294" s="49"/>
      <c r="E1294" s="49"/>
      <c r="F1294" s="49"/>
      <c r="G1294" s="49"/>
      <c r="H1294" s="49"/>
      <c r="I1294" s="49"/>
      <c r="J1294" s="49"/>
      <c r="K1294" s="49"/>
      <c r="L1294" s="49"/>
      <c r="M1294" s="49"/>
      <c r="N1294" s="49"/>
      <c r="O1294" s="49"/>
      <c r="P1294" s="49"/>
      <c r="Q1294" s="49"/>
      <c r="R1294" s="49"/>
      <c r="S1294" s="49"/>
      <c r="T1294" s="49"/>
      <c r="U1294" s="49"/>
      <c r="V1294" s="49"/>
      <c r="W1294" s="49"/>
      <c r="X1294" s="49"/>
      <c r="Y1294" s="49"/>
      <c r="Z1294" s="49"/>
    </row>
    <row r="1295">
      <c r="A1295" s="49"/>
      <c r="B1295" s="49"/>
      <c r="C1295" s="91"/>
      <c r="D1295" s="49"/>
      <c r="E1295" s="49"/>
      <c r="F1295" s="49"/>
      <c r="G1295" s="49"/>
      <c r="H1295" s="49"/>
      <c r="I1295" s="49"/>
      <c r="J1295" s="49"/>
      <c r="K1295" s="49"/>
      <c r="L1295" s="49"/>
      <c r="M1295" s="49"/>
      <c r="N1295" s="49"/>
      <c r="O1295" s="49"/>
      <c r="P1295" s="49"/>
      <c r="Q1295" s="49"/>
      <c r="R1295" s="49"/>
      <c r="S1295" s="49"/>
      <c r="T1295" s="49"/>
      <c r="U1295" s="49"/>
      <c r="V1295" s="49"/>
      <c r="W1295" s="49"/>
      <c r="X1295" s="49"/>
      <c r="Y1295" s="49"/>
      <c r="Z1295" s="49"/>
    </row>
    <row r="1296">
      <c r="A1296" s="49"/>
      <c r="B1296" s="49"/>
      <c r="C1296" s="91"/>
      <c r="D1296" s="49"/>
      <c r="E1296" s="49"/>
      <c r="F1296" s="49"/>
      <c r="G1296" s="49"/>
      <c r="H1296" s="49"/>
      <c r="I1296" s="49"/>
      <c r="J1296" s="49"/>
      <c r="K1296" s="49"/>
      <c r="L1296" s="49"/>
      <c r="M1296" s="49"/>
      <c r="N1296" s="49"/>
      <c r="O1296" s="49"/>
      <c r="P1296" s="49"/>
      <c r="Q1296" s="49"/>
      <c r="R1296" s="49"/>
      <c r="S1296" s="49"/>
      <c r="T1296" s="49"/>
      <c r="U1296" s="49"/>
      <c r="V1296" s="49"/>
      <c r="W1296" s="49"/>
      <c r="X1296" s="49"/>
      <c r="Y1296" s="49"/>
      <c r="Z1296" s="49"/>
    </row>
    <row r="1297">
      <c r="A1297" s="49"/>
      <c r="B1297" s="49"/>
      <c r="C1297" s="91"/>
      <c r="D1297" s="49"/>
      <c r="E1297" s="49"/>
      <c r="F1297" s="49"/>
      <c r="G1297" s="49"/>
      <c r="H1297" s="49"/>
      <c r="I1297" s="49"/>
      <c r="J1297" s="49"/>
      <c r="K1297" s="49"/>
      <c r="L1297" s="49"/>
      <c r="M1297" s="49"/>
      <c r="N1297" s="49"/>
      <c r="O1297" s="49"/>
      <c r="P1297" s="49"/>
      <c r="Q1297" s="49"/>
      <c r="R1297" s="49"/>
      <c r="S1297" s="49"/>
      <c r="T1297" s="49"/>
      <c r="U1297" s="49"/>
      <c r="V1297" s="49"/>
      <c r="W1297" s="49"/>
      <c r="X1297" s="49"/>
      <c r="Y1297" s="49"/>
      <c r="Z1297" s="49"/>
    </row>
    <row r="1298">
      <c r="A1298" s="49"/>
      <c r="B1298" s="49"/>
      <c r="C1298" s="91"/>
      <c r="D1298" s="49"/>
      <c r="E1298" s="49"/>
      <c r="F1298" s="49"/>
      <c r="G1298" s="49"/>
      <c r="H1298" s="49"/>
      <c r="I1298" s="49"/>
      <c r="J1298" s="49"/>
      <c r="K1298" s="49"/>
      <c r="L1298" s="49"/>
      <c r="M1298" s="49"/>
      <c r="N1298" s="49"/>
      <c r="O1298" s="49"/>
      <c r="P1298" s="49"/>
      <c r="Q1298" s="49"/>
      <c r="R1298" s="49"/>
      <c r="S1298" s="49"/>
      <c r="T1298" s="49"/>
      <c r="U1298" s="49"/>
      <c r="V1298" s="49"/>
      <c r="W1298" s="49"/>
      <c r="X1298" s="49"/>
      <c r="Y1298" s="49"/>
      <c r="Z1298" s="49"/>
    </row>
    <row r="1299">
      <c r="A1299" s="49"/>
      <c r="B1299" s="49"/>
      <c r="C1299" s="91"/>
      <c r="D1299" s="49"/>
      <c r="E1299" s="49"/>
      <c r="F1299" s="49"/>
      <c r="G1299" s="49"/>
      <c r="H1299" s="49"/>
      <c r="I1299" s="49"/>
      <c r="J1299" s="49"/>
      <c r="K1299" s="49"/>
      <c r="L1299" s="49"/>
      <c r="M1299" s="49"/>
      <c r="N1299" s="49"/>
      <c r="O1299" s="49"/>
      <c r="P1299" s="49"/>
      <c r="Q1299" s="49"/>
      <c r="R1299" s="49"/>
      <c r="S1299" s="49"/>
      <c r="T1299" s="49"/>
      <c r="U1299" s="49"/>
      <c r="V1299" s="49"/>
      <c r="W1299" s="49"/>
      <c r="X1299" s="49"/>
      <c r="Y1299" s="49"/>
      <c r="Z1299" s="49"/>
    </row>
    <row r="1300">
      <c r="A1300" s="49"/>
      <c r="B1300" s="49"/>
      <c r="C1300" s="91"/>
      <c r="D1300" s="49"/>
      <c r="E1300" s="49"/>
      <c r="F1300" s="49"/>
      <c r="G1300" s="49"/>
      <c r="H1300" s="49"/>
      <c r="I1300" s="49"/>
      <c r="J1300" s="49"/>
      <c r="K1300" s="49"/>
      <c r="L1300" s="49"/>
      <c r="M1300" s="49"/>
      <c r="N1300" s="49"/>
      <c r="O1300" s="49"/>
      <c r="P1300" s="49"/>
      <c r="Q1300" s="49"/>
      <c r="R1300" s="49"/>
      <c r="S1300" s="49"/>
      <c r="T1300" s="49"/>
      <c r="U1300" s="49"/>
      <c r="V1300" s="49"/>
      <c r="W1300" s="49"/>
      <c r="X1300" s="49"/>
      <c r="Y1300" s="49"/>
      <c r="Z1300" s="49"/>
    </row>
    <row r="1301">
      <c r="A1301" s="49"/>
      <c r="B1301" s="49"/>
      <c r="C1301" s="91"/>
      <c r="D1301" s="49"/>
      <c r="E1301" s="49"/>
      <c r="F1301" s="49"/>
      <c r="G1301" s="49"/>
      <c r="H1301" s="49"/>
      <c r="I1301" s="49"/>
      <c r="J1301" s="49"/>
      <c r="K1301" s="49"/>
      <c r="L1301" s="49"/>
      <c r="M1301" s="49"/>
      <c r="N1301" s="49"/>
      <c r="O1301" s="49"/>
      <c r="P1301" s="49"/>
      <c r="Q1301" s="49"/>
      <c r="R1301" s="49"/>
      <c r="S1301" s="49"/>
      <c r="T1301" s="49"/>
      <c r="U1301" s="49"/>
      <c r="V1301" s="49"/>
      <c r="W1301" s="49"/>
      <c r="X1301" s="49"/>
      <c r="Y1301" s="49"/>
      <c r="Z1301" s="49"/>
    </row>
    <row r="1302">
      <c r="A1302" s="49"/>
      <c r="B1302" s="49"/>
      <c r="C1302" s="91"/>
      <c r="D1302" s="49"/>
      <c r="E1302" s="49"/>
      <c r="F1302" s="49"/>
      <c r="G1302" s="49"/>
      <c r="H1302" s="49"/>
      <c r="I1302" s="49"/>
      <c r="J1302" s="49"/>
      <c r="K1302" s="49"/>
      <c r="L1302" s="49"/>
      <c r="M1302" s="49"/>
      <c r="N1302" s="49"/>
      <c r="O1302" s="49"/>
      <c r="P1302" s="49"/>
      <c r="Q1302" s="49"/>
      <c r="R1302" s="49"/>
      <c r="S1302" s="49"/>
      <c r="T1302" s="49"/>
      <c r="U1302" s="49"/>
      <c r="V1302" s="49"/>
      <c r="W1302" s="49"/>
      <c r="X1302" s="49"/>
      <c r="Y1302" s="49"/>
      <c r="Z1302" s="49"/>
    </row>
    <row r="1303">
      <c r="A1303" s="49"/>
      <c r="B1303" s="49"/>
      <c r="C1303" s="91"/>
      <c r="D1303" s="49"/>
      <c r="E1303" s="49"/>
      <c r="F1303" s="49"/>
      <c r="G1303" s="49"/>
      <c r="H1303" s="49"/>
      <c r="I1303" s="49"/>
      <c r="J1303" s="49"/>
      <c r="K1303" s="49"/>
      <c r="L1303" s="49"/>
      <c r="M1303" s="49"/>
      <c r="N1303" s="49"/>
      <c r="O1303" s="49"/>
      <c r="P1303" s="49"/>
      <c r="Q1303" s="49"/>
      <c r="R1303" s="49"/>
      <c r="S1303" s="49"/>
      <c r="T1303" s="49"/>
      <c r="U1303" s="49"/>
      <c r="V1303" s="49"/>
      <c r="W1303" s="49"/>
      <c r="X1303" s="49"/>
      <c r="Y1303" s="49"/>
      <c r="Z1303" s="49"/>
    </row>
    <row r="1304">
      <c r="A1304" s="49"/>
      <c r="B1304" s="49"/>
      <c r="C1304" s="91"/>
      <c r="D1304" s="49"/>
      <c r="E1304" s="49"/>
      <c r="F1304" s="49"/>
      <c r="G1304" s="49"/>
      <c r="H1304" s="49"/>
      <c r="I1304" s="49"/>
      <c r="J1304" s="49"/>
      <c r="K1304" s="49"/>
      <c r="L1304" s="49"/>
      <c r="M1304" s="49"/>
      <c r="N1304" s="49"/>
      <c r="O1304" s="49"/>
      <c r="P1304" s="49"/>
      <c r="Q1304" s="49"/>
      <c r="R1304" s="49"/>
      <c r="S1304" s="49"/>
      <c r="T1304" s="49"/>
      <c r="U1304" s="49"/>
      <c r="V1304" s="49"/>
      <c r="W1304" s="49"/>
      <c r="X1304" s="49"/>
      <c r="Y1304" s="49"/>
      <c r="Z1304" s="49"/>
    </row>
    <row r="1305">
      <c r="A1305" s="49"/>
      <c r="B1305" s="49"/>
      <c r="C1305" s="91"/>
      <c r="D1305" s="49"/>
      <c r="E1305" s="49"/>
      <c r="F1305" s="49"/>
      <c r="G1305" s="49"/>
      <c r="H1305" s="49"/>
      <c r="I1305" s="49"/>
      <c r="J1305" s="49"/>
      <c r="K1305" s="49"/>
      <c r="L1305" s="49"/>
      <c r="M1305" s="49"/>
      <c r="N1305" s="49"/>
      <c r="O1305" s="49"/>
      <c r="P1305" s="49"/>
      <c r="Q1305" s="49"/>
      <c r="R1305" s="49"/>
      <c r="S1305" s="49"/>
      <c r="T1305" s="49"/>
      <c r="U1305" s="49"/>
      <c r="V1305" s="49"/>
      <c r="W1305" s="49"/>
      <c r="X1305" s="49"/>
      <c r="Y1305" s="49"/>
      <c r="Z1305" s="49"/>
    </row>
    <row r="1306">
      <c r="A1306" s="49"/>
      <c r="B1306" s="49"/>
      <c r="C1306" s="91"/>
      <c r="D1306" s="49"/>
      <c r="E1306" s="49"/>
      <c r="F1306" s="49"/>
      <c r="G1306" s="49"/>
      <c r="H1306" s="49"/>
      <c r="I1306" s="49"/>
      <c r="J1306" s="49"/>
      <c r="K1306" s="49"/>
      <c r="L1306" s="49"/>
      <c r="M1306" s="49"/>
      <c r="N1306" s="49"/>
      <c r="O1306" s="49"/>
      <c r="P1306" s="49"/>
      <c r="Q1306" s="49"/>
      <c r="R1306" s="49"/>
      <c r="S1306" s="49"/>
      <c r="T1306" s="49"/>
      <c r="U1306" s="49"/>
      <c r="V1306" s="49"/>
      <c r="W1306" s="49"/>
      <c r="X1306" s="49"/>
      <c r="Y1306" s="49"/>
      <c r="Z1306" s="49"/>
    </row>
    <row r="1307">
      <c r="A1307" s="49"/>
      <c r="B1307" s="49"/>
      <c r="C1307" s="91"/>
      <c r="D1307" s="49"/>
      <c r="E1307" s="49"/>
      <c r="F1307" s="49"/>
      <c r="G1307" s="49"/>
      <c r="H1307" s="49"/>
      <c r="I1307" s="49"/>
      <c r="J1307" s="49"/>
      <c r="K1307" s="49"/>
      <c r="L1307" s="49"/>
      <c r="M1307" s="49"/>
      <c r="N1307" s="49"/>
      <c r="O1307" s="49"/>
      <c r="P1307" s="49"/>
      <c r="Q1307" s="49"/>
      <c r="R1307" s="49"/>
      <c r="S1307" s="49"/>
      <c r="T1307" s="49"/>
      <c r="U1307" s="49"/>
      <c r="V1307" s="49"/>
      <c r="W1307" s="49"/>
      <c r="X1307" s="49"/>
      <c r="Y1307" s="49"/>
      <c r="Z1307" s="49"/>
    </row>
    <row r="1308">
      <c r="A1308" s="49"/>
      <c r="B1308" s="49"/>
      <c r="C1308" s="91"/>
      <c r="D1308" s="49"/>
      <c r="E1308" s="49"/>
      <c r="F1308" s="49"/>
      <c r="G1308" s="49"/>
      <c r="H1308" s="49"/>
      <c r="I1308" s="49"/>
      <c r="J1308" s="49"/>
      <c r="K1308" s="49"/>
      <c r="L1308" s="49"/>
      <c r="M1308" s="49"/>
      <c r="N1308" s="49"/>
      <c r="O1308" s="49"/>
      <c r="P1308" s="49"/>
      <c r="Q1308" s="49"/>
      <c r="R1308" s="49"/>
      <c r="S1308" s="49"/>
      <c r="T1308" s="49"/>
      <c r="U1308" s="49"/>
      <c r="V1308" s="49"/>
      <c r="W1308" s="49"/>
      <c r="X1308" s="49"/>
      <c r="Y1308" s="49"/>
      <c r="Z1308" s="49"/>
    </row>
    <row r="1309">
      <c r="A1309" s="49"/>
      <c r="B1309" s="49"/>
      <c r="C1309" s="91"/>
      <c r="D1309" s="49"/>
      <c r="E1309" s="49"/>
      <c r="F1309" s="49"/>
      <c r="G1309" s="49"/>
      <c r="H1309" s="49"/>
      <c r="I1309" s="49"/>
      <c r="J1309" s="49"/>
      <c r="K1309" s="49"/>
      <c r="L1309" s="49"/>
      <c r="M1309" s="49"/>
      <c r="N1309" s="49"/>
      <c r="O1309" s="49"/>
      <c r="P1309" s="49"/>
      <c r="Q1309" s="49"/>
      <c r="R1309" s="49"/>
      <c r="S1309" s="49"/>
      <c r="T1309" s="49"/>
      <c r="U1309" s="49"/>
      <c r="V1309" s="49"/>
      <c r="W1309" s="49"/>
      <c r="X1309" s="49"/>
      <c r="Y1309" s="49"/>
      <c r="Z1309" s="49"/>
    </row>
    <row r="1310">
      <c r="A1310" s="49"/>
      <c r="B1310" s="49"/>
      <c r="C1310" s="91"/>
      <c r="D1310" s="49"/>
      <c r="E1310" s="49"/>
      <c r="F1310" s="49"/>
      <c r="G1310" s="49"/>
      <c r="H1310" s="49"/>
      <c r="I1310" s="49"/>
      <c r="J1310" s="49"/>
      <c r="K1310" s="49"/>
      <c r="L1310" s="49"/>
      <c r="M1310" s="49"/>
      <c r="N1310" s="49"/>
      <c r="O1310" s="49"/>
      <c r="P1310" s="49"/>
      <c r="Q1310" s="49"/>
      <c r="R1310" s="49"/>
      <c r="S1310" s="49"/>
      <c r="T1310" s="49"/>
      <c r="U1310" s="49"/>
      <c r="V1310" s="49"/>
      <c r="W1310" s="49"/>
      <c r="X1310" s="49"/>
      <c r="Y1310" s="49"/>
      <c r="Z1310" s="49"/>
    </row>
    <row r="1311">
      <c r="A1311" s="49"/>
      <c r="B1311" s="49"/>
      <c r="C1311" s="91"/>
      <c r="D1311" s="49"/>
      <c r="E1311" s="49"/>
      <c r="F1311" s="49"/>
      <c r="G1311" s="49"/>
      <c r="H1311" s="49"/>
      <c r="I1311" s="49"/>
      <c r="J1311" s="49"/>
      <c r="K1311" s="49"/>
      <c r="L1311" s="49"/>
      <c r="M1311" s="49"/>
      <c r="N1311" s="49"/>
      <c r="O1311" s="49"/>
      <c r="P1311" s="49"/>
      <c r="Q1311" s="49"/>
      <c r="R1311" s="49"/>
      <c r="S1311" s="49"/>
      <c r="T1311" s="49"/>
      <c r="U1311" s="49"/>
      <c r="V1311" s="49"/>
      <c r="W1311" s="49"/>
      <c r="X1311" s="49"/>
      <c r="Y1311" s="49"/>
      <c r="Z1311" s="49"/>
    </row>
    <row r="1312">
      <c r="A1312" s="49"/>
      <c r="B1312" s="49"/>
      <c r="C1312" s="91"/>
      <c r="D1312" s="49"/>
      <c r="E1312" s="49"/>
      <c r="F1312" s="49"/>
      <c r="G1312" s="49"/>
      <c r="H1312" s="49"/>
      <c r="I1312" s="49"/>
      <c r="J1312" s="49"/>
      <c r="K1312" s="49"/>
      <c r="L1312" s="49"/>
      <c r="M1312" s="49"/>
      <c r="N1312" s="49"/>
      <c r="O1312" s="49"/>
      <c r="P1312" s="49"/>
      <c r="Q1312" s="49"/>
      <c r="R1312" s="49"/>
      <c r="S1312" s="49"/>
      <c r="T1312" s="49"/>
      <c r="U1312" s="49"/>
      <c r="V1312" s="49"/>
      <c r="W1312" s="49"/>
      <c r="X1312" s="49"/>
      <c r="Y1312" s="49"/>
      <c r="Z1312" s="49"/>
    </row>
    <row r="1313">
      <c r="A1313" s="49"/>
      <c r="B1313" s="49"/>
      <c r="C1313" s="91"/>
      <c r="D1313" s="49"/>
      <c r="E1313" s="49"/>
      <c r="F1313" s="49"/>
      <c r="G1313" s="49"/>
      <c r="H1313" s="49"/>
      <c r="I1313" s="49"/>
      <c r="J1313" s="49"/>
      <c r="K1313" s="49"/>
      <c r="L1313" s="49"/>
      <c r="M1313" s="49"/>
      <c r="N1313" s="49"/>
      <c r="O1313" s="49"/>
      <c r="P1313" s="49"/>
      <c r="Q1313" s="49"/>
      <c r="R1313" s="49"/>
      <c r="S1313" s="49"/>
      <c r="T1313" s="49"/>
      <c r="U1313" s="49"/>
      <c r="V1313" s="49"/>
      <c r="W1313" s="49"/>
      <c r="X1313" s="49"/>
      <c r="Y1313" s="49"/>
      <c r="Z1313" s="49"/>
    </row>
    <row r="1314">
      <c r="A1314" s="49"/>
      <c r="B1314" s="49"/>
      <c r="C1314" s="91"/>
      <c r="D1314" s="49"/>
      <c r="E1314" s="49"/>
      <c r="F1314" s="49"/>
      <c r="G1314" s="49"/>
      <c r="H1314" s="49"/>
      <c r="I1314" s="49"/>
      <c r="J1314" s="49"/>
      <c r="K1314" s="49"/>
      <c r="L1314" s="49"/>
      <c r="M1314" s="49"/>
      <c r="N1314" s="49"/>
      <c r="O1314" s="49"/>
      <c r="P1314" s="49"/>
      <c r="Q1314" s="49"/>
      <c r="R1314" s="49"/>
      <c r="S1314" s="49"/>
      <c r="T1314" s="49"/>
      <c r="U1314" s="49"/>
      <c r="V1314" s="49"/>
      <c r="W1314" s="49"/>
      <c r="X1314" s="49"/>
      <c r="Y1314" s="49"/>
      <c r="Z1314" s="49"/>
    </row>
    <row r="1315">
      <c r="A1315" s="49"/>
      <c r="B1315" s="49"/>
      <c r="C1315" s="91"/>
      <c r="D1315" s="49"/>
      <c r="E1315" s="49"/>
      <c r="F1315" s="49"/>
      <c r="G1315" s="49"/>
      <c r="H1315" s="49"/>
      <c r="I1315" s="49"/>
      <c r="J1315" s="49"/>
      <c r="K1315" s="49"/>
      <c r="L1315" s="49"/>
      <c r="M1315" s="49"/>
      <c r="N1315" s="49"/>
      <c r="O1315" s="49"/>
      <c r="P1315" s="49"/>
      <c r="Q1315" s="49"/>
      <c r="R1315" s="49"/>
      <c r="S1315" s="49"/>
      <c r="T1315" s="49"/>
      <c r="U1315" s="49"/>
      <c r="V1315" s="49"/>
      <c r="W1315" s="49"/>
      <c r="X1315" s="49"/>
      <c r="Y1315" s="49"/>
      <c r="Z1315" s="49"/>
    </row>
    <row r="1316">
      <c r="A1316" s="49"/>
      <c r="B1316" s="49"/>
      <c r="C1316" s="91"/>
      <c r="D1316" s="49"/>
      <c r="E1316" s="49"/>
      <c r="F1316" s="49"/>
      <c r="G1316" s="49"/>
      <c r="H1316" s="49"/>
      <c r="I1316" s="49"/>
      <c r="J1316" s="49"/>
      <c r="K1316" s="49"/>
      <c r="L1316" s="49"/>
      <c r="M1316" s="49"/>
      <c r="N1316" s="49"/>
      <c r="O1316" s="49"/>
      <c r="P1316" s="49"/>
      <c r="Q1316" s="49"/>
      <c r="R1316" s="49"/>
      <c r="S1316" s="49"/>
      <c r="T1316" s="49"/>
      <c r="U1316" s="49"/>
      <c r="V1316" s="49"/>
      <c r="W1316" s="49"/>
      <c r="X1316" s="49"/>
      <c r="Y1316" s="49"/>
      <c r="Z1316" s="49"/>
    </row>
    <row r="1317">
      <c r="A1317" s="49"/>
      <c r="B1317" s="49"/>
      <c r="C1317" s="91"/>
      <c r="D1317" s="49"/>
      <c r="E1317" s="49"/>
      <c r="F1317" s="49"/>
      <c r="G1317" s="49"/>
      <c r="H1317" s="49"/>
      <c r="I1317" s="49"/>
      <c r="J1317" s="49"/>
      <c r="K1317" s="49"/>
      <c r="L1317" s="49"/>
      <c r="M1317" s="49"/>
      <c r="N1317" s="49"/>
      <c r="O1317" s="49"/>
      <c r="P1317" s="49"/>
      <c r="Q1317" s="49"/>
      <c r="R1317" s="49"/>
      <c r="S1317" s="49"/>
      <c r="T1317" s="49"/>
      <c r="U1317" s="49"/>
      <c r="V1317" s="49"/>
      <c r="W1317" s="49"/>
      <c r="X1317" s="49"/>
      <c r="Y1317" s="49"/>
      <c r="Z1317" s="49"/>
    </row>
    <row r="1318">
      <c r="A1318" s="49"/>
      <c r="B1318" s="49"/>
      <c r="C1318" s="91"/>
      <c r="D1318" s="49"/>
      <c r="E1318" s="49"/>
      <c r="F1318" s="49"/>
      <c r="G1318" s="49"/>
      <c r="H1318" s="49"/>
      <c r="I1318" s="49"/>
      <c r="J1318" s="49"/>
      <c r="K1318" s="49"/>
      <c r="L1318" s="49"/>
      <c r="M1318" s="49"/>
      <c r="N1318" s="49"/>
      <c r="O1318" s="49"/>
      <c r="P1318" s="49"/>
      <c r="Q1318" s="49"/>
      <c r="R1318" s="49"/>
      <c r="S1318" s="49"/>
      <c r="T1318" s="49"/>
      <c r="U1318" s="49"/>
      <c r="V1318" s="49"/>
      <c r="W1318" s="49"/>
      <c r="X1318" s="49"/>
      <c r="Y1318" s="49"/>
      <c r="Z1318" s="49"/>
    </row>
    <row r="1319">
      <c r="A1319" s="49"/>
      <c r="B1319" s="49"/>
      <c r="C1319" s="91"/>
      <c r="D1319" s="49"/>
      <c r="E1319" s="49"/>
      <c r="F1319" s="49"/>
      <c r="G1319" s="49"/>
      <c r="H1319" s="49"/>
      <c r="I1319" s="49"/>
      <c r="J1319" s="49"/>
      <c r="K1319" s="49"/>
      <c r="L1319" s="49"/>
      <c r="M1319" s="49"/>
      <c r="N1319" s="49"/>
      <c r="O1319" s="49"/>
      <c r="P1319" s="49"/>
      <c r="Q1319" s="49"/>
      <c r="R1319" s="49"/>
      <c r="S1319" s="49"/>
      <c r="T1319" s="49"/>
      <c r="U1319" s="49"/>
      <c r="V1319" s="49"/>
      <c r="W1319" s="49"/>
      <c r="X1319" s="49"/>
      <c r="Y1319" s="49"/>
      <c r="Z1319" s="49"/>
    </row>
    <row r="1320">
      <c r="A1320" s="49"/>
      <c r="B1320" s="49"/>
      <c r="C1320" s="91"/>
      <c r="D1320" s="49"/>
      <c r="E1320" s="49"/>
      <c r="F1320" s="49"/>
      <c r="G1320" s="49"/>
      <c r="H1320" s="49"/>
      <c r="I1320" s="49"/>
      <c r="J1320" s="49"/>
      <c r="K1320" s="49"/>
      <c r="L1320" s="49"/>
      <c r="M1320" s="49"/>
      <c r="N1320" s="49"/>
      <c r="O1320" s="49"/>
      <c r="P1320" s="49"/>
      <c r="Q1320" s="49"/>
      <c r="R1320" s="49"/>
      <c r="S1320" s="49"/>
      <c r="T1320" s="49"/>
      <c r="U1320" s="49"/>
      <c r="V1320" s="49"/>
      <c r="W1320" s="49"/>
      <c r="X1320" s="49"/>
      <c r="Y1320" s="49"/>
      <c r="Z1320" s="49"/>
    </row>
    <row r="1321">
      <c r="A1321" s="49"/>
      <c r="B1321" s="49"/>
      <c r="C1321" s="91"/>
      <c r="D1321" s="49"/>
      <c r="E1321" s="49"/>
      <c r="F1321" s="49"/>
      <c r="G1321" s="49"/>
      <c r="H1321" s="49"/>
      <c r="I1321" s="49"/>
      <c r="J1321" s="49"/>
      <c r="K1321" s="49"/>
      <c r="L1321" s="49"/>
      <c r="M1321" s="49"/>
      <c r="N1321" s="49"/>
      <c r="O1321" s="49"/>
      <c r="P1321" s="49"/>
      <c r="Q1321" s="49"/>
      <c r="R1321" s="49"/>
      <c r="S1321" s="49"/>
      <c r="T1321" s="49"/>
      <c r="U1321" s="49"/>
      <c r="V1321" s="49"/>
      <c r="W1321" s="49"/>
      <c r="X1321" s="49"/>
      <c r="Y1321" s="49"/>
      <c r="Z1321" s="49"/>
    </row>
    <row r="1322">
      <c r="A1322" s="49"/>
      <c r="B1322" s="49"/>
      <c r="C1322" s="91"/>
      <c r="D1322" s="49"/>
      <c r="E1322" s="49"/>
      <c r="F1322" s="49"/>
      <c r="G1322" s="49"/>
      <c r="H1322" s="49"/>
      <c r="I1322" s="49"/>
      <c r="J1322" s="49"/>
      <c r="K1322" s="49"/>
      <c r="L1322" s="49"/>
      <c r="M1322" s="49"/>
      <c r="N1322" s="49"/>
      <c r="O1322" s="49"/>
      <c r="P1322" s="49"/>
      <c r="Q1322" s="49"/>
      <c r="R1322" s="49"/>
      <c r="S1322" s="49"/>
      <c r="T1322" s="49"/>
      <c r="U1322" s="49"/>
      <c r="V1322" s="49"/>
      <c r="W1322" s="49"/>
      <c r="X1322" s="49"/>
      <c r="Y1322" s="49"/>
      <c r="Z1322" s="49"/>
    </row>
    <row r="1323">
      <c r="A1323" s="49"/>
      <c r="B1323" s="49"/>
      <c r="C1323" s="91"/>
      <c r="D1323" s="49"/>
      <c r="E1323" s="49"/>
      <c r="F1323" s="49"/>
      <c r="G1323" s="49"/>
      <c r="H1323" s="49"/>
      <c r="I1323" s="49"/>
      <c r="J1323" s="49"/>
      <c r="K1323" s="49"/>
      <c r="L1323" s="49"/>
      <c r="M1323" s="49"/>
      <c r="N1323" s="49"/>
      <c r="O1323" s="49"/>
      <c r="P1323" s="49"/>
      <c r="Q1323" s="49"/>
      <c r="R1323" s="49"/>
      <c r="S1323" s="49"/>
      <c r="T1323" s="49"/>
      <c r="U1323" s="49"/>
      <c r="V1323" s="49"/>
      <c r="W1323" s="49"/>
      <c r="X1323" s="49"/>
      <c r="Y1323" s="49"/>
      <c r="Z1323" s="49"/>
    </row>
    <row r="1324">
      <c r="A1324" s="49"/>
      <c r="B1324" s="49"/>
      <c r="C1324" s="91"/>
      <c r="D1324" s="49"/>
      <c r="E1324" s="49"/>
      <c r="F1324" s="49"/>
      <c r="G1324" s="49"/>
      <c r="H1324" s="49"/>
      <c r="I1324" s="49"/>
      <c r="J1324" s="49"/>
      <c r="K1324" s="49"/>
      <c r="L1324" s="49"/>
      <c r="M1324" s="49"/>
      <c r="N1324" s="49"/>
      <c r="O1324" s="49"/>
      <c r="P1324" s="49"/>
      <c r="Q1324" s="49"/>
      <c r="R1324" s="49"/>
      <c r="S1324" s="49"/>
      <c r="T1324" s="49"/>
      <c r="U1324" s="49"/>
      <c r="V1324" s="49"/>
      <c r="W1324" s="49"/>
      <c r="X1324" s="49"/>
      <c r="Y1324" s="49"/>
      <c r="Z1324" s="49"/>
    </row>
    <row r="1325">
      <c r="A1325" s="49"/>
      <c r="B1325" s="49"/>
      <c r="C1325" s="91"/>
      <c r="D1325" s="49"/>
      <c r="E1325" s="49"/>
      <c r="F1325" s="49"/>
      <c r="G1325" s="49"/>
      <c r="H1325" s="49"/>
      <c r="I1325" s="49"/>
      <c r="J1325" s="49"/>
      <c r="K1325" s="49"/>
      <c r="L1325" s="49"/>
      <c r="M1325" s="49"/>
      <c r="N1325" s="49"/>
      <c r="O1325" s="49"/>
      <c r="P1325" s="49"/>
      <c r="Q1325" s="49"/>
      <c r="R1325" s="49"/>
      <c r="S1325" s="49"/>
      <c r="T1325" s="49"/>
      <c r="U1325" s="49"/>
      <c r="V1325" s="49"/>
      <c r="W1325" s="49"/>
      <c r="X1325" s="49"/>
      <c r="Y1325" s="49"/>
      <c r="Z1325" s="49"/>
    </row>
    <row r="1326">
      <c r="A1326" s="49"/>
      <c r="B1326" s="49"/>
      <c r="C1326" s="91"/>
      <c r="D1326" s="49"/>
      <c r="E1326" s="49"/>
      <c r="F1326" s="49"/>
      <c r="G1326" s="49"/>
      <c r="H1326" s="49"/>
      <c r="I1326" s="49"/>
      <c r="J1326" s="49"/>
      <c r="K1326" s="49"/>
      <c r="L1326" s="49"/>
      <c r="M1326" s="49"/>
      <c r="N1326" s="49"/>
      <c r="O1326" s="49"/>
      <c r="P1326" s="49"/>
      <c r="Q1326" s="49"/>
      <c r="R1326" s="49"/>
      <c r="S1326" s="49"/>
      <c r="T1326" s="49"/>
      <c r="U1326" s="49"/>
      <c r="V1326" s="49"/>
      <c r="W1326" s="49"/>
      <c r="X1326" s="49"/>
      <c r="Y1326" s="49"/>
      <c r="Z1326" s="49"/>
    </row>
    <row r="1327">
      <c r="A1327" s="49"/>
      <c r="B1327" s="49"/>
      <c r="C1327" s="91"/>
      <c r="D1327" s="49"/>
      <c r="E1327" s="49"/>
      <c r="F1327" s="49"/>
      <c r="G1327" s="49"/>
      <c r="H1327" s="49"/>
      <c r="I1327" s="49"/>
      <c r="J1327" s="49"/>
      <c r="K1327" s="49"/>
      <c r="L1327" s="49"/>
      <c r="M1327" s="49"/>
      <c r="N1327" s="49"/>
      <c r="O1327" s="49"/>
      <c r="P1327" s="49"/>
      <c r="Q1327" s="49"/>
      <c r="R1327" s="49"/>
      <c r="S1327" s="49"/>
      <c r="T1327" s="49"/>
      <c r="U1327" s="49"/>
      <c r="V1327" s="49"/>
      <c r="W1327" s="49"/>
      <c r="X1327" s="49"/>
      <c r="Y1327" s="49"/>
      <c r="Z1327" s="49"/>
    </row>
    <row r="1328">
      <c r="A1328" s="49"/>
      <c r="B1328" s="49"/>
      <c r="C1328" s="91"/>
      <c r="D1328" s="49"/>
      <c r="E1328" s="49"/>
      <c r="F1328" s="49"/>
      <c r="G1328" s="49"/>
      <c r="H1328" s="49"/>
      <c r="I1328" s="49"/>
      <c r="J1328" s="49"/>
      <c r="K1328" s="49"/>
      <c r="L1328" s="49"/>
      <c r="M1328" s="49"/>
      <c r="N1328" s="49"/>
      <c r="O1328" s="49"/>
      <c r="P1328" s="49"/>
      <c r="Q1328" s="49"/>
      <c r="R1328" s="49"/>
      <c r="S1328" s="49"/>
      <c r="T1328" s="49"/>
      <c r="U1328" s="49"/>
      <c r="V1328" s="49"/>
      <c r="W1328" s="49"/>
      <c r="X1328" s="49"/>
      <c r="Y1328" s="49"/>
      <c r="Z1328" s="49"/>
    </row>
    <row r="1329">
      <c r="A1329" s="49"/>
      <c r="B1329" s="49"/>
      <c r="C1329" s="91"/>
      <c r="D1329" s="49"/>
      <c r="E1329" s="49"/>
      <c r="F1329" s="49"/>
      <c r="G1329" s="49"/>
      <c r="H1329" s="49"/>
      <c r="I1329" s="49"/>
      <c r="J1329" s="49"/>
      <c r="K1329" s="49"/>
      <c r="L1329" s="49"/>
      <c r="M1329" s="49"/>
      <c r="N1329" s="49"/>
      <c r="O1329" s="49"/>
      <c r="P1329" s="49"/>
      <c r="Q1329" s="49"/>
      <c r="R1329" s="49"/>
      <c r="S1329" s="49"/>
      <c r="T1329" s="49"/>
      <c r="U1329" s="49"/>
      <c r="V1329" s="49"/>
      <c r="W1329" s="49"/>
      <c r="X1329" s="49"/>
      <c r="Y1329" s="49"/>
      <c r="Z1329" s="49"/>
    </row>
    <row r="1330">
      <c r="A1330" s="49"/>
      <c r="B1330" s="49"/>
      <c r="C1330" s="91"/>
      <c r="D1330" s="49"/>
      <c r="E1330" s="49"/>
      <c r="F1330" s="49"/>
      <c r="G1330" s="49"/>
      <c r="H1330" s="49"/>
      <c r="I1330" s="49"/>
      <c r="J1330" s="49"/>
      <c r="K1330" s="49"/>
      <c r="L1330" s="49"/>
      <c r="M1330" s="49"/>
      <c r="N1330" s="49"/>
      <c r="O1330" s="49"/>
      <c r="P1330" s="49"/>
      <c r="Q1330" s="49"/>
      <c r="R1330" s="49"/>
      <c r="S1330" s="49"/>
      <c r="T1330" s="49"/>
      <c r="U1330" s="49"/>
      <c r="V1330" s="49"/>
      <c r="W1330" s="49"/>
      <c r="X1330" s="49"/>
      <c r="Y1330" s="49"/>
      <c r="Z1330" s="49"/>
    </row>
    <row r="1331">
      <c r="A1331" s="49"/>
      <c r="B1331" s="49"/>
      <c r="C1331" s="91"/>
      <c r="D1331" s="49"/>
      <c r="E1331" s="49"/>
      <c r="F1331" s="49"/>
      <c r="G1331" s="49"/>
      <c r="H1331" s="49"/>
      <c r="I1331" s="49"/>
      <c r="J1331" s="49"/>
      <c r="K1331" s="49"/>
      <c r="L1331" s="49"/>
      <c r="M1331" s="49"/>
      <c r="N1331" s="49"/>
      <c r="O1331" s="49"/>
      <c r="P1331" s="49"/>
      <c r="Q1331" s="49"/>
      <c r="R1331" s="49"/>
      <c r="S1331" s="49"/>
      <c r="T1331" s="49"/>
      <c r="U1331" s="49"/>
      <c r="V1331" s="49"/>
      <c r="W1331" s="49"/>
      <c r="X1331" s="49"/>
      <c r="Y1331" s="49"/>
      <c r="Z1331" s="49"/>
    </row>
    <row r="1332">
      <c r="A1332" s="49"/>
      <c r="B1332" s="49"/>
      <c r="C1332" s="91"/>
      <c r="D1332" s="49"/>
      <c r="E1332" s="49"/>
      <c r="F1332" s="49"/>
      <c r="G1332" s="49"/>
      <c r="H1332" s="49"/>
      <c r="I1332" s="49"/>
      <c r="J1332" s="49"/>
      <c r="K1332" s="49"/>
      <c r="L1332" s="49"/>
      <c r="M1332" s="49"/>
      <c r="N1332" s="49"/>
      <c r="O1332" s="49"/>
      <c r="P1332" s="49"/>
      <c r="Q1332" s="49"/>
      <c r="R1332" s="49"/>
      <c r="S1332" s="49"/>
      <c r="T1332" s="49"/>
      <c r="U1332" s="49"/>
      <c r="V1332" s="49"/>
      <c r="W1332" s="49"/>
      <c r="X1332" s="49"/>
      <c r="Y1332" s="49"/>
      <c r="Z1332" s="49"/>
    </row>
    <row r="1333">
      <c r="A1333" s="49"/>
      <c r="B1333" s="49"/>
      <c r="C1333" s="91"/>
      <c r="D1333" s="49"/>
      <c r="E1333" s="49"/>
      <c r="F1333" s="49"/>
      <c r="G1333" s="49"/>
      <c r="H1333" s="49"/>
      <c r="I1333" s="49"/>
      <c r="J1333" s="49"/>
      <c r="K1333" s="49"/>
      <c r="L1333" s="49"/>
      <c r="M1333" s="49"/>
      <c r="N1333" s="49"/>
      <c r="O1333" s="49"/>
      <c r="P1333" s="49"/>
      <c r="Q1333" s="49"/>
      <c r="R1333" s="49"/>
      <c r="S1333" s="49"/>
      <c r="T1333" s="49"/>
      <c r="U1333" s="49"/>
      <c r="V1333" s="49"/>
      <c r="W1333" s="49"/>
      <c r="X1333" s="49"/>
      <c r="Y1333" s="49"/>
      <c r="Z1333" s="49"/>
    </row>
    <row r="1334">
      <c r="A1334" s="49"/>
      <c r="B1334" s="49"/>
      <c r="C1334" s="91"/>
      <c r="D1334" s="49"/>
      <c r="E1334" s="49"/>
      <c r="F1334" s="49"/>
      <c r="G1334" s="49"/>
      <c r="H1334" s="49"/>
      <c r="I1334" s="49"/>
      <c r="J1334" s="49"/>
      <c r="K1334" s="49"/>
      <c r="L1334" s="49"/>
      <c r="M1334" s="49"/>
      <c r="N1334" s="49"/>
      <c r="O1334" s="49"/>
      <c r="P1334" s="49"/>
      <c r="Q1334" s="49"/>
      <c r="R1334" s="49"/>
      <c r="S1334" s="49"/>
      <c r="T1334" s="49"/>
      <c r="U1334" s="49"/>
      <c r="V1334" s="49"/>
      <c r="W1334" s="49"/>
      <c r="X1334" s="49"/>
      <c r="Y1334" s="49"/>
      <c r="Z1334" s="49"/>
    </row>
    <row r="1335">
      <c r="A1335" s="49"/>
      <c r="B1335" s="49"/>
      <c r="C1335" s="91"/>
      <c r="D1335" s="49"/>
      <c r="E1335" s="49"/>
      <c r="F1335" s="49"/>
      <c r="G1335" s="49"/>
      <c r="H1335" s="49"/>
      <c r="I1335" s="49"/>
      <c r="J1335" s="49"/>
      <c r="K1335" s="49"/>
      <c r="L1335" s="49"/>
      <c r="M1335" s="49"/>
      <c r="N1335" s="49"/>
      <c r="O1335" s="49"/>
      <c r="P1335" s="49"/>
      <c r="Q1335" s="49"/>
      <c r="R1335" s="49"/>
      <c r="S1335" s="49"/>
      <c r="T1335" s="49"/>
      <c r="U1335" s="49"/>
      <c r="V1335" s="49"/>
      <c r="W1335" s="49"/>
      <c r="X1335" s="49"/>
      <c r="Y1335" s="49"/>
      <c r="Z1335" s="49"/>
    </row>
    <row r="1336">
      <c r="A1336" s="49"/>
      <c r="B1336" s="49"/>
      <c r="C1336" s="91"/>
      <c r="D1336" s="49"/>
      <c r="E1336" s="49"/>
      <c r="F1336" s="49"/>
      <c r="G1336" s="49"/>
      <c r="H1336" s="49"/>
      <c r="I1336" s="49"/>
      <c r="J1336" s="49"/>
      <c r="K1336" s="49"/>
      <c r="L1336" s="49"/>
      <c r="M1336" s="49"/>
      <c r="N1336" s="49"/>
      <c r="O1336" s="49"/>
      <c r="P1336" s="49"/>
      <c r="Q1336" s="49"/>
      <c r="R1336" s="49"/>
      <c r="S1336" s="49"/>
      <c r="T1336" s="49"/>
      <c r="U1336" s="49"/>
      <c r="V1336" s="49"/>
      <c r="W1336" s="49"/>
      <c r="X1336" s="49"/>
      <c r="Y1336" s="49"/>
      <c r="Z1336" s="49"/>
    </row>
    <row r="1337">
      <c r="A1337" s="49"/>
      <c r="B1337" s="49"/>
      <c r="C1337" s="91"/>
      <c r="D1337" s="49"/>
      <c r="E1337" s="49"/>
      <c r="F1337" s="49"/>
      <c r="G1337" s="49"/>
      <c r="H1337" s="49"/>
      <c r="I1337" s="49"/>
      <c r="J1337" s="49"/>
      <c r="K1337" s="49"/>
      <c r="L1337" s="49"/>
      <c r="M1337" s="49"/>
      <c r="N1337" s="49"/>
      <c r="O1337" s="49"/>
      <c r="P1337" s="49"/>
      <c r="Q1337" s="49"/>
      <c r="R1337" s="49"/>
      <c r="S1337" s="49"/>
      <c r="T1337" s="49"/>
      <c r="U1337" s="49"/>
      <c r="V1337" s="49"/>
      <c r="W1337" s="49"/>
      <c r="X1337" s="49"/>
      <c r="Y1337" s="49"/>
      <c r="Z1337" s="49"/>
    </row>
    <row r="1338">
      <c r="A1338" s="49"/>
      <c r="B1338" s="49"/>
      <c r="C1338" s="91"/>
      <c r="D1338" s="49"/>
      <c r="E1338" s="49"/>
      <c r="F1338" s="49"/>
      <c r="G1338" s="49"/>
      <c r="H1338" s="49"/>
      <c r="I1338" s="49"/>
      <c r="J1338" s="49"/>
      <c r="K1338" s="49"/>
      <c r="L1338" s="49"/>
      <c r="M1338" s="49"/>
      <c r="N1338" s="49"/>
      <c r="O1338" s="49"/>
      <c r="P1338" s="49"/>
      <c r="Q1338" s="49"/>
      <c r="R1338" s="49"/>
      <c r="S1338" s="49"/>
      <c r="T1338" s="49"/>
      <c r="U1338" s="49"/>
      <c r="V1338" s="49"/>
      <c r="W1338" s="49"/>
      <c r="X1338" s="49"/>
      <c r="Y1338" s="49"/>
      <c r="Z1338" s="49"/>
    </row>
    <row r="1339">
      <c r="A1339" s="49"/>
      <c r="B1339" s="49"/>
      <c r="C1339" s="91"/>
      <c r="D1339" s="49"/>
      <c r="E1339" s="49"/>
      <c r="F1339" s="49"/>
      <c r="G1339" s="49"/>
      <c r="H1339" s="49"/>
      <c r="I1339" s="49"/>
      <c r="J1339" s="49"/>
      <c r="K1339" s="49"/>
      <c r="L1339" s="49"/>
      <c r="M1339" s="49"/>
      <c r="N1339" s="49"/>
      <c r="O1339" s="49"/>
      <c r="P1339" s="49"/>
      <c r="Q1339" s="49"/>
      <c r="R1339" s="49"/>
      <c r="S1339" s="49"/>
      <c r="T1339" s="49"/>
      <c r="U1339" s="49"/>
      <c r="V1339" s="49"/>
      <c r="W1339" s="49"/>
      <c r="X1339" s="49"/>
      <c r="Y1339" s="49"/>
      <c r="Z1339" s="49"/>
    </row>
    <row r="1340">
      <c r="A1340" s="49"/>
      <c r="B1340" s="49"/>
      <c r="C1340" s="91"/>
      <c r="D1340" s="49"/>
      <c r="E1340" s="49"/>
      <c r="F1340" s="49"/>
      <c r="G1340" s="49"/>
      <c r="H1340" s="49"/>
      <c r="I1340" s="49"/>
      <c r="J1340" s="49"/>
      <c r="K1340" s="49"/>
      <c r="L1340" s="49"/>
      <c r="M1340" s="49"/>
      <c r="N1340" s="49"/>
      <c r="O1340" s="49"/>
      <c r="P1340" s="49"/>
      <c r="Q1340" s="49"/>
      <c r="R1340" s="49"/>
      <c r="S1340" s="49"/>
      <c r="T1340" s="49"/>
      <c r="U1340" s="49"/>
      <c r="V1340" s="49"/>
      <c r="W1340" s="49"/>
      <c r="X1340" s="49"/>
      <c r="Y1340" s="49"/>
      <c r="Z1340" s="49"/>
    </row>
    <row r="1341">
      <c r="A1341" s="49"/>
      <c r="B1341" s="49"/>
      <c r="C1341" s="91"/>
      <c r="D1341" s="49"/>
      <c r="E1341" s="49"/>
      <c r="F1341" s="49"/>
      <c r="G1341" s="49"/>
      <c r="H1341" s="49"/>
      <c r="I1341" s="49"/>
      <c r="J1341" s="49"/>
      <c r="K1341" s="49"/>
      <c r="L1341" s="49"/>
      <c r="M1341" s="49"/>
      <c r="N1341" s="49"/>
      <c r="O1341" s="49"/>
      <c r="P1341" s="49"/>
      <c r="Q1341" s="49"/>
      <c r="R1341" s="49"/>
      <c r="S1341" s="49"/>
      <c r="T1341" s="49"/>
      <c r="U1341" s="49"/>
      <c r="V1341" s="49"/>
      <c r="W1341" s="49"/>
      <c r="X1341" s="49"/>
      <c r="Y1341" s="49"/>
      <c r="Z1341" s="49"/>
    </row>
    <row r="1342">
      <c r="A1342" s="49"/>
      <c r="B1342" s="49"/>
      <c r="C1342" s="91"/>
      <c r="D1342" s="49"/>
      <c r="E1342" s="49"/>
      <c r="F1342" s="49"/>
      <c r="G1342" s="49"/>
      <c r="H1342" s="49"/>
      <c r="I1342" s="49"/>
      <c r="J1342" s="49"/>
      <c r="K1342" s="49"/>
      <c r="L1342" s="49"/>
      <c r="M1342" s="49"/>
      <c r="N1342" s="49"/>
      <c r="O1342" s="49"/>
      <c r="P1342" s="49"/>
      <c r="Q1342" s="49"/>
      <c r="R1342" s="49"/>
      <c r="S1342" s="49"/>
      <c r="T1342" s="49"/>
      <c r="U1342" s="49"/>
      <c r="V1342" s="49"/>
      <c r="W1342" s="49"/>
      <c r="X1342" s="49"/>
      <c r="Y1342" s="49"/>
      <c r="Z1342" s="49"/>
    </row>
    <row r="1343">
      <c r="A1343" s="49"/>
      <c r="B1343" s="49"/>
      <c r="C1343" s="91"/>
      <c r="D1343" s="49"/>
      <c r="E1343" s="49"/>
      <c r="F1343" s="49"/>
      <c r="G1343" s="49"/>
      <c r="H1343" s="49"/>
      <c r="I1343" s="49"/>
      <c r="J1343" s="49"/>
      <c r="K1343" s="49"/>
      <c r="L1343" s="49"/>
      <c r="M1343" s="49"/>
      <c r="N1343" s="49"/>
      <c r="O1343" s="49"/>
      <c r="P1343" s="49"/>
      <c r="Q1343" s="49"/>
      <c r="R1343" s="49"/>
      <c r="S1343" s="49"/>
      <c r="T1343" s="49"/>
      <c r="U1343" s="49"/>
      <c r="V1343" s="49"/>
      <c r="W1343" s="49"/>
      <c r="X1343" s="49"/>
      <c r="Y1343" s="49"/>
      <c r="Z1343" s="49"/>
    </row>
    <row r="1344">
      <c r="A1344" s="49"/>
      <c r="B1344" s="49"/>
      <c r="C1344" s="91"/>
      <c r="D1344" s="49"/>
      <c r="E1344" s="49"/>
      <c r="F1344" s="49"/>
      <c r="G1344" s="49"/>
      <c r="H1344" s="49"/>
      <c r="I1344" s="49"/>
      <c r="J1344" s="49"/>
      <c r="K1344" s="49"/>
      <c r="L1344" s="49"/>
      <c r="M1344" s="49"/>
      <c r="N1344" s="49"/>
      <c r="O1344" s="49"/>
      <c r="P1344" s="49"/>
      <c r="Q1344" s="49"/>
      <c r="R1344" s="49"/>
      <c r="S1344" s="49"/>
      <c r="T1344" s="49"/>
      <c r="U1344" s="49"/>
      <c r="V1344" s="49"/>
      <c r="W1344" s="49"/>
      <c r="X1344" s="49"/>
      <c r="Y1344" s="49"/>
      <c r="Z1344" s="49"/>
    </row>
    <row r="1345">
      <c r="A1345" s="49"/>
      <c r="B1345" s="49"/>
      <c r="C1345" s="91"/>
      <c r="D1345" s="49"/>
      <c r="E1345" s="49"/>
      <c r="F1345" s="49"/>
      <c r="G1345" s="49"/>
      <c r="H1345" s="49"/>
      <c r="I1345" s="49"/>
      <c r="J1345" s="49"/>
      <c r="K1345" s="49"/>
      <c r="L1345" s="49"/>
      <c r="M1345" s="49"/>
      <c r="N1345" s="49"/>
      <c r="O1345" s="49"/>
      <c r="P1345" s="49"/>
      <c r="Q1345" s="49"/>
      <c r="R1345" s="49"/>
      <c r="S1345" s="49"/>
      <c r="T1345" s="49"/>
      <c r="U1345" s="49"/>
      <c r="V1345" s="49"/>
      <c r="W1345" s="49"/>
      <c r="X1345" s="49"/>
      <c r="Y1345" s="49"/>
      <c r="Z1345" s="49"/>
    </row>
    <row r="1346">
      <c r="A1346" s="49"/>
      <c r="B1346" s="49"/>
      <c r="C1346" s="91"/>
      <c r="D1346" s="49"/>
      <c r="E1346" s="49"/>
      <c r="F1346" s="49"/>
      <c r="G1346" s="49"/>
      <c r="H1346" s="49"/>
      <c r="I1346" s="49"/>
      <c r="J1346" s="49"/>
      <c r="K1346" s="49"/>
      <c r="L1346" s="49"/>
      <c r="M1346" s="49"/>
      <c r="N1346" s="49"/>
      <c r="O1346" s="49"/>
      <c r="P1346" s="49"/>
      <c r="Q1346" s="49"/>
      <c r="R1346" s="49"/>
      <c r="S1346" s="49"/>
      <c r="T1346" s="49"/>
      <c r="U1346" s="49"/>
      <c r="V1346" s="49"/>
      <c r="W1346" s="49"/>
      <c r="X1346" s="49"/>
      <c r="Y1346" s="49"/>
      <c r="Z1346" s="49"/>
    </row>
    <row r="1347">
      <c r="A1347" s="49"/>
      <c r="B1347" s="49"/>
      <c r="C1347" s="91"/>
      <c r="D1347" s="49"/>
      <c r="E1347" s="49"/>
      <c r="F1347" s="49"/>
      <c r="G1347" s="49"/>
      <c r="H1347" s="49"/>
      <c r="I1347" s="49"/>
      <c r="J1347" s="49"/>
      <c r="K1347" s="49"/>
      <c r="L1347" s="49"/>
      <c r="M1347" s="49"/>
      <c r="N1347" s="49"/>
      <c r="O1347" s="49"/>
      <c r="P1347" s="49"/>
      <c r="Q1347" s="49"/>
      <c r="R1347" s="49"/>
      <c r="S1347" s="49"/>
      <c r="T1347" s="49"/>
      <c r="U1347" s="49"/>
      <c r="V1347" s="49"/>
      <c r="W1347" s="49"/>
      <c r="X1347" s="49"/>
      <c r="Y1347" s="49"/>
      <c r="Z1347" s="49"/>
    </row>
    <row r="1348">
      <c r="A1348" s="49"/>
      <c r="B1348" s="49"/>
      <c r="C1348" s="91"/>
      <c r="D1348" s="49"/>
      <c r="E1348" s="49"/>
      <c r="F1348" s="49"/>
      <c r="G1348" s="49"/>
      <c r="H1348" s="49"/>
      <c r="I1348" s="49"/>
      <c r="J1348" s="49"/>
      <c r="K1348" s="49"/>
      <c r="L1348" s="49"/>
      <c r="M1348" s="49"/>
      <c r="N1348" s="49"/>
      <c r="O1348" s="49"/>
      <c r="P1348" s="49"/>
      <c r="Q1348" s="49"/>
      <c r="R1348" s="49"/>
      <c r="S1348" s="49"/>
      <c r="T1348" s="49"/>
      <c r="U1348" s="49"/>
      <c r="V1348" s="49"/>
      <c r="W1348" s="49"/>
      <c r="X1348" s="49"/>
      <c r="Y1348" s="49"/>
      <c r="Z1348" s="49"/>
    </row>
    <row r="1349">
      <c r="A1349" s="49"/>
      <c r="B1349" s="49"/>
      <c r="C1349" s="91"/>
      <c r="D1349" s="49"/>
      <c r="E1349" s="49"/>
      <c r="F1349" s="49"/>
      <c r="G1349" s="49"/>
      <c r="H1349" s="49"/>
      <c r="I1349" s="49"/>
      <c r="J1349" s="49"/>
      <c r="K1349" s="49"/>
      <c r="L1349" s="49"/>
      <c r="M1349" s="49"/>
      <c r="N1349" s="49"/>
      <c r="O1349" s="49"/>
      <c r="P1349" s="49"/>
      <c r="Q1349" s="49"/>
      <c r="R1349" s="49"/>
      <c r="S1349" s="49"/>
      <c r="T1349" s="49"/>
      <c r="U1349" s="49"/>
      <c r="V1349" s="49"/>
      <c r="W1349" s="49"/>
      <c r="X1349" s="49"/>
      <c r="Y1349" s="49"/>
      <c r="Z1349" s="49"/>
    </row>
    <row r="1350">
      <c r="A1350" s="49"/>
      <c r="B1350" s="49"/>
      <c r="C1350" s="91"/>
      <c r="D1350" s="49"/>
      <c r="E1350" s="49"/>
      <c r="F1350" s="49"/>
      <c r="G1350" s="49"/>
      <c r="H1350" s="49"/>
      <c r="I1350" s="49"/>
      <c r="J1350" s="49"/>
      <c r="K1350" s="49"/>
      <c r="L1350" s="49"/>
      <c r="M1350" s="49"/>
      <c r="N1350" s="49"/>
      <c r="O1350" s="49"/>
      <c r="P1350" s="49"/>
      <c r="Q1350" s="49"/>
      <c r="R1350" s="49"/>
      <c r="S1350" s="49"/>
      <c r="T1350" s="49"/>
      <c r="U1350" s="49"/>
      <c r="V1350" s="49"/>
      <c r="W1350" s="49"/>
      <c r="X1350" s="49"/>
      <c r="Y1350" s="49"/>
      <c r="Z1350" s="49"/>
    </row>
    <row r="1351">
      <c r="A1351" s="49"/>
      <c r="B1351" s="49"/>
      <c r="C1351" s="91"/>
      <c r="D1351" s="49"/>
      <c r="E1351" s="49"/>
      <c r="F1351" s="49"/>
      <c r="G1351" s="49"/>
      <c r="H1351" s="49"/>
      <c r="I1351" s="49"/>
      <c r="J1351" s="49"/>
      <c r="K1351" s="49"/>
      <c r="L1351" s="49"/>
      <c r="M1351" s="49"/>
      <c r="N1351" s="49"/>
      <c r="O1351" s="49"/>
      <c r="P1351" s="49"/>
      <c r="Q1351" s="49"/>
      <c r="R1351" s="49"/>
      <c r="S1351" s="49"/>
      <c r="T1351" s="49"/>
      <c r="U1351" s="49"/>
      <c r="V1351" s="49"/>
      <c r="W1351" s="49"/>
      <c r="X1351" s="49"/>
      <c r="Y1351" s="49"/>
      <c r="Z1351" s="49"/>
    </row>
    <row r="1352">
      <c r="A1352" s="49"/>
      <c r="B1352" s="49"/>
      <c r="C1352" s="91"/>
      <c r="D1352" s="49"/>
      <c r="E1352" s="49"/>
      <c r="F1352" s="49"/>
      <c r="G1352" s="49"/>
      <c r="H1352" s="49"/>
      <c r="I1352" s="49"/>
      <c r="J1352" s="49"/>
      <c r="K1352" s="49"/>
      <c r="L1352" s="49"/>
      <c r="M1352" s="49"/>
      <c r="N1352" s="49"/>
      <c r="O1352" s="49"/>
      <c r="P1352" s="49"/>
      <c r="Q1352" s="49"/>
      <c r="R1352" s="49"/>
      <c r="S1352" s="49"/>
      <c r="T1352" s="49"/>
      <c r="U1352" s="49"/>
      <c r="V1352" s="49"/>
      <c r="W1352" s="49"/>
      <c r="X1352" s="49"/>
      <c r="Y1352" s="49"/>
      <c r="Z1352" s="49"/>
    </row>
    <row r="1353">
      <c r="A1353" s="49"/>
      <c r="B1353" s="49"/>
      <c r="C1353" s="91"/>
      <c r="D1353" s="49"/>
      <c r="E1353" s="49"/>
      <c r="F1353" s="49"/>
      <c r="G1353" s="49"/>
      <c r="H1353" s="49"/>
      <c r="I1353" s="49"/>
      <c r="J1353" s="49"/>
      <c r="K1353" s="49"/>
      <c r="L1353" s="49"/>
      <c r="M1353" s="49"/>
      <c r="N1353" s="49"/>
      <c r="O1353" s="49"/>
      <c r="P1353" s="49"/>
      <c r="Q1353" s="49"/>
      <c r="R1353" s="49"/>
      <c r="S1353" s="49"/>
      <c r="T1353" s="49"/>
      <c r="U1353" s="49"/>
      <c r="V1353" s="49"/>
      <c r="W1353" s="49"/>
      <c r="X1353" s="49"/>
      <c r="Y1353" s="49"/>
      <c r="Z1353" s="49"/>
    </row>
    <row r="1354">
      <c r="A1354" s="49"/>
      <c r="B1354" s="49"/>
      <c r="C1354" s="91"/>
      <c r="D1354" s="49"/>
      <c r="E1354" s="49"/>
      <c r="F1354" s="49"/>
      <c r="G1354" s="49"/>
      <c r="H1354" s="49"/>
      <c r="I1354" s="49"/>
      <c r="J1354" s="49"/>
      <c r="K1354" s="49"/>
      <c r="L1354" s="49"/>
      <c r="M1354" s="49"/>
      <c r="N1354" s="49"/>
      <c r="O1354" s="49"/>
      <c r="P1354" s="49"/>
      <c r="Q1354" s="49"/>
      <c r="R1354" s="49"/>
      <c r="S1354" s="49"/>
      <c r="T1354" s="49"/>
      <c r="U1354" s="49"/>
      <c r="V1354" s="49"/>
      <c r="W1354" s="49"/>
      <c r="X1354" s="49"/>
      <c r="Y1354" s="49"/>
      <c r="Z1354" s="49"/>
    </row>
    <row r="1355">
      <c r="A1355" s="49"/>
      <c r="B1355" s="49"/>
      <c r="C1355" s="91"/>
      <c r="D1355" s="49"/>
      <c r="E1355" s="49"/>
      <c r="F1355" s="49"/>
      <c r="G1355" s="49"/>
      <c r="H1355" s="49"/>
      <c r="I1355" s="49"/>
      <c r="J1355" s="49"/>
      <c r="K1355" s="49"/>
      <c r="L1355" s="49"/>
      <c r="M1355" s="49"/>
      <c r="N1355" s="49"/>
      <c r="O1355" s="49"/>
      <c r="P1355" s="49"/>
      <c r="Q1355" s="49"/>
      <c r="R1355" s="49"/>
      <c r="S1355" s="49"/>
      <c r="T1355" s="49"/>
      <c r="U1355" s="49"/>
      <c r="V1355" s="49"/>
      <c r="W1355" s="49"/>
      <c r="X1355" s="49"/>
      <c r="Y1355" s="49"/>
      <c r="Z1355" s="49"/>
    </row>
    <row r="1356">
      <c r="A1356" s="49"/>
      <c r="B1356" s="49"/>
      <c r="C1356" s="91"/>
      <c r="D1356" s="49"/>
      <c r="E1356" s="49"/>
      <c r="F1356" s="49"/>
      <c r="G1356" s="49"/>
      <c r="H1356" s="49"/>
      <c r="I1356" s="49"/>
      <c r="J1356" s="49"/>
      <c r="K1356" s="49"/>
      <c r="L1356" s="49"/>
      <c r="M1356" s="49"/>
      <c r="N1356" s="49"/>
      <c r="O1356" s="49"/>
      <c r="P1356" s="49"/>
      <c r="Q1356" s="49"/>
      <c r="R1356" s="49"/>
      <c r="S1356" s="49"/>
      <c r="T1356" s="49"/>
      <c r="U1356" s="49"/>
      <c r="V1356" s="49"/>
      <c r="W1356" s="49"/>
      <c r="X1356" s="49"/>
      <c r="Y1356" s="49"/>
      <c r="Z1356" s="49"/>
    </row>
    <row r="1357">
      <c r="A1357" s="49"/>
      <c r="B1357" s="49"/>
      <c r="C1357" s="91"/>
      <c r="D1357" s="49"/>
      <c r="E1357" s="49"/>
      <c r="F1357" s="49"/>
      <c r="G1357" s="49"/>
      <c r="H1357" s="49"/>
      <c r="I1357" s="49"/>
      <c r="J1357" s="49"/>
      <c r="K1357" s="49"/>
      <c r="L1357" s="49"/>
      <c r="M1357" s="49"/>
      <c r="N1357" s="49"/>
      <c r="O1357" s="49"/>
      <c r="P1357" s="49"/>
      <c r="Q1357" s="49"/>
      <c r="R1357" s="49"/>
      <c r="S1357" s="49"/>
      <c r="T1357" s="49"/>
      <c r="U1357" s="49"/>
      <c r="V1357" s="49"/>
      <c r="W1357" s="49"/>
      <c r="X1357" s="49"/>
      <c r="Y1357" s="49"/>
      <c r="Z1357" s="49"/>
    </row>
    <row r="1358">
      <c r="A1358" s="49"/>
      <c r="B1358" s="49"/>
      <c r="C1358" s="91"/>
      <c r="D1358" s="49"/>
      <c r="E1358" s="49"/>
      <c r="F1358" s="49"/>
      <c r="G1358" s="49"/>
      <c r="H1358" s="49"/>
      <c r="I1358" s="49"/>
      <c r="J1358" s="49"/>
      <c r="K1358" s="49"/>
      <c r="L1358" s="49"/>
      <c r="M1358" s="49"/>
      <c r="N1358" s="49"/>
      <c r="O1358" s="49"/>
      <c r="P1358" s="49"/>
      <c r="Q1358" s="49"/>
      <c r="R1358" s="49"/>
      <c r="S1358" s="49"/>
      <c r="T1358" s="49"/>
      <c r="U1358" s="49"/>
      <c r="V1358" s="49"/>
      <c r="W1358" s="49"/>
      <c r="X1358" s="49"/>
      <c r="Y1358" s="49"/>
      <c r="Z1358" s="49"/>
    </row>
    <row r="1359">
      <c r="A1359" s="49"/>
      <c r="B1359" s="49"/>
      <c r="C1359" s="91"/>
      <c r="D1359" s="49"/>
      <c r="E1359" s="49"/>
      <c r="F1359" s="49"/>
      <c r="G1359" s="49"/>
      <c r="H1359" s="49"/>
      <c r="I1359" s="49"/>
      <c r="J1359" s="49"/>
      <c r="K1359" s="49"/>
      <c r="L1359" s="49"/>
      <c r="M1359" s="49"/>
      <c r="N1359" s="49"/>
      <c r="O1359" s="49"/>
      <c r="P1359" s="49"/>
      <c r="Q1359" s="49"/>
      <c r="R1359" s="49"/>
      <c r="S1359" s="49"/>
      <c r="T1359" s="49"/>
      <c r="U1359" s="49"/>
      <c r="V1359" s="49"/>
      <c r="W1359" s="49"/>
      <c r="X1359" s="49"/>
      <c r="Y1359" s="49"/>
      <c r="Z1359" s="49"/>
    </row>
    <row r="1360">
      <c r="A1360" s="49"/>
      <c r="B1360" s="49"/>
      <c r="C1360" s="91"/>
      <c r="D1360" s="49"/>
      <c r="E1360" s="49"/>
      <c r="F1360" s="49"/>
      <c r="G1360" s="49"/>
      <c r="H1360" s="49"/>
      <c r="I1360" s="49"/>
      <c r="J1360" s="49"/>
      <c r="K1360" s="49"/>
      <c r="L1360" s="49"/>
      <c r="M1360" s="49"/>
      <c r="N1360" s="49"/>
      <c r="O1360" s="49"/>
      <c r="P1360" s="49"/>
      <c r="Q1360" s="49"/>
      <c r="R1360" s="49"/>
      <c r="S1360" s="49"/>
      <c r="T1360" s="49"/>
      <c r="U1360" s="49"/>
      <c r="V1360" s="49"/>
      <c r="W1360" s="49"/>
      <c r="X1360" s="49"/>
      <c r="Y1360" s="49"/>
      <c r="Z1360" s="49"/>
    </row>
    <row r="1361">
      <c r="A1361" s="49"/>
      <c r="B1361" s="49"/>
      <c r="C1361" s="91"/>
      <c r="D1361" s="49"/>
      <c r="E1361" s="49"/>
      <c r="F1361" s="49"/>
      <c r="G1361" s="49"/>
      <c r="H1361" s="49"/>
      <c r="I1361" s="49"/>
      <c r="J1361" s="49"/>
      <c r="K1361" s="49"/>
      <c r="L1361" s="49"/>
      <c r="M1361" s="49"/>
      <c r="N1361" s="49"/>
      <c r="O1361" s="49"/>
      <c r="P1361" s="49"/>
      <c r="Q1361" s="49"/>
      <c r="R1361" s="49"/>
      <c r="S1361" s="49"/>
      <c r="T1361" s="49"/>
      <c r="U1361" s="49"/>
      <c r="V1361" s="49"/>
      <c r="W1361" s="49"/>
      <c r="X1361" s="49"/>
      <c r="Y1361" s="49"/>
      <c r="Z1361" s="49"/>
    </row>
    <row r="1362">
      <c r="A1362" s="49"/>
      <c r="B1362" s="49"/>
      <c r="C1362" s="91"/>
      <c r="D1362" s="49"/>
      <c r="E1362" s="49"/>
      <c r="F1362" s="49"/>
      <c r="G1362" s="49"/>
      <c r="H1362" s="49"/>
      <c r="I1362" s="49"/>
      <c r="J1362" s="49"/>
      <c r="K1362" s="49"/>
      <c r="L1362" s="49"/>
      <c r="M1362" s="49"/>
      <c r="N1362" s="49"/>
      <c r="O1362" s="49"/>
      <c r="P1362" s="49"/>
      <c r="Q1362" s="49"/>
      <c r="R1362" s="49"/>
      <c r="S1362" s="49"/>
      <c r="T1362" s="49"/>
      <c r="U1362" s="49"/>
      <c r="V1362" s="49"/>
      <c r="W1362" s="49"/>
      <c r="X1362" s="49"/>
      <c r="Y1362" s="49"/>
      <c r="Z1362" s="49"/>
    </row>
    <row r="1363">
      <c r="A1363" s="49"/>
      <c r="B1363" s="49"/>
      <c r="C1363" s="91"/>
      <c r="D1363" s="49"/>
      <c r="E1363" s="49"/>
      <c r="F1363" s="49"/>
      <c r="G1363" s="49"/>
      <c r="H1363" s="49"/>
      <c r="I1363" s="49"/>
      <c r="J1363" s="49"/>
      <c r="K1363" s="49"/>
      <c r="L1363" s="49"/>
      <c r="M1363" s="49"/>
      <c r="N1363" s="49"/>
      <c r="O1363" s="49"/>
      <c r="P1363" s="49"/>
      <c r="Q1363" s="49"/>
      <c r="R1363" s="49"/>
      <c r="S1363" s="49"/>
      <c r="T1363" s="49"/>
      <c r="U1363" s="49"/>
      <c r="V1363" s="49"/>
      <c r="W1363" s="49"/>
      <c r="X1363" s="49"/>
      <c r="Y1363" s="49"/>
      <c r="Z1363" s="49"/>
    </row>
    <row r="1364">
      <c r="A1364" s="49"/>
      <c r="B1364" s="49"/>
      <c r="C1364" s="91"/>
      <c r="D1364" s="49"/>
      <c r="E1364" s="49"/>
      <c r="F1364" s="49"/>
      <c r="G1364" s="49"/>
      <c r="H1364" s="49"/>
      <c r="I1364" s="49"/>
      <c r="J1364" s="49"/>
      <c r="K1364" s="49"/>
      <c r="L1364" s="49"/>
      <c r="M1364" s="49"/>
      <c r="N1364" s="49"/>
      <c r="O1364" s="49"/>
      <c r="P1364" s="49"/>
      <c r="Q1364" s="49"/>
      <c r="R1364" s="49"/>
      <c r="S1364" s="49"/>
      <c r="T1364" s="49"/>
      <c r="U1364" s="49"/>
      <c r="V1364" s="49"/>
      <c r="W1364" s="49"/>
      <c r="X1364" s="49"/>
      <c r="Y1364" s="49"/>
      <c r="Z1364" s="49"/>
    </row>
    <row r="1365">
      <c r="A1365" s="49"/>
      <c r="B1365" s="49"/>
      <c r="C1365" s="91"/>
      <c r="D1365" s="49"/>
      <c r="E1365" s="49"/>
      <c r="F1365" s="49"/>
      <c r="G1365" s="49"/>
      <c r="H1365" s="49"/>
      <c r="I1365" s="49"/>
      <c r="J1365" s="49"/>
      <c r="K1365" s="49"/>
      <c r="L1365" s="49"/>
      <c r="M1365" s="49"/>
      <c r="N1365" s="49"/>
      <c r="O1365" s="49"/>
      <c r="P1365" s="49"/>
      <c r="Q1365" s="49"/>
      <c r="R1365" s="49"/>
      <c r="S1365" s="49"/>
      <c r="T1365" s="49"/>
      <c r="U1365" s="49"/>
      <c r="V1365" s="49"/>
      <c r="W1365" s="49"/>
      <c r="X1365" s="49"/>
      <c r="Y1365" s="49"/>
      <c r="Z1365" s="49"/>
    </row>
    <row r="1366">
      <c r="A1366" s="49"/>
      <c r="B1366" s="49"/>
      <c r="C1366" s="91"/>
      <c r="D1366" s="49"/>
      <c r="E1366" s="49"/>
      <c r="F1366" s="49"/>
      <c r="G1366" s="49"/>
      <c r="H1366" s="49"/>
      <c r="I1366" s="49"/>
      <c r="J1366" s="49"/>
      <c r="K1366" s="49"/>
      <c r="L1366" s="49"/>
      <c r="M1366" s="49"/>
      <c r="N1366" s="49"/>
      <c r="O1366" s="49"/>
      <c r="P1366" s="49"/>
      <c r="Q1366" s="49"/>
      <c r="R1366" s="49"/>
      <c r="S1366" s="49"/>
      <c r="T1366" s="49"/>
      <c r="U1366" s="49"/>
      <c r="V1366" s="49"/>
      <c r="W1366" s="49"/>
      <c r="X1366" s="49"/>
      <c r="Y1366" s="49"/>
      <c r="Z1366" s="49"/>
    </row>
    <row r="1367">
      <c r="A1367" s="49"/>
      <c r="B1367" s="49"/>
      <c r="C1367" s="91"/>
      <c r="D1367" s="49"/>
      <c r="E1367" s="49"/>
      <c r="F1367" s="49"/>
      <c r="G1367" s="49"/>
      <c r="H1367" s="49"/>
      <c r="I1367" s="49"/>
      <c r="J1367" s="49"/>
      <c r="K1367" s="49"/>
      <c r="L1367" s="49"/>
      <c r="M1367" s="49"/>
      <c r="N1367" s="49"/>
      <c r="O1367" s="49"/>
      <c r="P1367" s="49"/>
      <c r="Q1367" s="49"/>
      <c r="R1367" s="49"/>
      <c r="S1367" s="49"/>
      <c r="T1367" s="49"/>
      <c r="U1367" s="49"/>
      <c r="V1367" s="49"/>
      <c r="W1367" s="49"/>
      <c r="X1367" s="49"/>
      <c r="Y1367" s="49"/>
      <c r="Z1367" s="49"/>
    </row>
    <row r="1368">
      <c r="A1368" s="49"/>
      <c r="B1368" s="49"/>
      <c r="C1368" s="91"/>
      <c r="D1368" s="49"/>
      <c r="E1368" s="49"/>
      <c r="F1368" s="49"/>
      <c r="G1368" s="49"/>
      <c r="H1368" s="49"/>
      <c r="I1368" s="49"/>
      <c r="J1368" s="49"/>
      <c r="K1368" s="49"/>
      <c r="L1368" s="49"/>
      <c r="M1368" s="49"/>
      <c r="N1368" s="49"/>
      <c r="O1368" s="49"/>
      <c r="P1368" s="49"/>
      <c r="Q1368" s="49"/>
      <c r="R1368" s="49"/>
      <c r="S1368" s="49"/>
      <c r="T1368" s="49"/>
      <c r="U1368" s="49"/>
      <c r="V1368" s="49"/>
      <c r="W1368" s="49"/>
      <c r="X1368" s="49"/>
      <c r="Y1368" s="49"/>
      <c r="Z1368" s="49"/>
    </row>
    <row r="1369">
      <c r="A1369" s="49"/>
      <c r="B1369" s="49"/>
      <c r="C1369" s="91"/>
      <c r="D1369" s="49"/>
      <c r="E1369" s="49"/>
      <c r="F1369" s="49"/>
      <c r="G1369" s="49"/>
      <c r="H1369" s="49"/>
      <c r="I1369" s="49"/>
      <c r="J1369" s="49"/>
      <c r="K1369" s="49"/>
      <c r="L1369" s="49"/>
      <c r="M1369" s="49"/>
      <c r="N1369" s="49"/>
      <c r="O1369" s="49"/>
      <c r="P1369" s="49"/>
      <c r="Q1369" s="49"/>
      <c r="R1369" s="49"/>
      <c r="S1369" s="49"/>
      <c r="T1369" s="49"/>
      <c r="U1369" s="49"/>
      <c r="V1369" s="49"/>
      <c r="W1369" s="49"/>
      <c r="X1369" s="49"/>
      <c r="Y1369" s="49"/>
      <c r="Z1369" s="49"/>
    </row>
    <row r="1370">
      <c r="A1370" s="49"/>
      <c r="B1370" s="49"/>
      <c r="C1370" s="91"/>
      <c r="D1370" s="49"/>
      <c r="E1370" s="49"/>
      <c r="F1370" s="49"/>
      <c r="G1370" s="49"/>
      <c r="H1370" s="49"/>
      <c r="I1370" s="49"/>
      <c r="J1370" s="49"/>
      <c r="K1370" s="49"/>
      <c r="L1370" s="49"/>
      <c r="M1370" s="49"/>
      <c r="N1370" s="49"/>
      <c r="O1370" s="49"/>
      <c r="P1370" s="49"/>
      <c r="Q1370" s="49"/>
      <c r="R1370" s="49"/>
      <c r="S1370" s="49"/>
      <c r="T1370" s="49"/>
      <c r="U1370" s="49"/>
      <c r="V1370" s="49"/>
      <c r="W1370" s="49"/>
      <c r="X1370" s="49"/>
      <c r="Y1370" s="49"/>
      <c r="Z1370" s="49"/>
    </row>
    <row r="1371">
      <c r="A1371" s="49"/>
      <c r="B1371" s="49"/>
      <c r="C1371" s="91"/>
      <c r="D1371" s="49"/>
      <c r="E1371" s="49"/>
      <c r="F1371" s="49"/>
      <c r="G1371" s="49"/>
      <c r="H1371" s="49"/>
      <c r="I1371" s="49"/>
      <c r="J1371" s="49"/>
      <c r="K1371" s="49"/>
      <c r="L1371" s="49"/>
      <c r="M1371" s="49"/>
      <c r="N1371" s="49"/>
      <c r="O1371" s="49"/>
      <c r="P1371" s="49"/>
      <c r="Q1371" s="49"/>
      <c r="R1371" s="49"/>
      <c r="S1371" s="49"/>
      <c r="T1371" s="49"/>
      <c r="U1371" s="49"/>
      <c r="V1371" s="49"/>
      <c r="W1371" s="49"/>
      <c r="X1371" s="49"/>
      <c r="Y1371" s="49"/>
      <c r="Z1371" s="49"/>
    </row>
    <row r="1372">
      <c r="A1372" s="49"/>
      <c r="B1372" s="49"/>
      <c r="C1372" s="91"/>
      <c r="D1372" s="49"/>
      <c r="E1372" s="49"/>
      <c r="F1372" s="49"/>
      <c r="G1372" s="49"/>
      <c r="H1372" s="49"/>
      <c r="I1372" s="49"/>
      <c r="J1372" s="49"/>
      <c r="K1372" s="49"/>
      <c r="L1372" s="49"/>
      <c r="M1372" s="49"/>
      <c r="N1372" s="49"/>
      <c r="O1372" s="49"/>
      <c r="P1372" s="49"/>
      <c r="Q1372" s="49"/>
      <c r="R1372" s="49"/>
      <c r="S1372" s="49"/>
      <c r="T1372" s="49"/>
      <c r="U1372" s="49"/>
      <c r="V1372" s="49"/>
      <c r="W1372" s="49"/>
      <c r="X1372" s="49"/>
      <c r="Y1372" s="49"/>
      <c r="Z1372" s="49"/>
    </row>
    <row r="1373">
      <c r="A1373" s="49"/>
      <c r="B1373" s="49"/>
      <c r="C1373" s="91"/>
      <c r="D1373" s="49"/>
      <c r="E1373" s="49"/>
      <c r="F1373" s="49"/>
      <c r="G1373" s="49"/>
      <c r="H1373" s="49"/>
      <c r="I1373" s="49"/>
      <c r="J1373" s="49"/>
      <c r="K1373" s="49"/>
      <c r="L1373" s="49"/>
      <c r="M1373" s="49"/>
      <c r="N1373" s="49"/>
      <c r="O1373" s="49"/>
      <c r="P1373" s="49"/>
      <c r="Q1373" s="49"/>
      <c r="R1373" s="49"/>
      <c r="S1373" s="49"/>
      <c r="T1373" s="49"/>
      <c r="U1373" s="49"/>
      <c r="V1373" s="49"/>
      <c r="W1373" s="49"/>
      <c r="X1373" s="49"/>
      <c r="Y1373" s="49"/>
      <c r="Z1373" s="49"/>
    </row>
    <row r="1374">
      <c r="A1374" s="49"/>
      <c r="B1374" s="49"/>
      <c r="C1374" s="91"/>
      <c r="D1374" s="49"/>
      <c r="E1374" s="49"/>
      <c r="F1374" s="49"/>
      <c r="G1374" s="49"/>
      <c r="H1374" s="49"/>
      <c r="I1374" s="49"/>
      <c r="J1374" s="49"/>
      <c r="K1374" s="49"/>
      <c r="L1374" s="49"/>
      <c r="M1374" s="49"/>
      <c r="N1374" s="49"/>
      <c r="O1374" s="49"/>
      <c r="P1374" s="49"/>
      <c r="Q1374" s="49"/>
      <c r="R1374" s="49"/>
      <c r="S1374" s="49"/>
      <c r="T1374" s="49"/>
      <c r="U1374" s="49"/>
      <c r="V1374" s="49"/>
      <c r="W1374" s="49"/>
      <c r="X1374" s="49"/>
      <c r="Y1374" s="49"/>
      <c r="Z1374" s="49"/>
    </row>
    <row r="1375">
      <c r="A1375" s="49"/>
      <c r="B1375" s="49"/>
      <c r="C1375" s="91"/>
      <c r="D1375" s="49"/>
      <c r="E1375" s="49"/>
      <c r="F1375" s="49"/>
      <c r="G1375" s="49"/>
      <c r="H1375" s="49"/>
      <c r="I1375" s="49"/>
      <c r="J1375" s="49"/>
      <c r="K1375" s="49"/>
      <c r="L1375" s="49"/>
      <c r="M1375" s="49"/>
      <c r="N1375" s="49"/>
      <c r="O1375" s="49"/>
      <c r="P1375" s="49"/>
      <c r="Q1375" s="49"/>
      <c r="R1375" s="49"/>
      <c r="S1375" s="49"/>
      <c r="T1375" s="49"/>
      <c r="U1375" s="49"/>
      <c r="V1375" s="49"/>
      <c r="W1375" s="49"/>
      <c r="X1375" s="49"/>
      <c r="Y1375" s="49"/>
      <c r="Z1375" s="49"/>
    </row>
    <row r="1376">
      <c r="A1376" s="49"/>
      <c r="B1376" s="49"/>
      <c r="C1376" s="91"/>
      <c r="D1376" s="49"/>
      <c r="E1376" s="49"/>
      <c r="F1376" s="49"/>
      <c r="G1376" s="49"/>
      <c r="H1376" s="49"/>
      <c r="I1376" s="49"/>
      <c r="J1376" s="49"/>
      <c r="K1376" s="49"/>
      <c r="L1376" s="49"/>
      <c r="M1376" s="49"/>
      <c r="N1376" s="49"/>
      <c r="O1376" s="49"/>
      <c r="P1376" s="49"/>
      <c r="Q1376" s="49"/>
      <c r="R1376" s="49"/>
      <c r="S1376" s="49"/>
      <c r="T1376" s="49"/>
      <c r="U1376" s="49"/>
      <c r="V1376" s="49"/>
      <c r="W1376" s="49"/>
      <c r="X1376" s="49"/>
      <c r="Y1376" s="49"/>
      <c r="Z1376" s="49"/>
    </row>
    <row r="1377">
      <c r="A1377" s="49"/>
      <c r="B1377" s="49"/>
      <c r="C1377" s="91"/>
      <c r="D1377" s="49"/>
      <c r="E1377" s="49"/>
      <c r="F1377" s="49"/>
      <c r="G1377" s="49"/>
      <c r="H1377" s="49"/>
      <c r="I1377" s="49"/>
      <c r="J1377" s="49"/>
      <c r="K1377" s="49"/>
      <c r="L1377" s="49"/>
      <c r="M1377" s="49"/>
      <c r="N1377" s="49"/>
      <c r="O1377" s="49"/>
      <c r="P1377" s="49"/>
      <c r="Q1377" s="49"/>
      <c r="R1377" s="49"/>
      <c r="S1377" s="49"/>
      <c r="T1377" s="49"/>
      <c r="U1377" s="49"/>
      <c r="V1377" s="49"/>
      <c r="W1377" s="49"/>
      <c r="X1377" s="49"/>
      <c r="Y1377" s="49"/>
      <c r="Z1377" s="49"/>
    </row>
    <row r="1378">
      <c r="A1378" s="49"/>
      <c r="B1378" s="49"/>
      <c r="C1378" s="91"/>
      <c r="D1378" s="49"/>
      <c r="E1378" s="49"/>
      <c r="F1378" s="49"/>
      <c r="G1378" s="49"/>
      <c r="H1378" s="49"/>
      <c r="I1378" s="49"/>
      <c r="J1378" s="49"/>
      <c r="K1378" s="49"/>
      <c r="L1378" s="49"/>
      <c r="M1378" s="49"/>
      <c r="N1378" s="49"/>
      <c r="O1378" s="49"/>
      <c r="P1378" s="49"/>
      <c r="Q1378" s="49"/>
      <c r="R1378" s="49"/>
      <c r="S1378" s="49"/>
      <c r="T1378" s="49"/>
      <c r="U1378" s="49"/>
      <c r="V1378" s="49"/>
      <c r="W1378" s="49"/>
      <c r="X1378" s="49"/>
      <c r="Y1378" s="49"/>
      <c r="Z1378" s="49"/>
    </row>
    <row r="1379">
      <c r="A1379" s="49"/>
      <c r="B1379" s="49"/>
      <c r="C1379" s="91"/>
      <c r="D1379" s="49"/>
      <c r="E1379" s="49"/>
      <c r="F1379" s="49"/>
      <c r="G1379" s="49"/>
      <c r="H1379" s="49"/>
      <c r="I1379" s="49"/>
      <c r="J1379" s="49"/>
      <c r="K1379" s="49"/>
      <c r="L1379" s="49"/>
      <c r="M1379" s="49"/>
      <c r="N1379" s="49"/>
      <c r="O1379" s="49"/>
      <c r="P1379" s="49"/>
      <c r="Q1379" s="49"/>
      <c r="R1379" s="49"/>
      <c r="S1379" s="49"/>
      <c r="T1379" s="49"/>
      <c r="U1379" s="49"/>
      <c r="V1379" s="49"/>
      <c r="W1379" s="49"/>
      <c r="X1379" s="49"/>
      <c r="Y1379" s="49"/>
      <c r="Z1379" s="49"/>
    </row>
    <row r="1380">
      <c r="A1380" s="49"/>
      <c r="B1380" s="49"/>
      <c r="C1380" s="91"/>
      <c r="D1380" s="49"/>
      <c r="E1380" s="49"/>
      <c r="F1380" s="49"/>
      <c r="G1380" s="49"/>
      <c r="H1380" s="49"/>
      <c r="I1380" s="49"/>
      <c r="J1380" s="49"/>
      <c r="K1380" s="49"/>
      <c r="L1380" s="49"/>
      <c r="M1380" s="49"/>
      <c r="N1380" s="49"/>
      <c r="O1380" s="49"/>
      <c r="P1380" s="49"/>
      <c r="Q1380" s="49"/>
      <c r="R1380" s="49"/>
      <c r="S1380" s="49"/>
      <c r="T1380" s="49"/>
      <c r="U1380" s="49"/>
      <c r="V1380" s="49"/>
      <c r="W1380" s="49"/>
      <c r="X1380" s="49"/>
      <c r="Y1380" s="49"/>
      <c r="Z1380" s="49"/>
    </row>
    <row r="1381">
      <c r="A1381" s="49"/>
      <c r="B1381" s="49"/>
      <c r="C1381" s="91"/>
      <c r="D1381" s="49"/>
      <c r="E1381" s="49"/>
      <c r="F1381" s="49"/>
      <c r="G1381" s="49"/>
      <c r="H1381" s="49"/>
      <c r="I1381" s="49"/>
      <c r="J1381" s="49"/>
      <c r="K1381" s="49"/>
      <c r="L1381" s="49"/>
      <c r="M1381" s="49"/>
      <c r="N1381" s="49"/>
      <c r="O1381" s="49"/>
      <c r="P1381" s="49"/>
      <c r="Q1381" s="49"/>
      <c r="R1381" s="49"/>
      <c r="S1381" s="49"/>
      <c r="T1381" s="49"/>
      <c r="U1381" s="49"/>
      <c r="V1381" s="49"/>
      <c r="W1381" s="49"/>
      <c r="X1381" s="49"/>
      <c r="Y1381" s="49"/>
      <c r="Z1381" s="49"/>
    </row>
    <row r="1382">
      <c r="A1382" s="49"/>
      <c r="B1382" s="49"/>
      <c r="C1382" s="91"/>
      <c r="D1382" s="49"/>
      <c r="E1382" s="49"/>
      <c r="F1382" s="49"/>
      <c r="G1382" s="49"/>
      <c r="H1382" s="49"/>
      <c r="I1382" s="49"/>
      <c r="J1382" s="49"/>
      <c r="K1382" s="49"/>
      <c r="L1382" s="49"/>
      <c r="M1382" s="49"/>
      <c r="N1382" s="49"/>
      <c r="O1382" s="49"/>
      <c r="P1382" s="49"/>
      <c r="Q1382" s="49"/>
      <c r="R1382" s="49"/>
      <c r="S1382" s="49"/>
      <c r="T1382" s="49"/>
      <c r="U1382" s="49"/>
      <c r="V1382" s="49"/>
      <c r="W1382" s="49"/>
      <c r="X1382" s="49"/>
      <c r="Y1382" s="49"/>
      <c r="Z1382" s="49"/>
    </row>
    <row r="1383">
      <c r="A1383" s="49"/>
      <c r="B1383" s="49"/>
      <c r="C1383" s="91"/>
      <c r="D1383" s="49"/>
      <c r="E1383" s="49"/>
      <c r="F1383" s="49"/>
      <c r="G1383" s="49"/>
      <c r="H1383" s="49"/>
      <c r="I1383" s="49"/>
      <c r="J1383" s="49"/>
      <c r="K1383" s="49"/>
      <c r="L1383" s="49"/>
      <c r="M1383" s="49"/>
      <c r="N1383" s="49"/>
      <c r="O1383" s="49"/>
      <c r="P1383" s="49"/>
      <c r="Q1383" s="49"/>
      <c r="R1383" s="49"/>
      <c r="S1383" s="49"/>
      <c r="T1383" s="49"/>
      <c r="U1383" s="49"/>
      <c r="V1383" s="49"/>
      <c r="W1383" s="49"/>
      <c r="X1383" s="49"/>
      <c r="Y1383" s="49"/>
      <c r="Z1383" s="49"/>
    </row>
    <row r="1384">
      <c r="A1384" s="49"/>
      <c r="B1384" s="49"/>
      <c r="C1384" s="91"/>
      <c r="D1384" s="49"/>
      <c r="E1384" s="49"/>
      <c r="F1384" s="49"/>
      <c r="G1384" s="49"/>
      <c r="H1384" s="49"/>
      <c r="I1384" s="49"/>
      <c r="J1384" s="49"/>
      <c r="K1384" s="49"/>
      <c r="L1384" s="49"/>
      <c r="M1384" s="49"/>
      <c r="N1384" s="49"/>
      <c r="O1384" s="49"/>
      <c r="P1384" s="49"/>
      <c r="Q1384" s="49"/>
      <c r="R1384" s="49"/>
      <c r="S1384" s="49"/>
      <c r="T1384" s="49"/>
      <c r="U1384" s="49"/>
      <c r="V1384" s="49"/>
      <c r="W1384" s="49"/>
      <c r="X1384" s="49"/>
      <c r="Y1384" s="49"/>
      <c r="Z1384" s="49"/>
    </row>
    <row r="1385">
      <c r="A1385" s="49"/>
      <c r="B1385" s="49"/>
      <c r="C1385" s="91"/>
      <c r="D1385" s="49"/>
      <c r="E1385" s="49"/>
      <c r="F1385" s="49"/>
      <c r="G1385" s="49"/>
      <c r="H1385" s="49"/>
      <c r="I1385" s="49"/>
      <c r="J1385" s="49"/>
      <c r="K1385" s="49"/>
      <c r="L1385" s="49"/>
      <c r="M1385" s="49"/>
      <c r="N1385" s="49"/>
      <c r="O1385" s="49"/>
      <c r="P1385" s="49"/>
      <c r="Q1385" s="49"/>
      <c r="R1385" s="49"/>
      <c r="S1385" s="49"/>
      <c r="T1385" s="49"/>
      <c r="U1385" s="49"/>
      <c r="V1385" s="49"/>
      <c r="W1385" s="49"/>
      <c r="X1385" s="49"/>
      <c r="Y1385" s="49"/>
      <c r="Z1385" s="49"/>
    </row>
    <row r="1386">
      <c r="A1386" s="49"/>
      <c r="B1386" s="49"/>
      <c r="C1386" s="91"/>
      <c r="D1386" s="49"/>
      <c r="E1386" s="49"/>
      <c r="F1386" s="49"/>
      <c r="G1386" s="49"/>
      <c r="H1386" s="49"/>
      <c r="I1386" s="49"/>
      <c r="J1386" s="49"/>
      <c r="K1386" s="49"/>
      <c r="L1386" s="49"/>
      <c r="M1386" s="49"/>
      <c r="N1386" s="49"/>
      <c r="O1386" s="49"/>
      <c r="P1386" s="49"/>
      <c r="Q1386" s="49"/>
      <c r="R1386" s="49"/>
      <c r="S1386" s="49"/>
      <c r="T1386" s="49"/>
      <c r="U1386" s="49"/>
      <c r="V1386" s="49"/>
      <c r="W1386" s="49"/>
      <c r="X1386" s="49"/>
      <c r="Y1386" s="49"/>
      <c r="Z1386" s="49"/>
    </row>
    <row r="1387">
      <c r="A1387" s="49"/>
      <c r="B1387" s="49"/>
      <c r="C1387" s="91"/>
      <c r="D1387" s="49"/>
      <c r="E1387" s="49"/>
      <c r="F1387" s="49"/>
      <c r="G1387" s="49"/>
      <c r="H1387" s="49"/>
      <c r="I1387" s="49"/>
      <c r="J1387" s="49"/>
      <c r="K1387" s="49"/>
      <c r="L1387" s="49"/>
      <c r="M1387" s="49"/>
      <c r="N1387" s="49"/>
      <c r="O1387" s="49"/>
      <c r="P1387" s="49"/>
      <c r="Q1387" s="49"/>
      <c r="R1387" s="49"/>
      <c r="S1387" s="49"/>
      <c r="T1387" s="49"/>
      <c r="U1387" s="49"/>
      <c r="V1387" s="49"/>
      <c r="W1387" s="49"/>
      <c r="X1387" s="49"/>
      <c r="Y1387" s="49"/>
      <c r="Z1387" s="49"/>
    </row>
    <row r="1388">
      <c r="A1388" s="49"/>
      <c r="B1388" s="49"/>
      <c r="C1388" s="91"/>
      <c r="D1388" s="49"/>
      <c r="E1388" s="49"/>
      <c r="F1388" s="49"/>
      <c r="G1388" s="49"/>
      <c r="H1388" s="49"/>
      <c r="I1388" s="49"/>
      <c r="J1388" s="49"/>
      <c r="K1388" s="49"/>
      <c r="L1388" s="49"/>
      <c r="M1388" s="49"/>
      <c r="N1388" s="49"/>
      <c r="O1388" s="49"/>
      <c r="P1388" s="49"/>
      <c r="Q1388" s="49"/>
      <c r="R1388" s="49"/>
      <c r="S1388" s="49"/>
      <c r="T1388" s="49"/>
      <c r="U1388" s="49"/>
      <c r="V1388" s="49"/>
      <c r="W1388" s="49"/>
      <c r="X1388" s="49"/>
      <c r="Y1388" s="49"/>
      <c r="Z1388" s="49"/>
    </row>
    <row r="1389">
      <c r="A1389" s="49"/>
      <c r="B1389" s="49"/>
      <c r="C1389" s="91"/>
      <c r="D1389" s="49"/>
      <c r="E1389" s="49"/>
      <c r="F1389" s="49"/>
      <c r="G1389" s="49"/>
      <c r="H1389" s="49"/>
      <c r="I1389" s="49"/>
      <c r="J1389" s="49"/>
      <c r="K1389" s="49"/>
      <c r="L1389" s="49"/>
      <c r="M1389" s="49"/>
      <c r="N1389" s="49"/>
      <c r="O1389" s="49"/>
      <c r="P1389" s="49"/>
      <c r="Q1389" s="49"/>
      <c r="R1389" s="49"/>
      <c r="S1389" s="49"/>
      <c r="T1389" s="49"/>
      <c r="U1389" s="49"/>
      <c r="V1389" s="49"/>
      <c r="W1389" s="49"/>
      <c r="X1389" s="49"/>
      <c r="Y1389" s="49"/>
      <c r="Z1389" s="49"/>
    </row>
    <row r="1390">
      <c r="A1390" s="49"/>
      <c r="B1390" s="49"/>
      <c r="C1390" s="91"/>
      <c r="D1390" s="49"/>
      <c r="E1390" s="49"/>
      <c r="F1390" s="49"/>
      <c r="G1390" s="49"/>
      <c r="H1390" s="49"/>
      <c r="I1390" s="49"/>
      <c r="J1390" s="49"/>
      <c r="K1390" s="49"/>
      <c r="L1390" s="49"/>
      <c r="M1390" s="49"/>
      <c r="N1390" s="49"/>
      <c r="O1390" s="49"/>
      <c r="P1390" s="49"/>
      <c r="Q1390" s="49"/>
      <c r="R1390" s="49"/>
      <c r="S1390" s="49"/>
      <c r="T1390" s="49"/>
      <c r="U1390" s="49"/>
      <c r="V1390" s="49"/>
      <c r="W1390" s="49"/>
      <c r="X1390" s="49"/>
      <c r="Y1390" s="49"/>
      <c r="Z1390" s="49"/>
    </row>
    <row r="1391">
      <c r="A1391" s="49"/>
      <c r="B1391" s="49"/>
      <c r="C1391" s="91"/>
      <c r="D1391" s="49"/>
      <c r="E1391" s="49"/>
      <c r="F1391" s="49"/>
      <c r="G1391" s="49"/>
      <c r="H1391" s="49"/>
      <c r="I1391" s="49"/>
      <c r="J1391" s="49"/>
      <c r="K1391" s="49"/>
      <c r="L1391" s="49"/>
      <c r="M1391" s="49"/>
      <c r="N1391" s="49"/>
      <c r="O1391" s="49"/>
      <c r="P1391" s="49"/>
      <c r="Q1391" s="49"/>
      <c r="R1391" s="49"/>
      <c r="S1391" s="49"/>
      <c r="T1391" s="49"/>
      <c r="U1391" s="49"/>
      <c r="V1391" s="49"/>
      <c r="W1391" s="49"/>
      <c r="X1391" s="49"/>
      <c r="Y1391" s="49"/>
      <c r="Z1391" s="49"/>
    </row>
    <row r="1392">
      <c r="A1392" s="49"/>
      <c r="B1392" s="49"/>
      <c r="C1392" s="91"/>
      <c r="D1392" s="49"/>
      <c r="E1392" s="49"/>
      <c r="F1392" s="49"/>
      <c r="G1392" s="49"/>
      <c r="H1392" s="49"/>
      <c r="I1392" s="49"/>
      <c r="J1392" s="49"/>
      <c r="K1392" s="49"/>
      <c r="L1392" s="49"/>
      <c r="M1392" s="49"/>
      <c r="N1392" s="49"/>
      <c r="O1392" s="49"/>
      <c r="P1392" s="49"/>
      <c r="Q1392" s="49"/>
      <c r="R1392" s="49"/>
      <c r="S1392" s="49"/>
      <c r="T1392" s="49"/>
      <c r="U1392" s="49"/>
      <c r="V1392" s="49"/>
      <c r="W1392" s="49"/>
      <c r="X1392" s="49"/>
      <c r="Y1392" s="49"/>
      <c r="Z1392" s="49"/>
    </row>
    <row r="1393">
      <c r="A1393" s="49"/>
      <c r="B1393" s="49"/>
      <c r="C1393" s="91"/>
      <c r="D1393" s="49"/>
      <c r="E1393" s="49"/>
      <c r="F1393" s="49"/>
      <c r="G1393" s="49"/>
      <c r="H1393" s="49"/>
      <c r="I1393" s="49"/>
      <c r="J1393" s="49"/>
      <c r="K1393" s="49"/>
      <c r="L1393" s="49"/>
      <c r="M1393" s="49"/>
      <c r="N1393" s="49"/>
      <c r="O1393" s="49"/>
      <c r="P1393" s="49"/>
      <c r="Q1393" s="49"/>
      <c r="R1393" s="49"/>
      <c r="S1393" s="49"/>
      <c r="T1393" s="49"/>
      <c r="U1393" s="49"/>
      <c r="V1393" s="49"/>
      <c r="W1393" s="49"/>
      <c r="X1393" s="49"/>
      <c r="Y1393" s="49"/>
      <c r="Z1393" s="49"/>
    </row>
    <row r="1394">
      <c r="A1394" s="49"/>
      <c r="B1394" s="49"/>
      <c r="C1394" s="91"/>
      <c r="D1394" s="49"/>
      <c r="E1394" s="49"/>
      <c r="F1394" s="49"/>
      <c r="G1394" s="49"/>
      <c r="H1394" s="49"/>
      <c r="I1394" s="49"/>
      <c r="J1394" s="49"/>
      <c r="K1394" s="49"/>
      <c r="L1394" s="49"/>
      <c r="M1394" s="49"/>
      <c r="N1394" s="49"/>
      <c r="O1394" s="49"/>
      <c r="P1394" s="49"/>
      <c r="Q1394" s="49"/>
      <c r="R1394" s="49"/>
      <c r="S1394" s="49"/>
      <c r="T1394" s="49"/>
      <c r="U1394" s="49"/>
      <c r="V1394" s="49"/>
      <c r="W1394" s="49"/>
      <c r="X1394" s="49"/>
      <c r="Y1394" s="49"/>
      <c r="Z1394" s="49"/>
    </row>
    <row r="1395">
      <c r="A1395" s="49"/>
      <c r="B1395" s="49"/>
      <c r="C1395" s="91"/>
      <c r="D1395" s="49"/>
      <c r="E1395" s="49"/>
      <c r="F1395" s="49"/>
      <c r="G1395" s="49"/>
      <c r="H1395" s="49"/>
      <c r="I1395" s="49"/>
      <c r="J1395" s="49"/>
      <c r="K1395" s="49"/>
      <c r="L1395" s="49"/>
      <c r="M1395" s="49"/>
      <c r="N1395" s="49"/>
      <c r="O1395" s="49"/>
      <c r="P1395" s="49"/>
      <c r="Q1395" s="49"/>
      <c r="R1395" s="49"/>
      <c r="S1395" s="49"/>
      <c r="T1395" s="49"/>
      <c r="U1395" s="49"/>
      <c r="V1395" s="49"/>
      <c r="W1395" s="49"/>
      <c r="X1395" s="49"/>
      <c r="Y1395" s="49"/>
      <c r="Z1395" s="49"/>
    </row>
    <row r="1396">
      <c r="A1396" s="49"/>
      <c r="B1396" s="49"/>
      <c r="C1396" s="91"/>
      <c r="D1396" s="49"/>
      <c r="E1396" s="49"/>
      <c r="F1396" s="49"/>
      <c r="G1396" s="49"/>
      <c r="H1396" s="49"/>
      <c r="I1396" s="49"/>
      <c r="J1396" s="49"/>
      <c r="K1396" s="49"/>
      <c r="L1396" s="49"/>
      <c r="M1396" s="49"/>
      <c r="N1396" s="49"/>
      <c r="O1396" s="49"/>
      <c r="P1396" s="49"/>
      <c r="Q1396" s="49"/>
      <c r="R1396" s="49"/>
      <c r="S1396" s="49"/>
      <c r="T1396" s="49"/>
      <c r="U1396" s="49"/>
      <c r="V1396" s="49"/>
      <c r="W1396" s="49"/>
      <c r="X1396" s="49"/>
      <c r="Y1396" s="49"/>
      <c r="Z1396" s="49"/>
    </row>
    <row r="1397">
      <c r="A1397" s="49"/>
      <c r="B1397" s="49"/>
      <c r="C1397" s="91"/>
      <c r="D1397" s="49"/>
      <c r="E1397" s="49"/>
      <c r="F1397" s="49"/>
      <c r="G1397" s="49"/>
      <c r="H1397" s="49"/>
      <c r="I1397" s="49"/>
      <c r="J1397" s="49"/>
      <c r="K1397" s="49"/>
      <c r="L1397" s="49"/>
      <c r="M1397" s="49"/>
      <c r="N1397" s="49"/>
      <c r="O1397" s="49"/>
      <c r="P1397" s="49"/>
      <c r="Q1397" s="49"/>
      <c r="R1397" s="49"/>
      <c r="S1397" s="49"/>
      <c r="T1397" s="49"/>
      <c r="U1397" s="49"/>
      <c r="V1397" s="49"/>
      <c r="W1397" s="49"/>
      <c r="X1397" s="49"/>
      <c r="Y1397" s="49"/>
      <c r="Z1397" s="49"/>
    </row>
    <row r="1398">
      <c r="A1398" s="49"/>
      <c r="B1398" s="49"/>
      <c r="C1398" s="91"/>
      <c r="D1398" s="49"/>
      <c r="E1398" s="49"/>
      <c r="F1398" s="49"/>
      <c r="G1398" s="49"/>
      <c r="H1398" s="49"/>
      <c r="I1398" s="49"/>
      <c r="J1398" s="49"/>
      <c r="K1398" s="49"/>
      <c r="L1398" s="49"/>
      <c r="M1398" s="49"/>
      <c r="N1398" s="49"/>
      <c r="O1398" s="49"/>
      <c r="P1398" s="49"/>
      <c r="Q1398" s="49"/>
      <c r="R1398" s="49"/>
      <c r="S1398" s="49"/>
      <c r="T1398" s="49"/>
      <c r="U1398" s="49"/>
      <c r="V1398" s="49"/>
      <c r="W1398" s="49"/>
      <c r="X1398" s="49"/>
      <c r="Y1398" s="49"/>
      <c r="Z1398" s="49"/>
    </row>
    <row r="1399">
      <c r="A1399" s="49"/>
      <c r="B1399" s="49"/>
      <c r="C1399" s="91"/>
      <c r="D1399" s="49"/>
      <c r="E1399" s="49"/>
      <c r="F1399" s="49"/>
      <c r="G1399" s="49"/>
      <c r="H1399" s="49"/>
      <c r="I1399" s="49"/>
      <c r="J1399" s="49"/>
      <c r="K1399" s="49"/>
      <c r="L1399" s="49"/>
      <c r="M1399" s="49"/>
      <c r="N1399" s="49"/>
      <c r="O1399" s="49"/>
      <c r="P1399" s="49"/>
      <c r="Q1399" s="49"/>
      <c r="R1399" s="49"/>
      <c r="S1399" s="49"/>
      <c r="T1399" s="49"/>
      <c r="U1399" s="49"/>
      <c r="V1399" s="49"/>
      <c r="W1399" s="49"/>
      <c r="X1399" s="49"/>
      <c r="Y1399" s="49"/>
      <c r="Z1399" s="49"/>
    </row>
    <row r="1400">
      <c r="A1400" s="49"/>
      <c r="B1400" s="49"/>
      <c r="C1400" s="91"/>
      <c r="D1400" s="49"/>
      <c r="E1400" s="49"/>
      <c r="F1400" s="49"/>
      <c r="G1400" s="49"/>
      <c r="H1400" s="49"/>
      <c r="I1400" s="49"/>
      <c r="J1400" s="49"/>
      <c r="K1400" s="49"/>
      <c r="L1400" s="49"/>
      <c r="M1400" s="49"/>
      <c r="N1400" s="49"/>
      <c r="O1400" s="49"/>
      <c r="P1400" s="49"/>
      <c r="Q1400" s="49"/>
      <c r="R1400" s="49"/>
      <c r="S1400" s="49"/>
      <c r="T1400" s="49"/>
      <c r="U1400" s="49"/>
      <c r="V1400" s="49"/>
      <c r="W1400" s="49"/>
      <c r="X1400" s="49"/>
      <c r="Y1400" s="49"/>
      <c r="Z1400" s="49"/>
    </row>
    <row r="1401">
      <c r="A1401" s="49"/>
      <c r="B1401" s="49"/>
      <c r="C1401" s="91"/>
      <c r="D1401" s="49"/>
      <c r="E1401" s="49"/>
      <c r="F1401" s="49"/>
      <c r="G1401" s="49"/>
      <c r="H1401" s="49"/>
      <c r="I1401" s="49"/>
      <c r="J1401" s="49"/>
      <c r="K1401" s="49"/>
      <c r="L1401" s="49"/>
      <c r="M1401" s="49"/>
      <c r="N1401" s="49"/>
      <c r="O1401" s="49"/>
      <c r="P1401" s="49"/>
      <c r="Q1401" s="49"/>
      <c r="R1401" s="49"/>
      <c r="S1401" s="49"/>
      <c r="T1401" s="49"/>
      <c r="U1401" s="49"/>
      <c r="V1401" s="49"/>
      <c r="W1401" s="49"/>
      <c r="X1401" s="49"/>
      <c r="Y1401" s="49"/>
      <c r="Z1401" s="49"/>
    </row>
    <row r="1402">
      <c r="A1402" s="49"/>
      <c r="B1402" s="49"/>
      <c r="C1402" s="91"/>
      <c r="D1402" s="49"/>
      <c r="E1402" s="49"/>
      <c r="F1402" s="49"/>
      <c r="G1402" s="49"/>
      <c r="H1402" s="49"/>
      <c r="I1402" s="49"/>
      <c r="J1402" s="49"/>
      <c r="K1402" s="49"/>
      <c r="L1402" s="49"/>
      <c r="M1402" s="49"/>
      <c r="N1402" s="49"/>
      <c r="O1402" s="49"/>
      <c r="P1402" s="49"/>
      <c r="Q1402" s="49"/>
      <c r="R1402" s="49"/>
      <c r="S1402" s="49"/>
      <c r="T1402" s="49"/>
      <c r="U1402" s="49"/>
      <c r="V1402" s="49"/>
      <c r="W1402" s="49"/>
      <c r="X1402" s="49"/>
      <c r="Y1402" s="49"/>
      <c r="Z1402" s="49"/>
    </row>
    <row r="1403">
      <c r="A1403" s="49"/>
      <c r="B1403" s="49"/>
      <c r="C1403" s="91"/>
      <c r="D1403" s="49"/>
      <c r="E1403" s="49"/>
      <c r="F1403" s="49"/>
      <c r="G1403" s="49"/>
      <c r="H1403" s="49"/>
      <c r="I1403" s="49"/>
      <c r="J1403" s="49"/>
      <c r="K1403" s="49"/>
      <c r="L1403" s="49"/>
      <c r="M1403" s="49"/>
      <c r="N1403" s="49"/>
      <c r="O1403" s="49"/>
      <c r="P1403" s="49"/>
      <c r="Q1403" s="49"/>
      <c r="R1403" s="49"/>
      <c r="S1403" s="49"/>
      <c r="T1403" s="49"/>
      <c r="U1403" s="49"/>
      <c r="V1403" s="49"/>
      <c r="W1403" s="49"/>
      <c r="X1403" s="49"/>
      <c r="Y1403" s="49"/>
      <c r="Z1403" s="49"/>
    </row>
    <row r="1404">
      <c r="A1404" s="49"/>
      <c r="B1404" s="49"/>
      <c r="C1404" s="91"/>
      <c r="D1404" s="49"/>
      <c r="E1404" s="49"/>
      <c r="F1404" s="49"/>
      <c r="G1404" s="49"/>
      <c r="H1404" s="49"/>
      <c r="I1404" s="49"/>
      <c r="J1404" s="49"/>
      <c r="K1404" s="49"/>
      <c r="L1404" s="49"/>
      <c r="M1404" s="49"/>
      <c r="N1404" s="49"/>
      <c r="O1404" s="49"/>
      <c r="P1404" s="49"/>
      <c r="Q1404" s="49"/>
      <c r="R1404" s="49"/>
      <c r="S1404" s="49"/>
      <c r="T1404" s="49"/>
      <c r="U1404" s="49"/>
      <c r="V1404" s="49"/>
      <c r="W1404" s="49"/>
      <c r="X1404" s="49"/>
      <c r="Y1404" s="49"/>
      <c r="Z1404" s="49"/>
    </row>
    <row r="1405">
      <c r="A1405" s="49"/>
      <c r="B1405" s="49"/>
      <c r="C1405" s="91"/>
      <c r="D1405" s="49"/>
      <c r="E1405" s="49"/>
      <c r="F1405" s="49"/>
      <c r="G1405" s="49"/>
      <c r="H1405" s="49"/>
      <c r="I1405" s="49"/>
      <c r="J1405" s="49"/>
      <c r="K1405" s="49"/>
      <c r="L1405" s="49"/>
      <c r="M1405" s="49"/>
      <c r="N1405" s="49"/>
      <c r="O1405" s="49"/>
      <c r="P1405" s="49"/>
      <c r="Q1405" s="49"/>
      <c r="R1405" s="49"/>
      <c r="S1405" s="49"/>
      <c r="T1405" s="49"/>
      <c r="U1405" s="49"/>
      <c r="V1405" s="49"/>
      <c r="W1405" s="49"/>
      <c r="X1405" s="49"/>
      <c r="Y1405" s="49"/>
      <c r="Z1405" s="49"/>
    </row>
    <row r="1406">
      <c r="A1406" s="49"/>
      <c r="B1406" s="49"/>
      <c r="C1406" s="91"/>
      <c r="D1406" s="49"/>
      <c r="E1406" s="49"/>
      <c r="F1406" s="49"/>
      <c r="G1406" s="49"/>
      <c r="H1406" s="49"/>
      <c r="I1406" s="49"/>
      <c r="J1406" s="49"/>
      <c r="K1406" s="49"/>
      <c r="L1406" s="49"/>
      <c r="M1406" s="49"/>
      <c r="N1406" s="49"/>
      <c r="O1406" s="49"/>
      <c r="P1406" s="49"/>
      <c r="Q1406" s="49"/>
      <c r="R1406" s="49"/>
      <c r="S1406" s="49"/>
      <c r="T1406" s="49"/>
      <c r="U1406" s="49"/>
      <c r="V1406" s="49"/>
      <c r="W1406" s="49"/>
      <c r="X1406" s="49"/>
      <c r="Y1406" s="49"/>
      <c r="Z1406" s="49"/>
    </row>
    <row r="1407">
      <c r="A1407" s="49"/>
      <c r="B1407" s="49"/>
      <c r="C1407" s="91"/>
      <c r="D1407" s="49"/>
      <c r="E1407" s="49"/>
      <c r="F1407" s="49"/>
      <c r="G1407" s="49"/>
      <c r="H1407" s="49"/>
      <c r="I1407" s="49"/>
      <c r="J1407" s="49"/>
      <c r="K1407" s="49"/>
      <c r="L1407" s="49"/>
      <c r="M1407" s="49"/>
      <c r="N1407" s="49"/>
      <c r="O1407" s="49"/>
      <c r="P1407" s="49"/>
      <c r="Q1407" s="49"/>
      <c r="R1407" s="49"/>
      <c r="S1407" s="49"/>
      <c r="T1407" s="49"/>
      <c r="U1407" s="49"/>
      <c r="V1407" s="49"/>
      <c r="W1407" s="49"/>
      <c r="X1407" s="49"/>
      <c r="Y1407" s="49"/>
      <c r="Z1407" s="49"/>
    </row>
    <row r="1408">
      <c r="A1408" s="49"/>
      <c r="B1408" s="49"/>
      <c r="C1408" s="91"/>
      <c r="D1408" s="49"/>
      <c r="E1408" s="49"/>
      <c r="F1408" s="49"/>
      <c r="G1408" s="49"/>
      <c r="H1408" s="49"/>
      <c r="I1408" s="49"/>
      <c r="J1408" s="49"/>
      <c r="K1408" s="49"/>
      <c r="L1408" s="49"/>
      <c r="M1408" s="49"/>
      <c r="N1408" s="49"/>
      <c r="O1408" s="49"/>
      <c r="P1408" s="49"/>
      <c r="Q1408" s="49"/>
      <c r="R1408" s="49"/>
      <c r="S1408" s="49"/>
      <c r="T1408" s="49"/>
      <c r="U1408" s="49"/>
      <c r="V1408" s="49"/>
      <c r="W1408" s="49"/>
      <c r="X1408" s="49"/>
      <c r="Y1408" s="49"/>
      <c r="Z1408" s="49"/>
    </row>
    <row r="1409">
      <c r="A1409" s="49"/>
      <c r="B1409" s="49"/>
      <c r="C1409" s="91"/>
      <c r="D1409" s="49"/>
      <c r="E1409" s="49"/>
      <c r="F1409" s="49"/>
      <c r="G1409" s="49"/>
      <c r="H1409" s="49"/>
      <c r="I1409" s="49"/>
      <c r="J1409" s="49"/>
      <c r="K1409" s="49"/>
      <c r="L1409" s="49"/>
      <c r="M1409" s="49"/>
      <c r="N1409" s="49"/>
      <c r="O1409" s="49"/>
      <c r="P1409" s="49"/>
      <c r="Q1409" s="49"/>
      <c r="R1409" s="49"/>
      <c r="S1409" s="49"/>
      <c r="T1409" s="49"/>
      <c r="U1409" s="49"/>
      <c r="V1409" s="49"/>
      <c r="W1409" s="49"/>
      <c r="X1409" s="49"/>
      <c r="Y1409" s="49"/>
      <c r="Z1409" s="49"/>
    </row>
    <row r="1410">
      <c r="A1410" s="49"/>
      <c r="B1410" s="49"/>
      <c r="C1410" s="91"/>
      <c r="D1410" s="49"/>
      <c r="E1410" s="49"/>
      <c r="F1410" s="49"/>
      <c r="G1410" s="49"/>
      <c r="H1410" s="49"/>
      <c r="I1410" s="49"/>
      <c r="J1410" s="49"/>
      <c r="K1410" s="49"/>
      <c r="L1410" s="49"/>
      <c r="M1410" s="49"/>
      <c r="N1410" s="49"/>
      <c r="O1410" s="49"/>
      <c r="P1410" s="49"/>
      <c r="Q1410" s="49"/>
      <c r="R1410" s="49"/>
      <c r="S1410" s="49"/>
      <c r="T1410" s="49"/>
      <c r="U1410" s="49"/>
      <c r="V1410" s="49"/>
      <c r="W1410" s="49"/>
      <c r="X1410" s="49"/>
      <c r="Y1410" s="49"/>
      <c r="Z1410" s="49"/>
    </row>
    <row r="1411">
      <c r="A1411" s="49"/>
      <c r="B1411" s="49"/>
      <c r="C1411" s="91"/>
      <c r="D1411" s="49"/>
      <c r="E1411" s="49"/>
      <c r="F1411" s="49"/>
      <c r="G1411" s="49"/>
      <c r="H1411" s="49"/>
      <c r="I1411" s="49"/>
      <c r="J1411" s="49"/>
      <c r="K1411" s="49"/>
      <c r="L1411" s="49"/>
      <c r="M1411" s="49"/>
      <c r="N1411" s="49"/>
      <c r="O1411" s="49"/>
      <c r="P1411" s="49"/>
      <c r="Q1411" s="49"/>
      <c r="R1411" s="49"/>
      <c r="S1411" s="49"/>
      <c r="T1411" s="49"/>
      <c r="U1411" s="49"/>
      <c r="V1411" s="49"/>
      <c r="W1411" s="49"/>
      <c r="X1411" s="49"/>
      <c r="Y1411" s="49"/>
      <c r="Z1411" s="49"/>
    </row>
    <row r="1412">
      <c r="A1412" s="49"/>
      <c r="B1412" s="49"/>
      <c r="C1412" s="91"/>
      <c r="D1412" s="49"/>
      <c r="E1412" s="49"/>
      <c r="F1412" s="49"/>
      <c r="G1412" s="49"/>
      <c r="H1412" s="49"/>
      <c r="I1412" s="49"/>
      <c r="J1412" s="49"/>
      <c r="K1412" s="49"/>
      <c r="L1412" s="49"/>
      <c r="M1412" s="49"/>
      <c r="N1412" s="49"/>
      <c r="O1412" s="49"/>
      <c r="P1412" s="49"/>
      <c r="Q1412" s="49"/>
      <c r="R1412" s="49"/>
      <c r="S1412" s="49"/>
      <c r="T1412" s="49"/>
      <c r="U1412" s="49"/>
      <c r="V1412" s="49"/>
      <c r="W1412" s="49"/>
      <c r="X1412" s="49"/>
      <c r="Y1412" s="49"/>
      <c r="Z1412" s="49"/>
    </row>
    <row r="1413">
      <c r="A1413" s="49"/>
      <c r="B1413" s="49"/>
      <c r="C1413" s="91"/>
      <c r="D1413" s="49"/>
      <c r="E1413" s="49"/>
      <c r="F1413" s="49"/>
      <c r="G1413" s="49"/>
      <c r="H1413" s="49"/>
      <c r="I1413" s="49"/>
      <c r="J1413" s="49"/>
      <c r="K1413" s="49"/>
      <c r="L1413" s="49"/>
      <c r="M1413" s="49"/>
      <c r="N1413" s="49"/>
      <c r="O1413" s="49"/>
      <c r="P1413" s="49"/>
      <c r="Q1413" s="49"/>
      <c r="R1413" s="49"/>
      <c r="S1413" s="49"/>
      <c r="T1413" s="49"/>
      <c r="U1413" s="49"/>
      <c r="V1413" s="49"/>
      <c r="W1413" s="49"/>
      <c r="X1413" s="49"/>
      <c r="Y1413" s="49"/>
      <c r="Z1413" s="49"/>
    </row>
    <row r="1414">
      <c r="A1414" s="49"/>
      <c r="B1414" s="49"/>
      <c r="C1414" s="91"/>
      <c r="D1414" s="49"/>
      <c r="E1414" s="49"/>
      <c r="F1414" s="49"/>
      <c r="G1414" s="49"/>
      <c r="H1414" s="49"/>
      <c r="I1414" s="49"/>
      <c r="J1414" s="49"/>
      <c r="K1414" s="49"/>
      <c r="L1414" s="49"/>
      <c r="M1414" s="49"/>
      <c r="N1414" s="49"/>
      <c r="O1414" s="49"/>
      <c r="P1414" s="49"/>
      <c r="Q1414" s="49"/>
      <c r="R1414" s="49"/>
      <c r="S1414" s="49"/>
      <c r="T1414" s="49"/>
      <c r="U1414" s="49"/>
      <c r="V1414" s="49"/>
      <c r="W1414" s="49"/>
      <c r="X1414" s="49"/>
      <c r="Y1414" s="49"/>
      <c r="Z1414" s="49"/>
    </row>
    <row r="1415">
      <c r="A1415" s="49"/>
      <c r="B1415" s="49"/>
      <c r="C1415" s="91"/>
      <c r="D1415" s="49"/>
      <c r="E1415" s="49"/>
      <c r="F1415" s="49"/>
      <c r="G1415" s="49"/>
      <c r="H1415" s="49"/>
      <c r="I1415" s="49"/>
      <c r="J1415" s="49"/>
      <c r="K1415" s="49"/>
      <c r="L1415" s="49"/>
      <c r="M1415" s="49"/>
      <c r="N1415" s="49"/>
      <c r="O1415" s="49"/>
      <c r="P1415" s="49"/>
      <c r="Q1415" s="49"/>
      <c r="R1415" s="49"/>
      <c r="S1415" s="49"/>
      <c r="T1415" s="49"/>
      <c r="U1415" s="49"/>
      <c r="V1415" s="49"/>
      <c r="W1415" s="49"/>
      <c r="X1415" s="49"/>
      <c r="Y1415" s="49"/>
      <c r="Z1415" s="49"/>
    </row>
    <row r="1416">
      <c r="A1416" s="49"/>
      <c r="B1416" s="49"/>
      <c r="C1416" s="91"/>
      <c r="D1416" s="49"/>
      <c r="E1416" s="49"/>
      <c r="F1416" s="49"/>
      <c r="G1416" s="49"/>
      <c r="H1416" s="49"/>
      <c r="I1416" s="49"/>
      <c r="J1416" s="49"/>
      <c r="K1416" s="49"/>
      <c r="L1416" s="49"/>
      <c r="M1416" s="49"/>
      <c r="N1416" s="49"/>
      <c r="O1416" s="49"/>
      <c r="P1416" s="49"/>
      <c r="Q1416" s="49"/>
      <c r="R1416" s="49"/>
      <c r="S1416" s="49"/>
      <c r="T1416" s="49"/>
      <c r="U1416" s="49"/>
      <c r="V1416" s="49"/>
      <c r="W1416" s="49"/>
      <c r="X1416" s="49"/>
      <c r="Y1416" s="49"/>
      <c r="Z1416" s="49"/>
    </row>
    <row r="1417">
      <c r="A1417" s="49"/>
      <c r="B1417" s="49"/>
      <c r="C1417" s="91"/>
      <c r="D1417" s="49"/>
      <c r="E1417" s="49"/>
      <c r="F1417" s="49"/>
      <c r="G1417" s="49"/>
      <c r="H1417" s="49"/>
      <c r="I1417" s="49"/>
      <c r="J1417" s="49"/>
      <c r="K1417" s="49"/>
      <c r="L1417" s="49"/>
      <c r="M1417" s="49"/>
      <c r="N1417" s="49"/>
      <c r="O1417" s="49"/>
      <c r="P1417" s="49"/>
      <c r="Q1417" s="49"/>
      <c r="R1417" s="49"/>
      <c r="S1417" s="49"/>
      <c r="T1417" s="49"/>
      <c r="U1417" s="49"/>
      <c r="V1417" s="49"/>
      <c r="W1417" s="49"/>
      <c r="X1417" s="49"/>
      <c r="Y1417" s="49"/>
      <c r="Z1417" s="49"/>
    </row>
    <row r="1418">
      <c r="A1418" s="49"/>
      <c r="B1418" s="49"/>
      <c r="C1418" s="91"/>
      <c r="D1418" s="49"/>
      <c r="E1418" s="49"/>
      <c r="F1418" s="49"/>
      <c r="G1418" s="49"/>
      <c r="H1418" s="49"/>
      <c r="I1418" s="49"/>
      <c r="J1418" s="49"/>
      <c r="K1418" s="49"/>
      <c r="L1418" s="49"/>
      <c r="M1418" s="49"/>
      <c r="N1418" s="49"/>
      <c r="O1418" s="49"/>
      <c r="P1418" s="49"/>
      <c r="Q1418" s="49"/>
      <c r="R1418" s="49"/>
      <c r="S1418" s="49"/>
      <c r="T1418" s="49"/>
      <c r="U1418" s="49"/>
      <c r="V1418" s="49"/>
      <c r="W1418" s="49"/>
      <c r="X1418" s="49"/>
      <c r="Y1418" s="49"/>
      <c r="Z1418" s="49"/>
    </row>
    <row r="1419">
      <c r="A1419" s="49"/>
      <c r="B1419" s="49"/>
      <c r="C1419" s="91"/>
      <c r="D1419" s="49"/>
      <c r="E1419" s="49"/>
      <c r="F1419" s="49"/>
      <c r="G1419" s="49"/>
      <c r="H1419" s="49"/>
      <c r="I1419" s="49"/>
      <c r="J1419" s="49"/>
      <c r="K1419" s="49"/>
      <c r="L1419" s="49"/>
      <c r="M1419" s="49"/>
      <c r="N1419" s="49"/>
      <c r="O1419" s="49"/>
      <c r="P1419" s="49"/>
      <c r="Q1419" s="49"/>
      <c r="R1419" s="49"/>
      <c r="S1419" s="49"/>
      <c r="T1419" s="49"/>
      <c r="U1419" s="49"/>
      <c r="V1419" s="49"/>
      <c r="W1419" s="49"/>
      <c r="X1419" s="49"/>
      <c r="Y1419" s="49"/>
      <c r="Z1419" s="49"/>
    </row>
    <row r="1420">
      <c r="A1420" s="49"/>
      <c r="B1420" s="49"/>
      <c r="C1420" s="91"/>
      <c r="D1420" s="49"/>
      <c r="E1420" s="49"/>
      <c r="F1420" s="49"/>
      <c r="G1420" s="49"/>
      <c r="H1420" s="49"/>
      <c r="I1420" s="49"/>
      <c r="J1420" s="49"/>
      <c r="K1420" s="49"/>
      <c r="L1420" s="49"/>
      <c r="M1420" s="49"/>
      <c r="N1420" s="49"/>
      <c r="O1420" s="49"/>
      <c r="P1420" s="49"/>
      <c r="Q1420" s="49"/>
      <c r="R1420" s="49"/>
      <c r="S1420" s="49"/>
      <c r="T1420" s="49"/>
      <c r="U1420" s="49"/>
      <c r="V1420" s="49"/>
      <c r="W1420" s="49"/>
      <c r="X1420" s="49"/>
      <c r="Y1420" s="49"/>
      <c r="Z1420" s="49"/>
    </row>
    <row r="1421">
      <c r="A1421" s="49"/>
      <c r="B1421" s="49"/>
      <c r="C1421" s="91"/>
      <c r="D1421" s="49"/>
      <c r="E1421" s="49"/>
      <c r="F1421" s="49"/>
      <c r="G1421" s="49"/>
      <c r="H1421" s="49"/>
      <c r="I1421" s="49"/>
      <c r="J1421" s="49"/>
      <c r="K1421" s="49"/>
      <c r="L1421" s="49"/>
      <c r="M1421" s="49"/>
      <c r="N1421" s="49"/>
      <c r="O1421" s="49"/>
      <c r="P1421" s="49"/>
      <c r="Q1421" s="49"/>
      <c r="R1421" s="49"/>
      <c r="S1421" s="49"/>
      <c r="T1421" s="49"/>
      <c r="U1421" s="49"/>
      <c r="V1421" s="49"/>
      <c r="W1421" s="49"/>
      <c r="X1421" s="49"/>
      <c r="Y1421" s="49"/>
      <c r="Z1421" s="49"/>
    </row>
    <row r="1422">
      <c r="A1422" s="49"/>
      <c r="B1422" s="49"/>
      <c r="C1422" s="91"/>
      <c r="D1422" s="49"/>
      <c r="E1422" s="49"/>
      <c r="F1422" s="49"/>
      <c r="G1422" s="49"/>
      <c r="H1422" s="49"/>
      <c r="I1422" s="49"/>
      <c r="J1422" s="49"/>
      <c r="K1422" s="49"/>
      <c r="L1422" s="49"/>
      <c r="M1422" s="49"/>
      <c r="N1422" s="49"/>
      <c r="O1422" s="49"/>
      <c r="P1422" s="49"/>
      <c r="Q1422" s="49"/>
      <c r="R1422" s="49"/>
      <c r="S1422" s="49"/>
      <c r="T1422" s="49"/>
      <c r="U1422" s="49"/>
      <c r="V1422" s="49"/>
      <c r="W1422" s="49"/>
      <c r="X1422" s="49"/>
      <c r="Y1422" s="49"/>
      <c r="Z1422" s="49"/>
    </row>
    <row r="1423">
      <c r="A1423" s="49"/>
      <c r="B1423" s="49"/>
      <c r="C1423" s="91"/>
      <c r="D1423" s="49"/>
      <c r="E1423" s="49"/>
      <c r="F1423" s="49"/>
      <c r="G1423" s="49"/>
      <c r="H1423" s="49"/>
      <c r="I1423" s="49"/>
      <c r="J1423" s="49"/>
      <c r="K1423" s="49"/>
      <c r="L1423" s="49"/>
      <c r="M1423" s="49"/>
      <c r="N1423" s="49"/>
      <c r="O1423" s="49"/>
      <c r="P1423" s="49"/>
      <c r="Q1423" s="49"/>
      <c r="R1423" s="49"/>
      <c r="S1423" s="49"/>
      <c r="T1423" s="49"/>
      <c r="U1423" s="49"/>
      <c r="V1423" s="49"/>
      <c r="W1423" s="49"/>
      <c r="X1423" s="49"/>
      <c r="Y1423" s="49"/>
      <c r="Z1423" s="49"/>
    </row>
    <row r="1424">
      <c r="A1424" s="49"/>
      <c r="B1424" s="49"/>
      <c r="C1424" s="91"/>
      <c r="D1424" s="49"/>
      <c r="E1424" s="49"/>
      <c r="F1424" s="49"/>
      <c r="G1424" s="49"/>
      <c r="H1424" s="49"/>
      <c r="I1424" s="49"/>
      <c r="J1424" s="49"/>
      <c r="K1424" s="49"/>
      <c r="L1424" s="49"/>
      <c r="M1424" s="49"/>
      <c r="N1424" s="49"/>
      <c r="O1424" s="49"/>
      <c r="P1424" s="49"/>
      <c r="Q1424" s="49"/>
      <c r="R1424" s="49"/>
      <c r="S1424" s="49"/>
      <c r="T1424" s="49"/>
      <c r="U1424" s="49"/>
      <c r="V1424" s="49"/>
      <c r="W1424" s="49"/>
      <c r="X1424" s="49"/>
      <c r="Y1424" s="49"/>
      <c r="Z1424" s="49"/>
    </row>
    <row r="1425">
      <c r="A1425" s="49"/>
      <c r="B1425" s="49"/>
      <c r="C1425" s="91"/>
      <c r="D1425" s="49"/>
      <c r="E1425" s="49"/>
      <c r="F1425" s="49"/>
      <c r="G1425" s="49"/>
      <c r="H1425" s="49"/>
      <c r="I1425" s="49"/>
      <c r="J1425" s="49"/>
      <c r="K1425" s="49"/>
      <c r="L1425" s="49"/>
      <c r="M1425" s="49"/>
      <c r="N1425" s="49"/>
      <c r="O1425" s="49"/>
      <c r="P1425" s="49"/>
      <c r="Q1425" s="49"/>
      <c r="R1425" s="49"/>
      <c r="S1425" s="49"/>
      <c r="T1425" s="49"/>
      <c r="U1425" s="49"/>
      <c r="V1425" s="49"/>
      <c r="W1425" s="49"/>
      <c r="X1425" s="49"/>
      <c r="Y1425" s="49"/>
      <c r="Z1425" s="49"/>
    </row>
    <row r="1426">
      <c r="A1426" s="49"/>
      <c r="B1426" s="49"/>
      <c r="C1426" s="91"/>
      <c r="D1426" s="49"/>
      <c r="E1426" s="49"/>
      <c r="F1426" s="49"/>
      <c r="G1426" s="49"/>
      <c r="H1426" s="49"/>
      <c r="I1426" s="49"/>
      <c r="J1426" s="49"/>
      <c r="K1426" s="49"/>
      <c r="L1426" s="49"/>
      <c r="M1426" s="49"/>
      <c r="N1426" s="49"/>
      <c r="O1426" s="49"/>
      <c r="P1426" s="49"/>
      <c r="Q1426" s="49"/>
      <c r="R1426" s="49"/>
      <c r="S1426" s="49"/>
      <c r="T1426" s="49"/>
      <c r="U1426" s="49"/>
      <c r="V1426" s="49"/>
      <c r="W1426" s="49"/>
      <c r="X1426" s="49"/>
      <c r="Y1426" s="49"/>
      <c r="Z1426" s="49"/>
    </row>
    <row r="1427">
      <c r="A1427" s="49"/>
      <c r="B1427" s="49"/>
      <c r="C1427" s="91"/>
      <c r="D1427" s="49"/>
      <c r="E1427" s="49"/>
      <c r="F1427" s="49"/>
      <c r="G1427" s="49"/>
      <c r="H1427" s="49"/>
      <c r="I1427" s="49"/>
      <c r="J1427" s="49"/>
      <c r="K1427" s="49"/>
      <c r="L1427" s="49"/>
      <c r="M1427" s="49"/>
      <c r="N1427" s="49"/>
      <c r="O1427" s="49"/>
      <c r="P1427" s="49"/>
      <c r="Q1427" s="49"/>
      <c r="R1427" s="49"/>
      <c r="S1427" s="49"/>
      <c r="T1427" s="49"/>
      <c r="U1427" s="49"/>
      <c r="V1427" s="49"/>
      <c r="W1427" s="49"/>
      <c r="X1427" s="49"/>
      <c r="Y1427" s="49"/>
      <c r="Z1427" s="49"/>
    </row>
    <row r="1428">
      <c r="A1428" s="49"/>
      <c r="B1428" s="49"/>
      <c r="C1428" s="91"/>
      <c r="D1428" s="49"/>
      <c r="E1428" s="49"/>
      <c r="F1428" s="49"/>
      <c r="G1428" s="49"/>
      <c r="H1428" s="49"/>
      <c r="I1428" s="49"/>
      <c r="J1428" s="49"/>
      <c r="K1428" s="49"/>
      <c r="L1428" s="49"/>
      <c r="M1428" s="49"/>
      <c r="N1428" s="49"/>
      <c r="O1428" s="49"/>
      <c r="P1428" s="49"/>
      <c r="Q1428" s="49"/>
      <c r="R1428" s="49"/>
      <c r="S1428" s="49"/>
      <c r="T1428" s="49"/>
      <c r="U1428" s="49"/>
      <c r="V1428" s="49"/>
      <c r="W1428" s="49"/>
      <c r="X1428" s="49"/>
      <c r="Y1428" s="49"/>
      <c r="Z1428" s="49"/>
    </row>
    <row r="1429">
      <c r="A1429" s="49"/>
      <c r="B1429" s="49"/>
      <c r="C1429" s="91"/>
      <c r="D1429" s="49"/>
      <c r="E1429" s="49"/>
      <c r="F1429" s="49"/>
      <c r="G1429" s="49"/>
      <c r="H1429" s="49"/>
      <c r="I1429" s="49"/>
      <c r="J1429" s="49"/>
      <c r="K1429" s="49"/>
      <c r="L1429" s="49"/>
      <c r="M1429" s="49"/>
      <c r="N1429" s="49"/>
      <c r="O1429" s="49"/>
      <c r="P1429" s="49"/>
      <c r="Q1429" s="49"/>
      <c r="R1429" s="49"/>
      <c r="S1429" s="49"/>
      <c r="T1429" s="49"/>
      <c r="U1429" s="49"/>
      <c r="V1429" s="49"/>
      <c r="W1429" s="49"/>
      <c r="X1429" s="49"/>
      <c r="Y1429" s="49"/>
      <c r="Z1429" s="49"/>
    </row>
    <row r="1430">
      <c r="A1430" s="49"/>
      <c r="B1430" s="49"/>
      <c r="C1430" s="91"/>
      <c r="D1430" s="49"/>
      <c r="E1430" s="49"/>
      <c r="F1430" s="49"/>
      <c r="G1430" s="49"/>
      <c r="H1430" s="49"/>
      <c r="I1430" s="49"/>
      <c r="J1430" s="49"/>
      <c r="K1430" s="49"/>
      <c r="L1430" s="49"/>
      <c r="M1430" s="49"/>
      <c r="N1430" s="49"/>
      <c r="O1430" s="49"/>
      <c r="P1430" s="49"/>
      <c r="Q1430" s="49"/>
      <c r="R1430" s="49"/>
      <c r="S1430" s="49"/>
      <c r="T1430" s="49"/>
      <c r="U1430" s="49"/>
      <c r="V1430" s="49"/>
      <c r="W1430" s="49"/>
      <c r="X1430" s="49"/>
      <c r="Y1430" s="49"/>
      <c r="Z1430" s="49"/>
    </row>
    <row r="1431">
      <c r="A1431" s="49"/>
      <c r="B1431" s="49"/>
      <c r="C1431" s="91"/>
      <c r="D1431" s="49"/>
      <c r="E1431" s="49"/>
      <c r="F1431" s="49"/>
      <c r="G1431" s="49"/>
      <c r="H1431" s="49"/>
      <c r="I1431" s="49"/>
      <c r="J1431" s="49"/>
      <c r="K1431" s="49"/>
      <c r="L1431" s="49"/>
      <c r="M1431" s="49"/>
      <c r="N1431" s="49"/>
      <c r="O1431" s="49"/>
      <c r="P1431" s="49"/>
      <c r="Q1431" s="49"/>
      <c r="R1431" s="49"/>
      <c r="S1431" s="49"/>
      <c r="T1431" s="49"/>
      <c r="U1431" s="49"/>
      <c r="V1431" s="49"/>
      <c r="W1431" s="49"/>
      <c r="X1431" s="49"/>
      <c r="Y1431" s="49"/>
      <c r="Z1431" s="49"/>
    </row>
    <row r="1432">
      <c r="A1432" s="49"/>
      <c r="B1432" s="49"/>
      <c r="C1432" s="91"/>
      <c r="D1432" s="49"/>
      <c r="E1432" s="49"/>
      <c r="F1432" s="49"/>
      <c r="G1432" s="49"/>
      <c r="H1432" s="49"/>
      <c r="I1432" s="49"/>
      <c r="J1432" s="49"/>
      <c r="K1432" s="49"/>
      <c r="L1432" s="49"/>
      <c r="M1432" s="49"/>
      <c r="N1432" s="49"/>
      <c r="O1432" s="49"/>
      <c r="P1432" s="49"/>
      <c r="Q1432" s="49"/>
      <c r="R1432" s="49"/>
      <c r="S1432" s="49"/>
      <c r="T1432" s="49"/>
      <c r="U1432" s="49"/>
      <c r="V1432" s="49"/>
      <c r="W1432" s="49"/>
      <c r="X1432" s="49"/>
      <c r="Y1432" s="49"/>
      <c r="Z1432" s="49"/>
    </row>
    <row r="1433">
      <c r="A1433" s="49"/>
      <c r="B1433" s="49"/>
      <c r="C1433" s="91"/>
      <c r="D1433" s="49"/>
      <c r="E1433" s="49"/>
      <c r="F1433" s="49"/>
      <c r="G1433" s="49"/>
      <c r="H1433" s="49"/>
      <c r="I1433" s="49"/>
      <c r="J1433" s="49"/>
      <c r="K1433" s="49"/>
      <c r="L1433" s="49"/>
      <c r="M1433" s="49"/>
      <c r="N1433" s="49"/>
      <c r="O1433" s="49"/>
      <c r="P1433" s="49"/>
      <c r="Q1433" s="49"/>
      <c r="R1433" s="49"/>
      <c r="S1433" s="49"/>
      <c r="T1433" s="49"/>
      <c r="U1433" s="49"/>
      <c r="V1433" s="49"/>
      <c r="W1433" s="49"/>
      <c r="X1433" s="49"/>
      <c r="Y1433" s="49"/>
      <c r="Z1433" s="49"/>
    </row>
    <row r="1434">
      <c r="A1434" s="49"/>
      <c r="B1434" s="49"/>
      <c r="C1434" s="91"/>
      <c r="D1434" s="49"/>
      <c r="E1434" s="49"/>
      <c r="F1434" s="49"/>
      <c r="G1434" s="49"/>
      <c r="H1434" s="49"/>
      <c r="I1434" s="49"/>
      <c r="J1434" s="49"/>
      <c r="K1434" s="49"/>
      <c r="L1434" s="49"/>
      <c r="M1434" s="49"/>
      <c r="N1434" s="49"/>
      <c r="O1434" s="49"/>
      <c r="P1434" s="49"/>
      <c r="Q1434" s="49"/>
      <c r="R1434" s="49"/>
      <c r="S1434" s="49"/>
      <c r="T1434" s="49"/>
      <c r="U1434" s="49"/>
      <c r="V1434" s="49"/>
      <c r="W1434" s="49"/>
      <c r="X1434" s="49"/>
      <c r="Y1434" s="49"/>
      <c r="Z1434" s="49"/>
    </row>
    <row r="1435">
      <c r="A1435" s="49"/>
      <c r="B1435" s="49"/>
      <c r="C1435" s="91"/>
      <c r="D1435" s="49"/>
      <c r="E1435" s="49"/>
      <c r="F1435" s="49"/>
      <c r="G1435" s="49"/>
      <c r="H1435" s="49"/>
      <c r="I1435" s="49"/>
      <c r="J1435" s="49"/>
      <c r="K1435" s="49"/>
      <c r="L1435" s="49"/>
      <c r="M1435" s="49"/>
      <c r="N1435" s="49"/>
      <c r="O1435" s="49"/>
      <c r="P1435" s="49"/>
      <c r="Q1435" s="49"/>
      <c r="R1435" s="49"/>
      <c r="S1435" s="49"/>
      <c r="T1435" s="49"/>
      <c r="U1435" s="49"/>
      <c r="V1435" s="49"/>
      <c r="W1435" s="49"/>
      <c r="X1435" s="49"/>
      <c r="Y1435" s="49"/>
      <c r="Z1435" s="49"/>
    </row>
    <row r="1436">
      <c r="A1436" s="49"/>
      <c r="B1436" s="49"/>
      <c r="C1436" s="91"/>
      <c r="D1436" s="49"/>
      <c r="E1436" s="49"/>
      <c r="F1436" s="49"/>
      <c r="G1436" s="49"/>
      <c r="H1436" s="49"/>
      <c r="I1436" s="49"/>
      <c r="J1436" s="49"/>
      <c r="K1436" s="49"/>
      <c r="L1436" s="49"/>
      <c r="M1436" s="49"/>
      <c r="N1436" s="49"/>
      <c r="O1436" s="49"/>
      <c r="P1436" s="49"/>
      <c r="Q1436" s="49"/>
      <c r="R1436" s="49"/>
      <c r="S1436" s="49"/>
      <c r="T1436" s="49"/>
      <c r="U1436" s="49"/>
      <c r="V1436" s="49"/>
      <c r="W1436" s="49"/>
      <c r="X1436" s="49"/>
      <c r="Y1436" s="49"/>
      <c r="Z1436" s="49"/>
    </row>
    <row r="1437">
      <c r="A1437" s="49"/>
      <c r="B1437" s="49"/>
      <c r="C1437" s="91"/>
      <c r="D1437" s="49"/>
      <c r="E1437" s="49"/>
      <c r="F1437" s="49"/>
      <c r="G1437" s="49"/>
      <c r="H1437" s="49"/>
      <c r="I1437" s="49"/>
      <c r="J1437" s="49"/>
      <c r="K1437" s="49"/>
      <c r="L1437" s="49"/>
      <c r="M1437" s="49"/>
      <c r="N1437" s="49"/>
      <c r="O1437" s="49"/>
      <c r="P1437" s="49"/>
      <c r="Q1437" s="49"/>
      <c r="R1437" s="49"/>
      <c r="S1437" s="49"/>
      <c r="T1437" s="49"/>
      <c r="U1437" s="49"/>
      <c r="V1437" s="49"/>
      <c r="W1437" s="49"/>
      <c r="X1437" s="49"/>
      <c r="Y1437" s="49"/>
      <c r="Z1437" s="49"/>
    </row>
    <row r="1438">
      <c r="A1438" s="49"/>
      <c r="B1438" s="49"/>
      <c r="C1438" s="91"/>
      <c r="D1438" s="49"/>
      <c r="E1438" s="49"/>
      <c r="F1438" s="49"/>
      <c r="G1438" s="49"/>
      <c r="H1438" s="49"/>
      <c r="I1438" s="49"/>
      <c r="J1438" s="49"/>
      <c r="K1438" s="49"/>
      <c r="L1438" s="49"/>
      <c r="M1438" s="49"/>
      <c r="N1438" s="49"/>
      <c r="O1438" s="49"/>
      <c r="P1438" s="49"/>
      <c r="Q1438" s="49"/>
      <c r="R1438" s="49"/>
      <c r="S1438" s="49"/>
      <c r="T1438" s="49"/>
      <c r="U1438" s="49"/>
      <c r="V1438" s="49"/>
      <c r="W1438" s="49"/>
      <c r="X1438" s="49"/>
      <c r="Y1438" s="49"/>
      <c r="Z1438" s="49"/>
    </row>
    <row r="1439">
      <c r="A1439" s="49"/>
      <c r="B1439" s="49"/>
      <c r="C1439" s="91"/>
      <c r="D1439" s="49"/>
      <c r="E1439" s="49"/>
      <c r="F1439" s="49"/>
      <c r="G1439" s="49"/>
      <c r="H1439" s="49"/>
      <c r="I1439" s="49"/>
      <c r="J1439" s="49"/>
      <c r="K1439" s="49"/>
      <c r="L1439" s="49"/>
      <c r="M1439" s="49"/>
      <c r="N1439" s="49"/>
      <c r="O1439" s="49"/>
      <c r="P1439" s="49"/>
      <c r="Q1439" s="49"/>
      <c r="R1439" s="49"/>
      <c r="S1439" s="49"/>
      <c r="T1439" s="49"/>
      <c r="U1439" s="49"/>
      <c r="V1439" s="49"/>
      <c r="W1439" s="49"/>
      <c r="X1439" s="49"/>
      <c r="Y1439" s="49"/>
      <c r="Z1439" s="49"/>
    </row>
    <row r="1440">
      <c r="A1440" s="49"/>
      <c r="B1440" s="49"/>
      <c r="C1440" s="91"/>
      <c r="D1440" s="49"/>
      <c r="E1440" s="49"/>
      <c r="F1440" s="49"/>
      <c r="G1440" s="49"/>
      <c r="H1440" s="49"/>
      <c r="I1440" s="49"/>
      <c r="J1440" s="49"/>
      <c r="K1440" s="49"/>
      <c r="L1440" s="49"/>
      <c r="M1440" s="49"/>
      <c r="N1440" s="49"/>
      <c r="O1440" s="49"/>
      <c r="P1440" s="49"/>
      <c r="Q1440" s="49"/>
      <c r="R1440" s="49"/>
      <c r="S1440" s="49"/>
      <c r="T1440" s="49"/>
      <c r="U1440" s="49"/>
      <c r="V1440" s="49"/>
      <c r="W1440" s="49"/>
      <c r="X1440" s="49"/>
      <c r="Y1440" s="49"/>
      <c r="Z1440" s="49"/>
    </row>
    <row r="1441">
      <c r="A1441" s="49"/>
      <c r="B1441" s="49"/>
      <c r="C1441" s="91"/>
      <c r="D1441" s="49"/>
      <c r="E1441" s="49"/>
      <c r="F1441" s="49"/>
      <c r="G1441" s="49"/>
      <c r="H1441" s="49"/>
      <c r="I1441" s="49"/>
      <c r="J1441" s="49"/>
      <c r="K1441" s="49"/>
      <c r="L1441" s="49"/>
      <c r="M1441" s="49"/>
      <c r="N1441" s="49"/>
      <c r="O1441" s="49"/>
      <c r="P1441" s="49"/>
      <c r="Q1441" s="49"/>
      <c r="R1441" s="49"/>
      <c r="S1441" s="49"/>
      <c r="T1441" s="49"/>
      <c r="U1441" s="49"/>
      <c r="V1441" s="49"/>
      <c r="W1441" s="49"/>
      <c r="X1441" s="49"/>
      <c r="Y1441" s="49"/>
      <c r="Z1441" s="49"/>
    </row>
    <row r="1442">
      <c r="A1442" s="49"/>
      <c r="B1442" s="49"/>
      <c r="C1442" s="91"/>
      <c r="D1442" s="49"/>
      <c r="E1442" s="49"/>
      <c r="F1442" s="49"/>
      <c r="G1442" s="49"/>
      <c r="H1442" s="49"/>
      <c r="I1442" s="49"/>
      <c r="J1442" s="49"/>
      <c r="K1442" s="49"/>
      <c r="L1442" s="49"/>
      <c r="M1442" s="49"/>
      <c r="N1442" s="49"/>
      <c r="O1442" s="49"/>
      <c r="P1442" s="49"/>
      <c r="Q1442" s="49"/>
      <c r="R1442" s="49"/>
      <c r="S1442" s="49"/>
      <c r="T1442" s="49"/>
      <c r="U1442" s="49"/>
      <c r="V1442" s="49"/>
      <c r="W1442" s="49"/>
      <c r="X1442" s="49"/>
      <c r="Y1442" s="49"/>
      <c r="Z1442" s="49"/>
    </row>
    <row r="1443">
      <c r="A1443" s="49"/>
      <c r="B1443" s="49"/>
      <c r="C1443" s="91"/>
      <c r="D1443" s="49"/>
      <c r="E1443" s="49"/>
      <c r="F1443" s="49"/>
      <c r="G1443" s="49"/>
      <c r="H1443" s="49"/>
      <c r="I1443" s="49"/>
      <c r="J1443" s="49"/>
      <c r="K1443" s="49"/>
      <c r="L1443" s="49"/>
      <c r="M1443" s="49"/>
      <c r="N1443" s="49"/>
      <c r="O1443" s="49"/>
      <c r="P1443" s="49"/>
      <c r="Q1443" s="49"/>
      <c r="R1443" s="49"/>
      <c r="S1443" s="49"/>
      <c r="T1443" s="49"/>
      <c r="U1443" s="49"/>
      <c r="V1443" s="49"/>
      <c r="W1443" s="49"/>
      <c r="X1443" s="49"/>
      <c r="Y1443" s="49"/>
      <c r="Z1443" s="49"/>
    </row>
    <row r="1444">
      <c r="A1444" s="49"/>
      <c r="B1444" s="49"/>
      <c r="C1444" s="91"/>
      <c r="D1444" s="49"/>
      <c r="E1444" s="49"/>
      <c r="F1444" s="49"/>
      <c r="G1444" s="49"/>
      <c r="H1444" s="49"/>
      <c r="I1444" s="49"/>
      <c r="J1444" s="49"/>
      <c r="K1444" s="49"/>
      <c r="L1444" s="49"/>
      <c r="M1444" s="49"/>
      <c r="N1444" s="49"/>
      <c r="O1444" s="49"/>
      <c r="P1444" s="49"/>
      <c r="Q1444" s="49"/>
      <c r="R1444" s="49"/>
      <c r="S1444" s="49"/>
      <c r="T1444" s="49"/>
      <c r="U1444" s="49"/>
      <c r="V1444" s="49"/>
      <c r="W1444" s="49"/>
      <c r="X1444" s="49"/>
      <c r="Y1444" s="49"/>
      <c r="Z1444" s="49"/>
    </row>
    <row r="1445">
      <c r="A1445" s="49"/>
      <c r="B1445" s="49"/>
      <c r="C1445" s="91"/>
      <c r="D1445" s="49"/>
      <c r="E1445" s="49"/>
      <c r="F1445" s="49"/>
      <c r="G1445" s="49"/>
      <c r="H1445" s="49"/>
      <c r="I1445" s="49"/>
      <c r="J1445" s="49"/>
      <c r="K1445" s="49"/>
      <c r="L1445" s="49"/>
      <c r="M1445" s="49"/>
      <c r="N1445" s="49"/>
      <c r="O1445" s="49"/>
      <c r="P1445" s="49"/>
      <c r="Q1445" s="49"/>
      <c r="R1445" s="49"/>
      <c r="S1445" s="49"/>
      <c r="T1445" s="49"/>
      <c r="U1445" s="49"/>
      <c r="V1445" s="49"/>
      <c r="W1445" s="49"/>
      <c r="X1445" s="49"/>
      <c r="Y1445" s="49"/>
      <c r="Z1445" s="49"/>
    </row>
    <row r="1446">
      <c r="A1446" s="49"/>
      <c r="B1446" s="49"/>
      <c r="C1446" s="91"/>
      <c r="D1446" s="49"/>
      <c r="E1446" s="49"/>
      <c r="F1446" s="49"/>
      <c r="G1446" s="49"/>
      <c r="H1446" s="49"/>
      <c r="I1446" s="49"/>
      <c r="J1446" s="49"/>
      <c r="K1446" s="49"/>
      <c r="L1446" s="49"/>
      <c r="M1446" s="49"/>
      <c r="N1446" s="49"/>
      <c r="O1446" s="49"/>
      <c r="P1446" s="49"/>
      <c r="Q1446" s="49"/>
      <c r="R1446" s="49"/>
      <c r="S1446" s="49"/>
      <c r="T1446" s="49"/>
      <c r="U1446" s="49"/>
      <c r="V1446" s="49"/>
      <c r="W1446" s="49"/>
      <c r="X1446" s="49"/>
      <c r="Y1446" s="49"/>
      <c r="Z1446" s="49"/>
    </row>
    <row r="1447">
      <c r="A1447" s="49"/>
      <c r="B1447" s="49"/>
      <c r="C1447" s="91"/>
      <c r="D1447" s="49"/>
      <c r="E1447" s="49"/>
      <c r="F1447" s="49"/>
      <c r="G1447" s="49"/>
      <c r="H1447" s="49"/>
      <c r="I1447" s="49"/>
      <c r="J1447" s="49"/>
      <c r="K1447" s="49"/>
      <c r="L1447" s="49"/>
      <c r="M1447" s="49"/>
      <c r="N1447" s="49"/>
      <c r="O1447" s="49"/>
      <c r="P1447" s="49"/>
      <c r="Q1447" s="49"/>
      <c r="R1447" s="49"/>
      <c r="S1447" s="49"/>
      <c r="T1447" s="49"/>
      <c r="U1447" s="49"/>
      <c r="V1447" s="49"/>
      <c r="W1447" s="49"/>
      <c r="X1447" s="49"/>
      <c r="Y1447" s="49"/>
      <c r="Z1447" s="49"/>
    </row>
    <row r="1448">
      <c r="A1448" s="49"/>
      <c r="B1448" s="49"/>
      <c r="C1448" s="91"/>
      <c r="D1448" s="49"/>
      <c r="E1448" s="49"/>
      <c r="F1448" s="49"/>
      <c r="G1448" s="49"/>
      <c r="H1448" s="49"/>
      <c r="I1448" s="49"/>
      <c r="J1448" s="49"/>
      <c r="K1448" s="49"/>
      <c r="L1448" s="49"/>
      <c r="M1448" s="49"/>
      <c r="N1448" s="49"/>
      <c r="O1448" s="49"/>
      <c r="P1448" s="49"/>
      <c r="Q1448" s="49"/>
      <c r="R1448" s="49"/>
      <c r="S1448" s="49"/>
      <c r="T1448" s="49"/>
      <c r="U1448" s="49"/>
      <c r="V1448" s="49"/>
      <c r="W1448" s="49"/>
      <c r="X1448" s="49"/>
      <c r="Y1448" s="49"/>
      <c r="Z1448" s="49"/>
    </row>
    <row r="1449">
      <c r="A1449" s="49"/>
      <c r="B1449" s="49"/>
      <c r="C1449" s="91"/>
      <c r="D1449" s="49"/>
      <c r="E1449" s="49"/>
      <c r="F1449" s="49"/>
      <c r="G1449" s="49"/>
      <c r="H1449" s="49"/>
      <c r="I1449" s="49"/>
      <c r="J1449" s="49"/>
      <c r="K1449" s="49"/>
      <c r="L1449" s="49"/>
      <c r="M1449" s="49"/>
      <c r="N1449" s="49"/>
      <c r="O1449" s="49"/>
      <c r="P1449" s="49"/>
      <c r="Q1449" s="49"/>
      <c r="R1449" s="49"/>
      <c r="S1449" s="49"/>
      <c r="T1449" s="49"/>
      <c r="U1449" s="49"/>
      <c r="V1449" s="49"/>
      <c r="W1449" s="49"/>
      <c r="X1449" s="49"/>
      <c r="Y1449" s="49"/>
      <c r="Z1449" s="49"/>
    </row>
    <row r="1450">
      <c r="A1450" s="49"/>
      <c r="B1450" s="49"/>
      <c r="C1450" s="91"/>
      <c r="D1450" s="49"/>
      <c r="E1450" s="49"/>
      <c r="F1450" s="49"/>
      <c r="G1450" s="49"/>
      <c r="H1450" s="49"/>
      <c r="I1450" s="49"/>
      <c r="J1450" s="49"/>
      <c r="K1450" s="49"/>
      <c r="L1450" s="49"/>
      <c r="M1450" s="49"/>
      <c r="N1450" s="49"/>
      <c r="O1450" s="49"/>
      <c r="P1450" s="49"/>
      <c r="Q1450" s="49"/>
      <c r="R1450" s="49"/>
      <c r="S1450" s="49"/>
      <c r="T1450" s="49"/>
      <c r="U1450" s="49"/>
      <c r="V1450" s="49"/>
      <c r="W1450" s="49"/>
      <c r="X1450" s="49"/>
      <c r="Y1450" s="49"/>
      <c r="Z1450" s="49"/>
    </row>
    <row r="1451">
      <c r="A1451" s="49"/>
      <c r="B1451" s="49"/>
      <c r="C1451" s="91"/>
      <c r="D1451" s="49"/>
      <c r="E1451" s="49"/>
      <c r="F1451" s="49"/>
      <c r="G1451" s="49"/>
      <c r="H1451" s="49"/>
      <c r="I1451" s="49"/>
      <c r="J1451" s="49"/>
      <c r="K1451" s="49"/>
      <c r="L1451" s="49"/>
      <c r="M1451" s="49"/>
      <c r="N1451" s="49"/>
      <c r="O1451" s="49"/>
      <c r="P1451" s="49"/>
      <c r="Q1451" s="49"/>
      <c r="R1451" s="49"/>
      <c r="S1451" s="49"/>
      <c r="T1451" s="49"/>
      <c r="U1451" s="49"/>
      <c r="V1451" s="49"/>
      <c r="W1451" s="49"/>
      <c r="X1451" s="49"/>
      <c r="Y1451" s="49"/>
      <c r="Z1451" s="49"/>
    </row>
    <row r="1452">
      <c r="A1452" s="49"/>
      <c r="B1452" s="49"/>
      <c r="C1452" s="91"/>
      <c r="D1452" s="49"/>
      <c r="E1452" s="49"/>
      <c r="F1452" s="49"/>
      <c r="G1452" s="49"/>
      <c r="H1452" s="49"/>
      <c r="I1452" s="49"/>
      <c r="J1452" s="49"/>
      <c r="K1452" s="49"/>
      <c r="L1452" s="49"/>
      <c r="M1452" s="49"/>
      <c r="N1452" s="49"/>
      <c r="O1452" s="49"/>
      <c r="P1452" s="49"/>
      <c r="Q1452" s="49"/>
      <c r="R1452" s="49"/>
      <c r="S1452" s="49"/>
      <c r="T1452" s="49"/>
      <c r="U1452" s="49"/>
      <c r="V1452" s="49"/>
      <c r="W1452" s="49"/>
      <c r="X1452" s="49"/>
      <c r="Y1452" s="49"/>
      <c r="Z1452" s="49"/>
    </row>
    <row r="1453">
      <c r="A1453" s="49"/>
      <c r="B1453" s="49"/>
      <c r="C1453" s="91"/>
      <c r="D1453" s="49"/>
      <c r="E1453" s="49"/>
      <c r="F1453" s="49"/>
      <c r="G1453" s="49"/>
      <c r="H1453" s="49"/>
      <c r="I1453" s="49"/>
      <c r="J1453" s="49"/>
      <c r="K1453" s="49"/>
      <c r="L1453" s="49"/>
      <c r="M1453" s="49"/>
      <c r="N1453" s="49"/>
      <c r="O1453" s="49"/>
      <c r="P1453" s="49"/>
      <c r="Q1453" s="49"/>
      <c r="R1453" s="49"/>
      <c r="S1453" s="49"/>
      <c r="T1453" s="49"/>
      <c r="U1453" s="49"/>
      <c r="V1453" s="49"/>
      <c r="W1453" s="49"/>
      <c r="X1453" s="49"/>
      <c r="Y1453" s="49"/>
      <c r="Z1453" s="49"/>
    </row>
    <row r="1454">
      <c r="A1454" s="49"/>
      <c r="B1454" s="49"/>
      <c r="C1454" s="91"/>
      <c r="D1454" s="49"/>
      <c r="E1454" s="49"/>
      <c r="F1454" s="49"/>
      <c r="G1454" s="49"/>
      <c r="H1454" s="49"/>
      <c r="I1454" s="49"/>
      <c r="J1454" s="49"/>
      <c r="K1454" s="49"/>
      <c r="L1454" s="49"/>
      <c r="M1454" s="49"/>
      <c r="N1454" s="49"/>
      <c r="O1454" s="49"/>
      <c r="P1454" s="49"/>
      <c r="Q1454" s="49"/>
      <c r="R1454" s="49"/>
      <c r="S1454" s="49"/>
      <c r="T1454" s="49"/>
      <c r="U1454" s="49"/>
      <c r="V1454" s="49"/>
      <c r="W1454" s="49"/>
      <c r="X1454" s="49"/>
      <c r="Y1454" s="49"/>
      <c r="Z1454" s="49"/>
    </row>
    <row r="1455">
      <c r="A1455" s="49"/>
      <c r="B1455" s="49"/>
      <c r="C1455" s="91"/>
      <c r="D1455" s="49"/>
      <c r="E1455" s="49"/>
      <c r="F1455" s="49"/>
      <c r="G1455" s="49"/>
      <c r="H1455" s="49"/>
      <c r="I1455" s="49"/>
      <c r="J1455" s="49"/>
      <c r="K1455" s="49"/>
      <c r="L1455" s="49"/>
      <c r="M1455" s="49"/>
      <c r="N1455" s="49"/>
      <c r="O1455" s="49"/>
      <c r="P1455" s="49"/>
      <c r="Q1455" s="49"/>
      <c r="R1455" s="49"/>
      <c r="S1455" s="49"/>
      <c r="T1455" s="49"/>
      <c r="U1455" s="49"/>
      <c r="V1455" s="49"/>
      <c r="W1455" s="49"/>
      <c r="X1455" s="49"/>
      <c r="Y1455" s="49"/>
      <c r="Z1455" s="49"/>
    </row>
    <row r="1456">
      <c r="A1456" s="49"/>
      <c r="B1456" s="49"/>
      <c r="C1456" s="91"/>
      <c r="D1456" s="49"/>
      <c r="E1456" s="49"/>
      <c r="F1456" s="49"/>
      <c r="G1456" s="49"/>
      <c r="H1456" s="49"/>
      <c r="I1456" s="49"/>
      <c r="J1456" s="49"/>
      <c r="K1456" s="49"/>
      <c r="L1456" s="49"/>
      <c r="M1456" s="49"/>
      <c r="N1456" s="49"/>
      <c r="O1456" s="49"/>
      <c r="P1456" s="49"/>
      <c r="Q1456" s="49"/>
      <c r="R1456" s="49"/>
      <c r="S1456" s="49"/>
      <c r="T1456" s="49"/>
      <c r="U1456" s="49"/>
      <c r="V1456" s="49"/>
      <c r="W1456" s="49"/>
      <c r="X1456" s="49"/>
      <c r="Y1456" s="49"/>
      <c r="Z1456" s="49"/>
    </row>
    <row r="1457">
      <c r="A1457" s="49"/>
      <c r="B1457" s="49"/>
      <c r="C1457" s="91"/>
      <c r="D1457" s="49"/>
      <c r="E1457" s="49"/>
      <c r="F1457" s="49"/>
      <c r="G1457" s="49"/>
      <c r="H1457" s="49"/>
      <c r="I1457" s="49"/>
      <c r="J1457" s="49"/>
      <c r="K1457" s="49"/>
      <c r="L1457" s="49"/>
      <c r="M1457" s="49"/>
      <c r="N1457" s="49"/>
      <c r="O1457" s="49"/>
      <c r="P1457" s="49"/>
      <c r="Q1457" s="49"/>
      <c r="R1457" s="49"/>
      <c r="S1457" s="49"/>
      <c r="T1457" s="49"/>
      <c r="U1457" s="49"/>
      <c r="V1457" s="49"/>
      <c r="W1457" s="49"/>
      <c r="X1457" s="49"/>
      <c r="Y1457" s="49"/>
      <c r="Z1457" s="49"/>
    </row>
    <row r="1458">
      <c r="A1458" s="49"/>
      <c r="B1458" s="49"/>
      <c r="C1458" s="91"/>
      <c r="D1458" s="49"/>
      <c r="E1458" s="49"/>
      <c r="F1458" s="49"/>
      <c r="G1458" s="49"/>
      <c r="H1458" s="49"/>
      <c r="I1458" s="49"/>
      <c r="J1458" s="49"/>
      <c r="K1458" s="49"/>
      <c r="L1458" s="49"/>
      <c r="M1458" s="49"/>
      <c r="N1458" s="49"/>
      <c r="O1458" s="49"/>
      <c r="P1458" s="49"/>
      <c r="Q1458" s="49"/>
      <c r="R1458" s="49"/>
      <c r="S1458" s="49"/>
      <c r="T1458" s="49"/>
      <c r="U1458" s="49"/>
      <c r="V1458" s="49"/>
      <c r="W1458" s="49"/>
      <c r="X1458" s="49"/>
      <c r="Y1458" s="49"/>
      <c r="Z1458" s="49"/>
    </row>
    <row r="1459">
      <c r="A1459" s="49"/>
      <c r="B1459" s="49"/>
      <c r="C1459" s="91"/>
      <c r="D1459" s="49"/>
      <c r="E1459" s="49"/>
      <c r="F1459" s="49"/>
      <c r="G1459" s="49"/>
      <c r="H1459" s="49"/>
      <c r="I1459" s="49"/>
      <c r="J1459" s="49"/>
      <c r="K1459" s="49"/>
      <c r="L1459" s="49"/>
      <c r="M1459" s="49"/>
      <c r="N1459" s="49"/>
      <c r="O1459" s="49"/>
      <c r="P1459" s="49"/>
      <c r="Q1459" s="49"/>
      <c r="R1459" s="49"/>
      <c r="S1459" s="49"/>
      <c r="T1459" s="49"/>
      <c r="U1459" s="49"/>
      <c r="V1459" s="49"/>
      <c r="W1459" s="49"/>
      <c r="X1459" s="49"/>
      <c r="Y1459" s="49"/>
      <c r="Z1459" s="49"/>
    </row>
    <row r="1460">
      <c r="A1460" s="49"/>
      <c r="B1460" s="49"/>
      <c r="C1460" s="91"/>
      <c r="D1460" s="49"/>
      <c r="E1460" s="49"/>
      <c r="F1460" s="49"/>
      <c r="G1460" s="49"/>
      <c r="H1460" s="49"/>
      <c r="I1460" s="49"/>
      <c r="J1460" s="49"/>
      <c r="K1460" s="49"/>
      <c r="L1460" s="49"/>
      <c r="M1460" s="49"/>
      <c r="N1460" s="49"/>
      <c r="O1460" s="49"/>
      <c r="P1460" s="49"/>
      <c r="Q1460" s="49"/>
      <c r="R1460" s="49"/>
      <c r="S1460" s="49"/>
      <c r="T1460" s="49"/>
      <c r="U1460" s="49"/>
      <c r="V1460" s="49"/>
      <c r="W1460" s="49"/>
      <c r="X1460" s="49"/>
      <c r="Y1460" s="49"/>
      <c r="Z1460" s="49"/>
    </row>
    <row r="1461">
      <c r="A1461" s="49"/>
      <c r="B1461" s="49"/>
      <c r="C1461" s="91"/>
      <c r="D1461" s="49"/>
      <c r="E1461" s="49"/>
      <c r="F1461" s="49"/>
      <c r="G1461" s="49"/>
      <c r="H1461" s="49"/>
      <c r="I1461" s="49"/>
      <c r="J1461" s="49"/>
      <c r="K1461" s="49"/>
      <c r="L1461" s="49"/>
      <c r="M1461" s="49"/>
      <c r="N1461" s="49"/>
      <c r="O1461" s="49"/>
      <c r="P1461" s="49"/>
      <c r="Q1461" s="49"/>
      <c r="R1461" s="49"/>
      <c r="S1461" s="49"/>
      <c r="T1461" s="49"/>
      <c r="U1461" s="49"/>
      <c r="V1461" s="49"/>
      <c r="W1461" s="49"/>
      <c r="X1461" s="49"/>
      <c r="Y1461" s="49"/>
      <c r="Z1461" s="49"/>
    </row>
    <row r="1462">
      <c r="A1462" s="49"/>
      <c r="B1462" s="49"/>
      <c r="C1462" s="91"/>
      <c r="D1462" s="49"/>
      <c r="E1462" s="49"/>
      <c r="F1462" s="49"/>
      <c r="G1462" s="49"/>
      <c r="H1462" s="49"/>
      <c r="I1462" s="49"/>
      <c r="J1462" s="49"/>
      <c r="K1462" s="49"/>
      <c r="L1462" s="49"/>
      <c r="M1462" s="49"/>
      <c r="N1462" s="49"/>
      <c r="O1462" s="49"/>
      <c r="P1462" s="49"/>
      <c r="Q1462" s="49"/>
      <c r="R1462" s="49"/>
      <c r="S1462" s="49"/>
      <c r="T1462" s="49"/>
      <c r="U1462" s="49"/>
      <c r="V1462" s="49"/>
      <c r="W1462" s="49"/>
      <c r="X1462" s="49"/>
      <c r="Y1462" s="49"/>
      <c r="Z1462" s="49"/>
    </row>
    <row r="1463">
      <c r="A1463" s="49"/>
      <c r="B1463" s="49"/>
      <c r="C1463" s="91"/>
      <c r="D1463" s="49"/>
      <c r="E1463" s="49"/>
      <c r="F1463" s="49"/>
      <c r="G1463" s="49"/>
      <c r="H1463" s="49"/>
      <c r="I1463" s="49"/>
      <c r="J1463" s="49"/>
      <c r="K1463" s="49"/>
      <c r="L1463" s="49"/>
      <c r="M1463" s="49"/>
      <c r="N1463" s="49"/>
      <c r="O1463" s="49"/>
      <c r="P1463" s="49"/>
      <c r="Q1463" s="49"/>
      <c r="R1463" s="49"/>
      <c r="S1463" s="49"/>
      <c r="T1463" s="49"/>
      <c r="U1463" s="49"/>
      <c r="V1463" s="49"/>
      <c r="W1463" s="49"/>
      <c r="X1463" s="49"/>
      <c r="Y1463" s="49"/>
      <c r="Z1463" s="49"/>
    </row>
    <row r="1464">
      <c r="A1464" s="49"/>
      <c r="B1464" s="49"/>
      <c r="C1464" s="91"/>
      <c r="D1464" s="49"/>
      <c r="E1464" s="49"/>
      <c r="F1464" s="49"/>
      <c r="G1464" s="49"/>
      <c r="H1464" s="49"/>
      <c r="I1464" s="49"/>
      <c r="J1464" s="49"/>
      <c r="K1464" s="49"/>
      <c r="L1464" s="49"/>
      <c r="M1464" s="49"/>
      <c r="N1464" s="49"/>
      <c r="O1464" s="49"/>
      <c r="P1464" s="49"/>
      <c r="Q1464" s="49"/>
      <c r="R1464" s="49"/>
      <c r="S1464" s="49"/>
      <c r="T1464" s="49"/>
      <c r="U1464" s="49"/>
      <c r="V1464" s="49"/>
      <c r="W1464" s="49"/>
      <c r="X1464" s="49"/>
      <c r="Y1464" s="49"/>
      <c r="Z1464" s="49"/>
    </row>
    <row r="1465">
      <c r="A1465" s="49"/>
      <c r="B1465" s="49"/>
      <c r="C1465" s="91"/>
      <c r="D1465" s="49"/>
      <c r="E1465" s="49"/>
      <c r="F1465" s="49"/>
      <c r="G1465" s="49"/>
      <c r="H1465" s="49"/>
      <c r="I1465" s="49"/>
      <c r="J1465" s="49"/>
      <c r="K1465" s="49"/>
      <c r="L1465" s="49"/>
      <c r="M1465" s="49"/>
      <c r="N1465" s="49"/>
      <c r="O1465" s="49"/>
      <c r="P1465" s="49"/>
      <c r="Q1465" s="49"/>
      <c r="R1465" s="49"/>
      <c r="S1465" s="49"/>
      <c r="T1465" s="49"/>
      <c r="U1465" s="49"/>
      <c r="V1465" s="49"/>
      <c r="W1465" s="49"/>
      <c r="X1465" s="49"/>
      <c r="Y1465" s="49"/>
      <c r="Z1465" s="49"/>
    </row>
    <row r="1466">
      <c r="A1466" s="49"/>
      <c r="B1466" s="49"/>
      <c r="C1466" s="91"/>
      <c r="D1466" s="49"/>
      <c r="E1466" s="49"/>
      <c r="F1466" s="49"/>
      <c r="G1466" s="49"/>
      <c r="H1466" s="49"/>
      <c r="I1466" s="49"/>
      <c r="J1466" s="49"/>
      <c r="K1466" s="49"/>
      <c r="L1466" s="49"/>
      <c r="M1466" s="49"/>
      <c r="N1466" s="49"/>
      <c r="O1466" s="49"/>
      <c r="P1466" s="49"/>
      <c r="Q1466" s="49"/>
      <c r="R1466" s="49"/>
      <c r="S1466" s="49"/>
      <c r="T1466" s="49"/>
      <c r="U1466" s="49"/>
      <c r="V1466" s="49"/>
      <c r="W1466" s="49"/>
      <c r="X1466" s="49"/>
      <c r="Y1466" s="49"/>
      <c r="Z1466" s="49"/>
    </row>
    <row r="1467">
      <c r="A1467" s="49"/>
      <c r="B1467" s="49"/>
      <c r="C1467" s="91"/>
      <c r="D1467" s="49"/>
      <c r="E1467" s="49"/>
      <c r="F1467" s="49"/>
      <c r="G1467" s="49"/>
      <c r="H1467" s="49"/>
      <c r="I1467" s="49"/>
      <c r="J1467" s="49"/>
      <c r="K1467" s="49"/>
      <c r="L1467" s="49"/>
      <c r="M1467" s="49"/>
      <c r="N1467" s="49"/>
      <c r="O1467" s="49"/>
      <c r="P1467" s="49"/>
      <c r="Q1467" s="49"/>
      <c r="R1467" s="49"/>
      <c r="S1467" s="49"/>
      <c r="T1467" s="49"/>
      <c r="U1467" s="49"/>
      <c r="V1467" s="49"/>
      <c r="W1467" s="49"/>
      <c r="X1467" s="49"/>
      <c r="Y1467" s="49"/>
      <c r="Z1467" s="49"/>
    </row>
    <row r="1468">
      <c r="A1468" s="49"/>
      <c r="B1468" s="49"/>
      <c r="C1468" s="91"/>
      <c r="D1468" s="49"/>
      <c r="E1468" s="49"/>
      <c r="F1468" s="49"/>
      <c r="G1468" s="49"/>
      <c r="H1468" s="49"/>
      <c r="I1468" s="49"/>
      <c r="J1468" s="49"/>
      <c r="K1468" s="49"/>
      <c r="L1468" s="49"/>
      <c r="M1468" s="49"/>
      <c r="N1468" s="49"/>
      <c r="O1468" s="49"/>
      <c r="P1468" s="49"/>
      <c r="Q1468" s="49"/>
      <c r="R1468" s="49"/>
      <c r="S1468" s="49"/>
      <c r="T1468" s="49"/>
      <c r="U1468" s="49"/>
      <c r="V1468" s="49"/>
      <c r="W1468" s="49"/>
      <c r="X1468" s="49"/>
      <c r="Y1468" s="49"/>
      <c r="Z1468" s="49"/>
    </row>
    <row r="1469">
      <c r="A1469" s="49"/>
      <c r="B1469" s="49"/>
      <c r="C1469" s="91"/>
      <c r="D1469" s="49"/>
      <c r="E1469" s="49"/>
      <c r="F1469" s="49"/>
      <c r="G1469" s="49"/>
      <c r="H1469" s="49"/>
      <c r="I1469" s="49"/>
      <c r="J1469" s="49"/>
      <c r="K1469" s="49"/>
      <c r="L1469" s="49"/>
      <c r="M1469" s="49"/>
      <c r="N1469" s="49"/>
      <c r="O1469" s="49"/>
      <c r="P1469" s="49"/>
      <c r="Q1469" s="49"/>
      <c r="R1469" s="49"/>
      <c r="S1469" s="49"/>
      <c r="T1469" s="49"/>
      <c r="U1469" s="49"/>
      <c r="V1469" s="49"/>
      <c r="W1469" s="49"/>
      <c r="X1469" s="49"/>
      <c r="Y1469" s="49"/>
      <c r="Z1469" s="49"/>
    </row>
    <row r="1470">
      <c r="A1470" s="49"/>
      <c r="B1470" s="49"/>
      <c r="C1470" s="91"/>
      <c r="D1470" s="49"/>
      <c r="E1470" s="49"/>
      <c r="F1470" s="49"/>
      <c r="G1470" s="49"/>
      <c r="H1470" s="49"/>
      <c r="I1470" s="49"/>
      <c r="J1470" s="49"/>
      <c r="K1470" s="49"/>
      <c r="L1470" s="49"/>
      <c r="M1470" s="49"/>
      <c r="N1470" s="49"/>
      <c r="O1470" s="49"/>
      <c r="P1470" s="49"/>
      <c r="Q1470" s="49"/>
      <c r="R1470" s="49"/>
      <c r="S1470" s="49"/>
      <c r="T1470" s="49"/>
      <c r="U1470" s="49"/>
      <c r="V1470" s="49"/>
      <c r="W1470" s="49"/>
      <c r="X1470" s="49"/>
      <c r="Y1470" s="49"/>
      <c r="Z1470" s="49"/>
    </row>
    <row r="1471">
      <c r="A1471" s="49"/>
      <c r="B1471" s="49"/>
      <c r="C1471" s="91"/>
      <c r="D1471" s="49"/>
      <c r="E1471" s="49"/>
      <c r="F1471" s="49"/>
      <c r="G1471" s="49"/>
      <c r="H1471" s="49"/>
      <c r="I1471" s="49"/>
      <c r="J1471" s="49"/>
      <c r="K1471" s="49"/>
      <c r="L1471" s="49"/>
      <c r="M1471" s="49"/>
      <c r="N1471" s="49"/>
      <c r="O1471" s="49"/>
      <c r="P1471" s="49"/>
      <c r="Q1471" s="49"/>
      <c r="R1471" s="49"/>
      <c r="S1471" s="49"/>
      <c r="T1471" s="49"/>
      <c r="U1471" s="49"/>
      <c r="V1471" s="49"/>
      <c r="W1471" s="49"/>
      <c r="X1471" s="49"/>
      <c r="Y1471" s="49"/>
      <c r="Z1471" s="49"/>
    </row>
    <row r="1472">
      <c r="A1472" s="49"/>
      <c r="B1472" s="49"/>
      <c r="C1472" s="91"/>
      <c r="D1472" s="49"/>
      <c r="E1472" s="49"/>
      <c r="F1472" s="49"/>
      <c r="G1472" s="49"/>
      <c r="H1472" s="49"/>
      <c r="I1472" s="49"/>
      <c r="J1472" s="49"/>
      <c r="K1472" s="49"/>
      <c r="L1472" s="49"/>
      <c r="M1472" s="49"/>
      <c r="N1472" s="49"/>
      <c r="O1472" s="49"/>
      <c r="P1472" s="49"/>
      <c r="Q1472" s="49"/>
      <c r="R1472" s="49"/>
      <c r="S1472" s="49"/>
      <c r="T1472" s="49"/>
      <c r="U1472" s="49"/>
      <c r="V1472" s="49"/>
      <c r="W1472" s="49"/>
      <c r="X1472" s="49"/>
      <c r="Y1472" s="49"/>
      <c r="Z1472" s="49"/>
    </row>
    <row r="1473">
      <c r="A1473" s="49"/>
      <c r="B1473" s="49"/>
      <c r="C1473" s="91"/>
      <c r="D1473" s="49"/>
      <c r="E1473" s="49"/>
      <c r="F1473" s="49"/>
      <c r="G1473" s="49"/>
      <c r="H1473" s="49"/>
      <c r="I1473" s="49"/>
      <c r="J1473" s="49"/>
      <c r="K1473" s="49"/>
      <c r="L1473" s="49"/>
      <c r="M1473" s="49"/>
      <c r="N1473" s="49"/>
      <c r="O1473" s="49"/>
      <c r="P1473" s="49"/>
      <c r="Q1473" s="49"/>
      <c r="R1473" s="49"/>
      <c r="S1473" s="49"/>
      <c r="T1473" s="49"/>
      <c r="U1473" s="49"/>
      <c r="V1473" s="49"/>
      <c r="W1473" s="49"/>
      <c r="X1473" s="49"/>
      <c r="Y1473" s="49"/>
      <c r="Z1473" s="49"/>
    </row>
    <row r="1474">
      <c r="A1474" s="49"/>
      <c r="B1474" s="49"/>
      <c r="C1474" s="91"/>
      <c r="D1474" s="49"/>
      <c r="E1474" s="49"/>
      <c r="F1474" s="49"/>
      <c r="G1474" s="49"/>
      <c r="H1474" s="49"/>
      <c r="I1474" s="49"/>
      <c r="J1474" s="49"/>
      <c r="K1474" s="49"/>
      <c r="L1474" s="49"/>
      <c r="M1474" s="49"/>
      <c r="N1474" s="49"/>
      <c r="O1474" s="49"/>
      <c r="P1474" s="49"/>
      <c r="Q1474" s="49"/>
      <c r="R1474" s="49"/>
      <c r="S1474" s="49"/>
      <c r="T1474" s="49"/>
      <c r="U1474" s="49"/>
      <c r="V1474" s="49"/>
      <c r="W1474" s="49"/>
      <c r="X1474" s="49"/>
      <c r="Y1474" s="49"/>
      <c r="Z1474" s="49"/>
    </row>
    <row r="1475">
      <c r="A1475" s="49"/>
      <c r="B1475" s="49"/>
      <c r="C1475" s="91"/>
      <c r="D1475" s="49"/>
      <c r="E1475" s="49"/>
      <c r="F1475" s="49"/>
      <c r="G1475" s="49"/>
      <c r="H1475" s="49"/>
      <c r="I1475" s="49"/>
      <c r="J1475" s="49"/>
      <c r="K1475" s="49"/>
      <c r="L1475" s="49"/>
      <c r="M1475" s="49"/>
      <c r="N1475" s="49"/>
      <c r="O1475" s="49"/>
      <c r="P1475" s="49"/>
      <c r="Q1475" s="49"/>
      <c r="R1475" s="49"/>
      <c r="S1475" s="49"/>
      <c r="T1475" s="49"/>
      <c r="U1475" s="49"/>
      <c r="V1475" s="49"/>
      <c r="W1475" s="49"/>
      <c r="X1475" s="49"/>
      <c r="Y1475" s="49"/>
      <c r="Z1475" s="49"/>
    </row>
    <row r="1476">
      <c r="A1476" s="49"/>
      <c r="B1476" s="49"/>
      <c r="C1476" s="91"/>
      <c r="D1476" s="49"/>
      <c r="E1476" s="49"/>
      <c r="F1476" s="49"/>
      <c r="G1476" s="49"/>
      <c r="H1476" s="49"/>
      <c r="I1476" s="49"/>
      <c r="J1476" s="49"/>
      <c r="K1476" s="49"/>
      <c r="L1476" s="49"/>
      <c r="M1476" s="49"/>
      <c r="N1476" s="49"/>
      <c r="O1476" s="49"/>
      <c r="P1476" s="49"/>
      <c r="Q1476" s="49"/>
      <c r="R1476" s="49"/>
      <c r="S1476" s="49"/>
      <c r="T1476" s="49"/>
      <c r="U1476" s="49"/>
      <c r="V1476" s="49"/>
      <c r="W1476" s="49"/>
      <c r="X1476" s="49"/>
      <c r="Y1476" s="49"/>
      <c r="Z1476" s="49"/>
    </row>
    <row r="1477">
      <c r="A1477" s="49"/>
      <c r="B1477" s="49"/>
      <c r="C1477" s="91"/>
      <c r="D1477" s="49"/>
      <c r="E1477" s="49"/>
      <c r="F1477" s="49"/>
      <c r="G1477" s="49"/>
      <c r="H1477" s="49"/>
      <c r="I1477" s="49"/>
      <c r="J1477" s="49"/>
      <c r="K1477" s="49"/>
      <c r="L1477" s="49"/>
      <c r="M1477" s="49"/>
      <c r="N1477" s="49"/>
      <c r="O1477" s="49"/>
      <c r="P1477" s="49"/>
      <c r="Q1477" s="49"/>
      <c r="R1477" s="49"/>
      <c r="S1477" s="49"/>
      <c r="T1477" s="49"/>
      <c r="U1477" s="49"/>
      <c r="V1477" s="49"/>
      <c r="W1477" s="49"/>
      <c r="X1477" s="49"/>
      <c r="Y1477" s="49"/>
      <c r="Z1477" s="49"/>
    </row>
    <row r="1478">
      <c r="A1478" s="49"/>
      <c r="B1478" s="49"/>
      <c r="C1478" s="91"/>
      <c r="D1478" s="49"/>
      <c r="E1478" s="49"/>
      <c r="F1478" s="49"/>
      <c r="G1478" s="49"/>
      <c r="H1478" s="49"/>
      <c r="I1478" s="49"/>
      <c r="J1478" s="49"/>
      <c r="K1478" s="49"/>
      <c r="L1478" s="49"/>
      <c r="M1478" s="49"/>
      <c r="N1478" s="49"/>
      <c r="O1478" s="49"/>
      <c r="P1478" s="49"/>
      <c r="Q1478" s="49"/>
      <c r="R1478" s="49"/>
      <c r="S1478" s="49"/>
      <c r="T1478" s="49"/>
      <c r="U1478" s="49"/>
      <c r="V1478" s="49"/>
      <c r="W1478" s="49"/>
      <c r="X1478" s="49"/>
      <c r="Y1478" s="49"/>
      <c r="Z1478" s="49"/>
    </row>
    <row r="1479">
      <c r="A1479" s="49"/>
      <c r="B1479" s="49"/>
      <c r="C1479" s="91"/>
      <c r="D1479" s="49"/>
      <c r="E1479" s="49"/>
      <c r="F1479" s="49"/>
      <c r="G1479" s="49"/>
      <c r="H1479" s="49"/>
      <c r="I1479" s="49"/>
      <c r="J1479" s="49"/>
      <c r="K1479" s="49"/>
      <c r="L1479" s="49"/>
      <c r="M1479" s="49"/>
      <c r="N1479" s="49"/>
      <c r="O1479" s="49"/>
      <c r="P1479" s="49"/>
      <c r="Q1479" s="49"/>
      <c r="R1479" s="49"/>
      <c r="S1479" s="49"/>
      <c r="T1479" s="49"/>
      <c r="U1479" s="49"/>
      <c r="V1479" s="49"/>
      <c r="W1479" s="49"/>
      <c r="X1479" s="49"/>
      <c r="Y1479" s="49"/>
      <c r="Z1479" s="49"/>
    </row>
    <row r="1480">
      <c r="A1480" s="49"/>
      <c r="B1480" s="49"/>
      <c r="C1480" s="91"/>
      <c r="D1480" s="49"/>
      <c r="E1480" s="49"/>
      <c r="F1480" s="49"/>
      <c r="G1480" s="49"/>
      <c r="H1480" s="49"/>
      <c r="I1480" s="49"/>
      <c r="J1480" s="49"/>
      <c r="K1480" s="49"/>
      <c r="L1480" s="49"/>
      <c r="M1480" s="49"/>
      <c r="N1480" s="49"/>
      <c r="O1480" s="49"/>
      <c r="P1480" s="49"/>
      <c r="Q1480" s="49"/>
      <c r="R1480" s="49"/>
      <c r="S1480" s="49"/>
      <c r="T1480" s="49"/>
      <c r="U1480" s="49"/>
      <c r="V1480" s="49"/>
      <c r="W1480" s="49"/>
      <c r="X1480" s="49"/>
      <c r="Y1480" s="49"/>
      <c r="Z1480" s="49"/>
    </row>
    <row r="1481">
      <c r="A1481" s="49"/>
      <c r="B1481" s="49"/>
      <c r="C1481" s="91"/>
      <c r="D1481" s="49"/>
      <c r="E1481" s="49"/>
      <c r="F1481" s="49"/>
      <c r="G1481" s="49"/>
      <c r="H1481" s="49"/>
      <c r="I1481" s="49"/>
      <c r="J1481" s="49"/>
      <c r="K1481" s="49"/>
      <c r="L1481" s="49"/>
      <c r="M1481" s="49"/>
      <c r="N1481" s="49"/>
      <c r="O1481" s="49"/>
      <c r="P1481" s="49"/>
      <c r="Q1481" s="49"/>
      <c r="R1481" s="49"/>
      <c r="S1481" s="49"/>
      <c r="T1481" s="49"/>
      <c r="U1481" s="49"/>
      <c r="V1481" s="49"/>
      <c r="W1481" s="49"/>
      <c r="X1481" s="49"/>
      <c r="Y1481" s="49"/>
      <c r="Z1481" s="49"/>
    </row>
    <row r="1482">
      <c r="A1482" s="49"/>
      <c r="B1482" s="49"/>
      <c r="C1482" s="91"/>
      <c r="D1482" s="49"/>
      <c r="E1482" s="49"/>
      <c r="F1482" s="49"/>
      <c r="G1482" s="49"/>
      <c r="H1482" s="49"/>
      <c r="I1482" s="49"/>
      <c r="J1482" s="49"/>
      <c r="K1482" s="49"/>
      <c r="L1482" s="49"/>
      <c r="M1482" s="49"/>
      <c r="N1482" s="49"/>
      <c r="O1482" s="49"/>
      <c r="P1482" s="49"/>
      <c r="Q1482" s="49"/>
      <c r="R1482" s="49"/>
      <c r="S1482" s="49"/>
      <c r="T1482" s="49"/>
      <c r="U1482" s="49"/>
      <c r="V1482" s="49"/>
      <c r="W1482" s="49"/>
      <c r="X1482" s="49"/>
      <c r="Y1482" s="49"/>
      <c r="Z1482" s="49"/>
    </row>
    <row r="1483">
      <c r="A1483" s="49"/>
      <c r="B1483" s="49"/>
      <c r="C1483" s="91"/>
      <c r="D1483" s="49"/>
      <c r="E1483" s="49"/>
      <c r="F1483" s="49"/>
      <c r="G1483" s="49"/>
      <c r="H1483" s="49"/>
      <c r="I1483" s="49"/>
      <c r="J1483" s="49"/>
      <c r="K1483" s="49"/>
      <c r="L1483" s="49"/>
      <c r="M1483" s="49"/>
      <c r="N1483" s="49"/>
      <c r="O1483" s="49"/>
      <c r="P1483" s="49"/>
      <c r="Q1483" s="49"/>
      <c r="R1483" s="49"/>
      <c r="S1483" s="49"/>
      <c r="T1483" s="49"/>
      <c r="U1483" s="49"/>
      <c r="V1483" s="49"/>
      <c r="W1483" s="49"/>
      <c r="X1483" s="49"/>
      <c r="Y1483" s="49"/>
      <c r="Z1483" s="49"/>
    </row>
    <row r="1484">
      <c r="A1484" s="49"/>
      <c r="B1484" s="49"/>
      <c r="C1484" s="91"/>
      <c r="D1484" s="49"/>
      <c r="E1484" s="49"/>
      <c r="F1484" s="49"/>
      <c r="G1484" s="49"/>
      <c r="H1484" s="49"/>
      <c r="I1484" s="49"/>
      <c r="J1484" s="49"/>
      <c r="K1484" s="49"/>
      <c r="L1484" s="49"/>
      <c r="M1484" s="49"/>
      <c r="N1484" s="49"/>
      <c r="O1484" s="49"/>
      <c r="P1484" s="49"/>
      <c r="Q1484" s="49"/>
      <c r="R1484" s="49"/>
      <c r="S1484" s="49"/>
      <c r="T1484" s="49"/>
      <c r="U1484" s="49"/>
      <c r="V1484" s="49"/>
      <c r="W1484" s="49"/>
      <c r="X1484" s="49"/>
      <c r="Y1484" s="49"/>
      <c r="Z1484" s="49"/>
    </row>
    <row r="1485">
      <c r="A1485" s="49"/>
      <c r="B1485" s="49"/>
      <c r="C1485" s="91"/>
      <c r="D1485" s="49"/>
      <c r="E1485" s="49"/>
      <c r="F1485" s="49"/>
      <c r="G1485" s="49"/>
      <c r="H1485" s="49"/>
      <c r="I1485" s="49"/>
      <c r="J1485" s="49"/>
      <c r="K1485" s="49"/>
      <c r="L1485" s="49"/>
      <c r="M1485" s="49"/>
      <c r="N1485" s="49"/>
      <c r="O1485" s="49"/>
      <c r="P1485" s="49"/>
      <c r="Q1485" s="49"/>
      <c r="R1485" s="49"/>
      <c r="S1485" s="49"/>
      <c r="T1485" s="49"/>
      <c r="U1485" s="49"/>
      <c r="V1485" s="49"/>
      <c r="W1485" s="49"/>
      <c r="X1485" s="49"/>
      <c r="Y1485" s="49"/>
      <c r="Z1485" s="49"/>
    </row>
    <row r="1486">
      <c r="A1486" s="49"/>
      <c r="B1486" s="49"/>
      <c r="C1486" s="91"/>
      <c r="D1486" s="49"/>
      <c r="E1486" s="49"/>
      <c r="F1486" s="49"/>
      <c r="G1486" s="49"/>
      <c r="H1486" s="49"/>
      <c r="I1486" s="49"/>
      <c r="J1486" s="49"/>
      <c r="K1486" s="49"/>
      <c r="L1486" s="49"/>
      <c r="M1486" s="49"/>
      <c r="N1486" s="49"/>
      <c r="O1486" s="49"/>
      <c r="P1486" s="49"/>
      <c r="Q1486" s="49"/>
      <c r="R1486" s="49"/>
      <c r="S1486" s="49"/>
      <c r="T1486" s="49"/>
      <c r="U1486" s="49"/>
      <c r="V1486" s="49"/>
      <c r="W1486" s="49"/>
      <c r="X1486" s="49"/>
      <c r="Y1486" s="49"/>
      <c r="Z1486" s="49"/>
    </row>
    <row r="1487">
      <c r="A1487" s="49"/>
      <c r="B1487" s="49"/>
      <c r="C1487" s="91"/>
      <c r="D1487" s="49"/>
      <c r="E1487" s="49"/>
      <c r="F1487" s="49"/>
      <c r="G1487" s="49"/>
      <c r="H1487" s="49"/>
      <c r="I1487" s="49"/>
      <c r="J1487" s="49"/>
      <c r="K1487" s="49"/>
      <c r="L1487" s="49"/>
      <c r="M1487" s="49"/>
      <c r="N1487" s="49"/>
      <c r="O1487" s="49"/>
      <c r="P1487" s="49"/>
      <c r="Q1487" s="49"/>
      <c r="R1487" s="49"/>
      <c r="S1487" s="49"/>
      <c r="T1487" s="49"/>
      <c r="U1487" s="49"/>
      <c r="V1487" s="49"/>
      <c r="W1487" s="49"/>
      <c r="X1487" s="49"/>
      <c r="Y1487" s="49"/>
      <c r="Z1487" s="49"/>
    </row>
    <row r="1488">
      <c r="A1488" s="49"/>
      <c r="B1488" s="49"/>
      <c r="C1488" s="91"/>
      <c r="D1488" s="49"/>
      <c r="E1488" s="49"/>
      <c r="F1488" s="49"/>
      <c r="G1488" s="49"/>
      <c r="H1488" s="49"/>
      <c r="I1488" s="49"/>
      <c r="J1488" s="49"/>
      <c r="K1488" s="49"/>
      <c r="L1488" s="49"/>
      <c r="M1488" s="49"/>
      <c r="N1488" s="49"/>
      <c r="O1488" s="49"/>
      <c r="P1488" s="49"/>
      <c r="Q1488" s="49"/>
      <c r="R1488" s="49"/>
      <c r="S1488" s="49"/>
      <c r="T1488" s="49"/>
      <c r="U1488" s="49"/>
      <c r="V1488" s="49"/>
      <c r="W1488" s="49"/>
      <c r="X1488" s="49"/>
      <c r="Y1488" s="49"/>
      <c r="Z1488" s="49"/>
    </row>
    <row r="1489">
      <c r="A1489" s="49"/>
      <c r="B1489" s="49"/>
      <c r="C1489" s="91"/>
      <c r="D1489" s="49"/>
      <c r="E1489" s="49"/>
      <c r="F1489" s="49"/>
      <c r="G1489" s="49"/>
      <c r="H1489" s="49"/>
      <c r="I1489" s="49"/>
      <c r="J1489" s="49"/>
      <c r="K1489" s="49"/>
      <c r="L1489" s="49"/>
      <c r="M1489" s="49"/>
      <c r="N1489" s="49"/>
      <c r="O1489" s="49"/>
      <c r="P1489" s="49"/>
      <c r="Q1489" s="49"/>
      <c r="R1489" s="49"/>
      <c r="S1489" s="49"/>
      <c r="T1489" s="49"/>
      <c r="U1489" s="49"/>
      <c r="V1489" s="49"/>
      <c r="W1489" s="49"/>
      <c r="X1489" s="49"/>
      <c r="Y1489" s="49"/>
      <c r="Z1489" s="49"/>
    </row>
    <row r="1490">
      <c r="A1490" s="49"/>
      <c r="B1490" s="49"/>
      <c r="C1490" s="91"/>
      <c r="D1490" s="49"/>
      <c r="E1490" s="49"/>
      <c r="F1490" s="49"/>
      <c r="G1490" s="49"/>
      <c r="H1490" s="49"/>
      <c r="I1490" s="49"/>
      <c r="J1490" s="49"/>
      <c r="K1490" s="49"/>
      <c r="L1490" s="49"/>
      <c r="M1490" s="49"/>
      <c r="N1490" s="49"/>
      <c r="O1490" s="49"/>
      <c r="P1490" s="49"/>
      <c r="Q1490" s="49"/>
      <c r="R1490" s="49"/>
      <c r="S1490" s="49"/>
      <c r="T1490" s="49"/>
      <c r="U1490" s="49"/>
      <c r="V1490" s="49"/>
      <c r="W1490" s="49"/>
      <c r="X1490" s="49"/>
      <c r="Y1490" s="49"/>
      <c r="Z1490" s="49"/>
    </row>
    <row r="1491">
      <c r="A1491" s="49"/>
      <c r="B1491" s="49"/>
      <c r="C1491" s="91"/>
      <c r="D1491" s="49"/>
      <c r="E1491" s="49"/>
      <c r="F1491" s="49"/>
      <c r="G1491" s="49"/>
      <c r="H1491" s="49"/>
      <c r="I1491" s="49"/>
      <c r="J1491" s="49"/>
      <c r="K1491" s="49"/>
      <c r="L1491" s="49"/>
      <c r="M1491" s="49"/>
      <c r="N1491" s="49"/>
      <c r="O1491" s="49"/>
      <c r="P1491" s="49"/>
      <c r="Q1491" s="49"/>
      <c r="R1491" s="49"/>
      <c r="S1491" s="49"/>
      <c r="T1491" s="49"/>
      <c r="U1491" s="49"/>
      <c r="V1491" s="49"/>
      <c r="W1491" s="49"/>
      <c r="X1491" s="49"/>
      <c r="Y1491" s="49"/>
      <c r="Z1491" s="49"/>
    </row>
    <row r="1492">
      <c r="A1492" s="49"/>
      <c r="B1492" s="49"/>
      <c r="C1492" s="91"/>
      <c r="D1492" s="49"/>
      <c r="E1492" s="49"/>
      <c r="F1492" s="49"/>
      <c r="G1492" s="49"/>
      <c r="H1492" s="49"/>
      <c r="I1492" s="49"/>
      <c r="J1492" s="49"/>
      <c r="K1492" s="49"/>
      <c r="L1492" s="49"/>
      <c r="M1492" s="49"/>
      <c r="N1492" s="49"/>
      <c r="O1492" s="49"/>
      <c r="P1492" s="49"/>
      <c r="Q1492" s="49"/>
      <c r="R1492" s="49"/>
      <c r="S1492" s="49"/>
      <c r="T1492" s="49"/>
      <c r="U1492" s="49"/>
      <c r="V1492" s="49"/>
      <c r="W1492" s="49"/>
      <c r="X1492" s="49"/>
      <c r="Y1492" s="49"/>
      <c r="Z1492" s="49"/>
    </row>
    <row r="1493">
      <c r="A1493" s="49"/>
      <c r="B1493" s="49"/>
      <c r="C1493" s="91"/>
      <c r="D1493" s="49"/>
      <c r="E1493" s="49"/>
      <c r="F1493" s="49"/>
      <c r="G1493" s="49"/>
      <c r="H1493" s="49"/>
      <c r="I1493" s="49"/>
      <c r="J1493" s="49"/>
      <c r="K1493" s="49"/>
      <c r="L1493" s="49"/>
      <c r="M1493" s="49"/>
      <c r="N1493" s="49"/>
      <c r="O1493" s="49"/>
      <c r="P1493" s="49"/>
      <c r="Q1493" s="49"/>
      <c r="R1493" s="49"/>
      <c r="S1493" s="49"/>
      <c r="T1493" s="49"/>
      <c r="U1493" s="49"/>
      <c r="V1493" s="49"/>
      <c r="W1493" s="49"/>
      <c r="X1493" s="49"/>
      <c r="Y1493" s="49"/>
      <c r="Z1493" s="49"/>
    </row>
    <row r="1494">
      <c r="A1494" s="49"/>
      <c r="B1494" s="49"/>
      <c r="C1494" s="91"/>
      <c r="D1494" s="49"/>
      <c r="E1494" s="49"/>
      <c r="F1494" s="49"/>
      <c r="G1494" s="49"/>
      <c r="H1494" s="49"/>
      <c r="I1494" s="49"/>
      <c r="J1494" s="49"/>
      <c r="K1494" s="49"/>
      <c r="L1494" s="49"/>
      <c r="M1494" s="49"/>
      <c r="N1494" s="49"/>
      <c r="O1494" s="49"/>
      <c r="P1494" s="49"/>
      <c r="Q1494" s="49"/>
      <c r="R1494" s="49"/>
      <c r="S1494" s="49"/>
      <c r="T1494" s="49"/>
      <c r="U1494" s="49"/>
      <c r="V1494" s="49"/>
      <c r="W1494" s="49"/>
      <c r="X1494" s="49"/>
      <c r="Y1494" s="49"/>
      <c r="Z1494" s="49"/>
    </row>
    <row r="1495">
      <c r="A1495" s="49"/>
      <c r="B1495" s="49"/>
      <c r="C1495" s="91"/>
      <c r="D1495" s="49"/>
      <c r="E1495" s="49"/>
      <c r="F1495" s="49"/>
      <c r="G1495" s="49"/>
      <c r="H1495" s="49"/>
      <c r="I1495" s="49"/>
      <c r="J1495" s="49"/>
      <c r="K1495" s="49"/>
      <c r="L1495" s="49"/>
      <c r="M1495" s="49"/>
      <c r="N1495" s="49"/>
      <c r="O1495" s="49"/>
      <c r="P1495" s="49"/>
      <c r="Q1495" s="49"/>
      <c r="R1495" s="49"/>
      <c r="S1495" s="49"/>
      <c r="T1495" s="49"/>
      <c r="U1495" s="49"/>
      <c r="V1495" s="49"/>
      <c r="W1495" s="49"/>
      <c r="X1495" s="49"/>
      <c r="Y1495" s="49"/>
      <c r="Z1495" s="49"/>
    </row>
    <row r="1496">
      <c r="A1496" s="49"/>
      <c r="B1496" s="49"/>
      <c r="C1496" s="91"/>
      <c r="D1496" s="49"/>
      <c r="E1496" s="49"/>
      <c r="F1496" s="49"/>
      <c r="G1496" s="49"/>
      <c r="H1496" s="49"/>
      <c r="I1496" s="49"/>
      <c r="J1496" s="49"/>
      <c r="K1496" s="49"/>
      <c r="L1496" s="49"/>
      <c r="M1496" s="49"/>
      <c r="N1496" s="49"/>
      <c r="O1496" s="49"/>
      <c r="P1496" s="49"/>
      <c r="Q1496" s="49"/>
      <c r="R1496" s="49"/>
      <c r="S1496" s="49"/>
      <c r="T1496" s="49"/>
      <c r="U1496" s="49"/>
      <c r="V1496" s="49"/>
      <c r="W1496" s="49"/>
      <c r="X1496" s="49"/>
      <c r="Y1496" s="49"/>
      <c r="Z1496" s="49"/>
    </row>
    <row r="1497">
      <c r="A1497" s="49"/>
      <c r="B1497" s="49"/>
      <c r="C1497" s="91"/>
      <c r="D1497" s="49"/>
      <c r="E1497" s="49"/>
      <c r="F1497" s="49"/>
      <c r="G1497" s="49"/>
      <c r="H1497" s="49"/>
      <c r="I1497" s="49"/>
      <c r="J1497" s="49"/>
      <c r="K1497" s="49"/>
      <c r="L1497" s="49"/>
      <c r="M1497" s="49"/>
      <c r="N1497" s="49"/>
      <c r="O1497" s="49"/>
      <c r="P1497" s="49"/>
      <c r="Q1497" s="49"/>
      <c r="R1497" s="49"/>
      <c r="S1497" s="49"/>
      <c r="T1497" s="49"/>
      <c r="U1497" s="49"/>
      <c r="V1497" s="49"/>
      <c r="W1497" s="49"/>
      <c r="X1497" s="49"/>
      <c r="Y1497" s="49"/>
      <c r="Z1497" s="49"/>
    </row>
    <row r="1498">
      <c r="A1498" s="49"/>
      <c r="B1498" s="49"/>
      <c r="C1498" s="91"/>
      <c r="D1498" s="49"/>
      <c r="E1498" s="49"/>
      <c r="F1498" s="49"/>
      <c r="G1498" s="49"/>
      <c r="H1498" s="49"/>
      <c r="I1498" s="49"/>
      <c r="J1498" s="49"/>
      <c r="K1498" s="49"/>
      <c r="L1498" s="49"/>
      <c r="M1498" s="49"/>
      <c r="N1498" s="49"/>
      <c r="O1498" s="49"/>
      <c r="P1498" s="49"/>
      <c r="Q1498" s="49"/>
      <c r="R1498" s="49"/>
      <c r="S1498" s="49"/>
      <c r="T1498" s="49"/>
      <c r="U1498" s="49"/>
      <c r="V1498" s="49"/>
      <c r="W1498" s="49"/>
      <c r="X1498" s="49"/>
      <c r="Y1498" s="49"/>
      <c r="Z1498" s="49"/>
    </row>
    <row r="1499">
      <c r="A1499" s="49"/>
      <c r="B1499" s="49"/>
      <c r="C1499" s="91"/>
      <c r="D1499" s="49"/>
      <c r="E1499" s="49"/>
      <c r="F1499" s="49"/>
      <c r="G1499" s="49"/>
      <c r="H1499" s="49"/>
      <c r="I1499" s="49"/>
      <c r="J1499" s="49"/>
      <c r="K1499" s="49"/>
      <c r="L1499" s="49"/>
      <c r="M1499" s="49"/>
      <c r="N1499" s="49"/>
      <c r="O1499" s="49"/>
      <c r="P1499" s="49"/>
      <c r="Q1499" s="49"/>
      <c r="R1499" s="49"/>
      <c r="S1499" s="49"/>
      <c r="T1499" s="49"/>
      <c r="U1499" s="49"/>
      <c r="V1499" s="49"/>
      <c r="W1499" s="49"/>
      <c r="X1499" s="49"/>
      <c r="Y1499" s="49"/>
      <c r="Z1499" s="49"/>
    </row>
    <row r="1500">
      <c r="A1500" s="49"/>
      <c r="B1500" s="49"/>
      <c r="C1500" s="91"/>
      <c r="D1500" s="49"/>
      <c r="E1500" s="49"/>
      <c r="F1500" s="49"/>
      <c r="G1500" s="49"/>
      <c r="H1500" s="49"/>
      <c r="I1500" s="49"/>
      <c r="J1500" s="49"/>
      <c r="K1500" s="49"/>
      <c r="L1500" s="49"/>
      <c r="M1500" s="49"/>
      <c r="N1500" s="49"/>
      <c r="O1500" s="49"/>
      <c r="P1500" s="49"/>
      <c r="Q1500" s="49"/>
      <c r="R1500" s="49"/>
      <c r="S1500" s="49"/>
      <c r="T1500" s="49"/>
      <c r="U1500" s="49"/>
      <c r="V1500" s="49"/>
      <c r="W1500" s="49"/>
      <c r="X1500" s="49"/>
      <c r="Y1500" s="49"/>
      <c r="Z1500" s="49"/>
    </row>
    <row r="1501">
      <c r="A1501" s="49"/>
      <c r="B1501" s="49"/>
      <c r="C1501" s="91"/>
      <c r="D1501" s="49"/>
      <c r="E1501" s="49"/>
      <c r="F1501" s="49"/>
      <c r="G1501" s="49"/>
      <c r="H1501" s="49"/>
      <c r="I1501" s="49"/>
      <c r="J1501" s="49"/>
      <c r="K1501" s="49"/>
      <c r="L1501" s="49"/>
      <c r="M1501" s="49"/>
      <c r="N1501" s="49"/>
      <c r="O1501" s="49"/>
      <c r="P1501" s="49"/>
      <c r="Q1501" s="49"/>
      <c r="R1501" s="49"/>
      <c r="S1501" s="49"/>
      <c r="T1501" s="49"/>
      <c r="U1501" s="49"/>
      <c r="V1501" s="49"/>
      <c r="W1501" s="49"/>
      <c r="X1501" s="49"/>
      <c r="Y1501" s="49"/>
      <c r="Z1501" s="49"/>
    </row>
    <row r="1502">
      <c r="A1502" s="49"/>
      <c r="B1502" s="49"/>
      <c r="C1502" s="91"/>
      <c r="D1502" s="49"/>
      <c r="E1502" s="49"/>
      <c r="F1502" s="49"/>
      <c r="G1502" s="49"/>
      <c r="H1502" s="49"/>
      <c r="I1502" s="49"/>
      <c r="J1502" s="49"/>
      <c r="K1502" s="49"/>
      <c r="L1502" s="49"/>
      <c r="M1502" s="49"/>
      <c r="N1502" s="49"/>
      <c r="O1502" s="49"/>
      <c r="P1502" s="49"/>
      <c r="Q1502" s="49"/>
      <c r="R1502" s="49"/>
      <c r="S1502" s="49"/>
      <c r="T1502" s="49"/>
      <c r="U1502" s="49"/>
      <c r="V1502" s="49"/>
      <c r="W1502" s="49"/>
      <c r="X1502" s="49"/>
      <c r="Y1502" s="49"/>
      <c r="Z1502" s="49"/>
    </row>
    <row r="1503">
      <c r="A1503" s="49"/>
      <c r="B1503" s="49"/>
      <c r="C1503" s="91"/>
      <c r="D1503" s="49"/>
      <c r="E1503" s="49"/>
      <c r="F1503" s="49"/>
      <c r="G1503" s="49"/>
      <c r="H1503" s="49"/>
      <c r="I1503" s="49"/>
      <c r="J1503" s="49"/>
      <c r="K1503" s="49"/>
      <c r="L1503" s="49"/>
      <c r="M1503" s="49"/>
      <c r="N1503" s="49"/>
      <c r="O1503" s="49"/>
      <c r="P1503" s="49"/>
      <c r="Q1503" s="49"/>
      <c r="R1503" s="49"/>
      <c r="S1503" s="49"/>
      <c r="T1503" s="49"/>
      <c r="U1503" s="49"/>
      <c r="V1503" s="49"/>
      <c r="W1503" s="49"/>
      <c r="X1503" s="49"/>
      <c r="Y1503" s="49"/>
      <c r="Z1503" s="49"/>
    </row>
    <row r="1504">
      <c r="A1504" s="49"/>
      <c r="B1504" s="49"/>
      <c r="C1504" s="91"/>
      <c r="D1504" s="49"/>
      <c r="E1504" s="49"/>
      <c r="F1504" s="49"/>
      <c r="G1504" s="49"/>
      <c r="H1504" s="49"/>
      <c r="I1504" s="49"/>
      <c r="J1504" s="49"/>
      <c r="K1504" s="49"/>
      <c r="L1504" s="49"/>
      <c r="M1504" s="49"/>
      <c r="N1504" s="49"/>
      <c r="O1504" s="49"/>
      <c r="P1504" s="49"/>
      <c r="Q1504" s="49"/>
      <c r="R1504" s="49"/>
      <c r="S1504" s="49"/>
      <c r="T1504" s="49"/>
      <c r="U1504" s="49"/>
      <c r="V1504" s="49"/>
      <c r="W1504" s="49"/>
      <c r="X1504" s="49"/>
      <c r="Y1504" s="49"/>
      <c r="Z1504" s="49"/>
    </row>
    <row r="1505">
      <c r="A1505" s="49"/>
      <c r="B1505" s="49"/>
      <c r="C1505" s="91"/>
      <c r="D1505" s="49"/>
      <c r="E1505" s="49"/>
      <c r="F1505" s="49"/>
      <c r="G1505" s="49"/>
      <c r="H1505" s="49"/>
      <c r="I1505" s="49"/>
      <c r="J1505" s="49"/>
      <c r="K1505" s="49"/>
      <c r="L1505" s="49"/>
      <c r="M1505" s="49"/>
      <c r="N1505" s="49"/>
      <c r="O1505" s="49"/>
      <c r="P1505" s="49"/>
      <c r="Q1505" s="49"/>
      <c r="R1505" s="49"/>
      <c r="S1505" s="49"/>
      <c r="T1505" s="49"/>
      <c r="U1505" s="49"/>
      <c r="V1505" s="49"/>
      <c r="W1505" s="49"/>
      <c r="X1505" s="49"/>
      <c r="Y1505" s="49"/>
      <c r="Z1505" s="49"/>
    </row>
    <row r="1506">
      <c r="A1506" s="49"/>
      <c r="B1506" s="49"/>
      <c r="C1506" s="91"/>
      <c r="D1506" s="49"/>
      <c r="E1506" s="49"/>
      <c r="F1506" s="49"/>
      <c r="G1506" s="49"/>
      <c r="H1506" s="49"/>
      <c r="I1506" s="49"/>
      <c r="J1506" s="49"/>
      <c r="K1506" s="49"/>
      <c r="L1506" s="49"/>
      <c r="M1506" s="49"/>
      <c r="N1506" s="49"/>
      <c r="O1506" s="49"/>
      <c r="P1506" s="49"/>
      <c r="Q1506" s="49"/>
      <c r="R1506" s="49"/>
      <c r="S1506" s="49"/>
      <c r="T1506" s="49"/>
      <c r="U1506" s="49"/>
      <c r="V1506" s="49"/>
      <c r="W1506" s="49"/>
      <c r="X1506" s="49"/>
      <c r="Y1506" s="49"/>
      <c r="Z1506" s="49"/>
    </row>
    <row r="1507">
      <c r="A1507" s="49"/>
      <c r="B1507" s="49"/>
      <c r="C1507" s="91"/>
      <c r="D1507" s="49"/>
      <c r="E1507" s="49"/>
      <c r="F1507" s="49"/>
      <c r="G1507" s="49"/>
      <c r="H1507" s="49"/>
      <c r="I1507" s="49"/>
      <c r="J1507" s="49"/>
      <c r="K1507" s="49"/>
      <c r="L1507" s="49"/>
      <c r="M1507" s="49"/>
      <c r="N1507" s="49"/>
      <c r="O1507" s="49"/>
      <c r="P1507" s="49"/>
      <c r="Q1507" s="49"/>
      <c r="R1507" s="49"/>
      <c r="S1507" s="49"/>
      <c r="T1507" s="49"/>
      <c r="U1507" s="49"/>
      <c r="V1507" s="49"/>
      <c r="W1507" s="49"/>
      <c r="X1507" s="49"/>
      <c r="Y1507" s="49"/>
      <c r="Z1507" s="49"/>
    </row>
    <row r="1508">
      <c r="A1508" s="49"/>
      <c r="B1508" s="49"/>
      <c r="C1508" s="91"/>
      <c r="D1508" s="49"/>
      <c r="E1508" s="49"/>
      <c r="F1508" s="49"/>
      <c r="G1508" s="49"/>
      <c r="H1508" s="49"/>
      <c r="I1508" s="49"/>
      <c r="J1508" s="49"/>
      <c r="K1508" s="49"/>
      <c r="L1508" s="49"/>
      <c r="M1508" s="49"/>
      <c r="N1508" s="49"/>
      <c r="O1508" s="49"/>
      <c r="P1508" s="49"/>
      <c r="Q1508" s="49"/>
      <c r="R1508" s="49"/>
      <c r="S1508" s="49"/>
      <c r="T1508" s="49"/>
      <c r="U1508" s="49"/>
      <c r="V1508" s="49"/>
      <c r="W1508" s="49"/>
      <c r="X1508" s="49"/>
      <c r="Y1508" s="49"/>
      <c r="Z1508" s="49"/>
    </row>
    <row r="1509">
      <c r="A1509" s="49"/>
      <c r="B1509" s="49"/>
      <c r="C1509" s="91"/>
      <c r="D1509" s="49"/>
      <c r="E1509" s="49"/>
      <c r="F1509" s="49"/>
      <c r="G1509" s="49"/>
      <c r="H1509" s="49"/>
      <c r="I1509" s="49"/>
      <c r="J1509" s="49"/>
      <c r="K1509" s="49"/>
      <c r="L1509" s="49"/>
      <c r="M1509" s="49"/>
      <c r="N1509" s="49"/>
      <c r="O1509" s="49"/>
      <c r="P1509" s="49"/>
      <c r="Q1509" s="49"/>
      <c r="R1509" s="49"/>
      <c r="S1509" s="49"/>
      <c r="T1509" s="49"/>
      <c r="U1509" s="49"/>
      <c r="V1509" s="49"/>
      <c r="W1509" s="49"/>
      <c r="X1509" s="49"/>
      <c r="Y1509" s="49"/>
      <c r="Z1509" s="49"/>
    </row>
    <row r="1510">
      <c r="A1510" s="49"/>
      <c r="B1510" s="49"/>
      <c r="C1510" s="91"/>
      <c r="D1510" s="49"/>
      <c r="E1510" s="49"/>
      <c r="F1510" s="49"/>
      <c r="G1510" s="49"/>
      <c r="H1510" s="49"/>
      <c r="I1510" s="49"/>
      <c r="J1510" s="49"/>
      <c r="K1510" s="49"/>
      <c r="L1510" s="49"/>
      <c r="M1510" s="49"/>
      <c r="N1510" s="49"/>
      <c r="O1510" s="49"/>
      <c r="P1510" s="49"/>
      <c r="Q1510" s="49"/>
      <c r="R1510" s="49"/>
      <c r="S1510" s="49"/>
      <c r="T1510" s="49"/>
      <c r="U1510" s="49"/>
      <c r="V1510" s="49"/>
      <c r="W1510" s="49"/>
      <c r="X1510" s="49"/>
      <c r="Y1510" s="49"/>
      <c r="Z1510" s="49"/>
    </row>
    <row r="1511">
      <c r="A1511" s="49"/>
      <c r="B1511" s="49"/>
      <c r="C1511" s="91"/>
      <c r="D1511" s="49"/>
      <c r="E1511" s="49"/>
      <c r="F1511" s="49"/>
      <c r="G1511" s="49"/>
      <c r="H1511" s="49"/>
      <c r="I1511" s="49"/>
      <c r="J1511" s="49"/>
      <c r="K1511" s="49"/>
      <c r="L1511" s="49"/>
      <c r="M1511" s="49"/>
      <c r="N1511" s="49"/>
      <c r="O1511" s="49"/>
      <c r="P1511" s="49"/>
      <c r="Q1511" s="49"/>
      <c r="R1511" s="49"/>
      <c r="S1511" s="49"/>
      <c r="T1511" s="49"/>
      <c r="U1511" s="49"/>
      <c r="V1511" s="49"/>
      <c r="W1511" s="49"/>
      <c r="X1511" s="49"/>
      <c r="Y1511" s="49"/>
      <c r="Z1511" s="49"/>
    </row>
    <row r="1512">
      <c r="A1512" s="49"/>
      <c r="B1512" s="49"/>
      <c r="C1512" s="91"/>
      <c r="D1512" s="49"/>
      <c r="E1512" s="49"/>
      <c r="F1512" s="49"/>
      <c r="G1512" s="49"/>
      <c r="H1512" s="49"/>
      <c r="I1512" s="49"/>
      <c r="J1512" s="49"/>
      <c r="K1512" s="49"/>
      <c r="L1512" s="49"/>
      <c r="M1512" s="49"/>
      <c r="N1512" s="49"/>
      <c r="O1512" s="49"/>
      <c r="P1512" s="49"/>
      <c r="Q1512" s="49"/>
      <c r="R1512" s="49"/>
      <c r="S1512" s="49"/>
      <c r="T1512" s="49"/>
      <c r="U1512" s="49"/>
      <c r="V1512" s="49"/>
      <c r="W1512" s="49"/>
      <c r="X1512" s="49"/>
      <c r="Y1512" s="49"/>
      <c r="Z1512" s="49"/>
    </row>
    <row r="1513">
      <c r="A1513" s="49"/>
      <c r="B1513" s="49"/>
      <c r="C1513" s="91"/>
      <c r="D1513" s="49"/>
      <c r="E1513" s="49"/>
      <c r="F1513" s="49"/>
      <c r="G1513" s="49"/>
      <c r="H1513" s="49"/>
      <c r="I1513" s="49"/>
      <c r="J1513" s="49"/>
      <c r="K1513" s="49"/>
      <c r="L1513" s="49"/>
      <c r="M1513" s="49"/>
      <c r="N1513" s="49"/>
      <c r="O1513" s="49"/>
      <c r="P1513" s="49"/>
      <c r="Q1513" s="49"/>
      <c r="R1513" s="49"/>
      <c r="S1513" s="49"/>
      <c r="T1513" s="49"/>
      <c r="U1513" s="49"/>
      <c r="V1513" s="49"/>
      <c r="W1513" s="49"/>
      <c r="X1513" s="49"/>
      <c r="Y1513" s="49"/>
      <c r="Z1513" s="49"/>
    </row>
    <row r="1514">
      <c r="A1514" s="49"/>
      <c r="B1514" s="49"/>
      <c r="C1514" s="91"/>
      <c r="D1514" s="49"/>
      <c r="E1514" s="49"/>
      <c r="F1514" s="49"/>
      <c r="G1514" s="49"/>
      <c r="H1514" s="49"/>
      <c r="I1514" s="49"/>
      <c r="J1514" s="49"/>
      <c r="K1514" s="49"/>
      <c r="L1514" s="49"/>
      <c r="M1514" s="49"/>
      <c r="N1514" s="49"/>
      <c r="O1514" s="49"/>
      <c r="P1514" s="49"/>
      <c r="Q1514" s="49"/>
      <c r="R1514" s="49"/>
      <c r="S1514" s="49"/>
      <c r="T1514" s="49"/>
      <c r="U1514" s="49"/>
      <c r="V1514" s="49"/>
      <c r="W1514" s="49"/>
      <c r="X1514" s="49"/>
      <c r="Y1514" s="49"/>
      <c r="Z1514" s="49"/>
    </row>
    <row r="1515">
      <c r="A1515" s="49"/>
      <c r="B1515" s="49"/>
      <c r="C1515" s="91"/>
      <c r="D1515" s="49"/>
      <c r="E1515" s="49"/>
      <c r="F1515" s="49"/>
      <c r="G1515" s="49"/>
      <c r="H1515" s="49"/>
      <c r="I1515" s="49"/>
      <c r="J1515" s="49"/>
      <c r="K1515" s="49"/>
      <c r="L1515" s="49"/>
      <c r="M1515" s="49"/>
      <c r="N1515" s="49"/>
      <c r="O1515" s="49"/>
      <c r="P1515" s="49"/>
      <c r="Q1515" s="49"/>
      <c r="R1515" s="49"/>
      <c r="S1515" s="49"/>
      <c r="T1515" s="49"/>
      <c r="U1515" s="49"/>
      <c r="V1515" s="49"/>
      <c r="W1515" s="49"/>
      <c r="X1515" s="49"/>
      <c r="Y1515" s="49"/>
      <c r="Z1515" s="49"/>
    </row>
    <row r="1516">
      <c r="A1516" s="49"/>
      <c r="B1516" s="49"/>
      <c r="C1516" s="91"/>
      <c r="D1516" s="49"/>
      <c r="E1516" s="49"/>
      <c r="F1516" s="49"/>
      <c r="G1516" s="49"/>
      <c r="H1516" s="49"/>
      <c r="I1516" s="49"/>
      <c r="J1516" s="49"/>
      <c r="K1516" s="49"/>
      <c r="L1516" s="49"/>
      <c r="M1516" s="49"/>
      <c r="N1516" s="49"/>
      <c r="O1516" s="49"/>
      <c r="P1516" s="49"/>
      <c r="Q1516" s="49"/>
      <c r="R1516" s="49"/>
      <c r="S1516" s="49"/>
      <c r="T1516" s="49"/>
      <c r="U1516" s="49"/>
      <c r="V1516" s="49"/>
      <c r="W1516" s="49"/>
      <c r="X1516" s="49"/>
      <c r="Y1516" s="49"/>
      <c r="Z1516" s="49"/>
    </row>
    <row r="1517">
      <c r="A1517" s="49"/>
      <c r="B1517" s="49"/>
      <c r="C1517" s="91"/>
      <c r="D1517" s="49"/>
      <c r="E1517" s="49"/>
      <c r="F1517" s="49"/>
      <c r="G1517" s="49"/>
      <c r="H1517" s="49"/>
      <c r="I1517" s="49"/>
      <c r="J1517" s="49"/>
      <c r="K1517" s="49"/>
      <c r="L1517" s="49"/>
      <c r="M1517" s="49"/>
      <c r="N1517" s="49"/>
      <c r="O1517" s="49"/>
      <c r="P1517" s="49"/>
      <c r="Q1517" s="49"/>
      <c r="R1517" s="49"/>
      <c r="S1517" s="49"/>
      <c r="T1517" s="49"/>
      <c r="U1517" s="49"/>
      <c r="V1517" s="49"/>
      <c r="W1517" s="49"/>
      <c r="X1517" s="49"/>
      <c r="Y1517" s="49"/>
      <c r="Z1517" s="49"/>
    </row>
    <row r="1518">
      <c r="A1518" s="49"/>
      <c r="B1518" s="49"/>
      <c r="C1518" s="91"/>
      <c r="D1518" s="49"/>
      <c r="E1518" s="49"/>
      <c r="F1518" s="49"/>
      <c r="G1518" s="49"/>
      <c r="H1518" s="49"/>
      <c r="I1518" s="49"/>
      <c r="J1518" s="49"/>
      <c r="K1518" s="49"/>
      <c r="L1518" s="49"/>
      <c r="M1518" s="49"/>
      <c r="N1518" s="49"/>
      <c r="O1518" s="49"/>
      <c r="P1518" s="49"/>
      <c r="Q1518" s="49"/>
      <c r="R1518" s="49"/>
      <c r="S1518" s="49"/>
      <c r="T1518" s="49"/>
      <c r="U1518" s="49"/>
      <c r="V1518" s="49"/>
      <c r="W1518" s="49"/>
      <c r="X1518" s="49"/>
      <c r="Y1518" s="49"/>
      <c r="Z1518" s="49"/>
    </row>
    <row r="1519">
      <c r="A1519" s="49"/>
      <c r="B1519" s="49"/>
      <c r="C1519" s="91"/>
      <c r="D1519" s="49"/>
      <c r="E1519" s="49"/>
      <c r="F1519" s="49"/>
      <c r="G1519" s="49"/>
      <c r="H1519" s="49"/>
      <c r="I1519" s="49"/>
      <c r="J1519" s="49"/>
      <c r="K1519" s="49"/>
      <c r="L1519" s="49"/>
      <c r="M1519" s="49"/>
      <c r="N1519" s="49"/>
      <c r="O1519" s="49"/>
      <c r="P1519" s="49"/>
      <c r="Q1519" s="49"/>
      <c r="R1519" s="49"/>
      <c r="S1519" s="49"/>
      <c r="T1519" s="49"/>
      <c r="U1519" s="49"/>
      <c r="V1519" s="49"/>
      <c r="W1519" s="49"/>
      <c r="X1519" s="49"/>
      <c r="Y1519" s="49"/>
      <c r="Z1519" s="49"/>
    </row>
    <row r="1520">
      <c r="A1520" s="49"/>
      <c r="B1520" s="49"/>
      <c r="C1520" s="91"/>
      <c r="D1520" s="49"/>
      <c r="E1520" s="49"/>
      <c r="F1520" s="49"/>
      <c r="G1520" s="49"/>
      <c r="H1520" s="49"/>
      <c r="I1520" s="49"/>
      <c r="J1520" s="49"/>
      <c r="K1520" s="49"/>
      <c r="L1520" s="49"/>
      <c r="M1520" s="49"/>
      <c r="N1520" s="49"/>
      <c r="O1520" s="49"/>
      <c r="P1520" s="49"/>
      <c r="Q1520" s="49"/>
      <c r="R1520" s="49"/>
      <c r="S1520" s="49"/>
      <c r="T1520" s="49"/>
      <c r="U1520" s="49"/>
      <c r="V1520" s="49"/>
      <c r="W1520" s="49"/>
      <c r="X1520" s="49"/>
      <c r="Y1520" s="49"/>
      <c r="Z1520" s="49"/>
    </row>
    <row r="1521">
      <c r="A1521" s="49"/>
      <c r="B1521" s="49"/>
      <c r="C1521" s="91"/>
      <c r="D1521" s="49"/>
      <c r="E1521" s="49"/>
      <c r="F1521" s="49"/>
      <c r="G1521" s="49"/>
      <c r="H1521" s="49"/>
      <c r="I1521" s="49"/>
      <c r="J1521" s="49"/>
      <c r="K1521" s="49"/>
      <c r="L1521" s="49"/>
      <c r="M1521" s="49"/>
      <c r="N1521" s="49"/>
      <c r="O1521" s="49"/>
      <c r="P1521" s="49"/>
      <c r="Q1521" s="49"/>
      <c r="R1521" s="49"/>
      <c r="S1521" s="49"/>
      <c r="T1521" s="49"/>
      <c r="U1521" s="49"/>
      <c r="V1521" s="49"/>
      <c r="W1521" s="49"/>
      <c r="X1521" s="49"/>
      <c r="Y1521" s="49"/>
      <c r="Z1521" s="49"/>
    </row>
    <row r="1522">
      <c r="A1522" s="49"/>
      <c r="B1522" s="49"/>
      <c r="C1522" s="91"/>
      <c r="D1522" s="49"/>
      <c r="E1522" s="49"/>
      <c r="F1522" s="49"/>
      <c r="G1522" s="49"/>
      <c r="H1522" s="49"/>
      <c r="I1522" s="49"/>
      <c r="J1522" s="49"/>
      <c r="K1522" s="49"/>
      <c r="L1522" s="49"/>
      <c r="M1522" s="49"/>
      <c r="N1522" s="49"/>
      <c r="O1522" s="49"/>
      <c r="P1522" s="49"/>
      <c r="Q1522" s="49"/>
      <c r="R1522" s="49"/>
      <c r="S1522" s="49"/>
      <c r="T1522" s="49"/>
      <c r="U1522" s="49"/>
      <c r="V1522" s="49"/>
      <c r="W1522" s="49"/>
      <c r="X1522" s="49"/>
      <c r="Y1522" s="49"/>
      <c r="Z1522" s="49"/>
    </row>
    <row r="1523">
      <c r="A1523" s="49"/>
      <c r="B1523" s="49"/>
      <c r="C1523" s="91"/>
      <c r="D1523" s="49"/>
      <c r="E1523" s="49"/>
      <c r="F1523" s="49"/>
      <c r="G1523" s="49"/>
      <c r="H1523" s="49"/>
      <c r="I1523" s="49"/>
      <c r="J1523" s="49"/>
      <c r="K1523" s="49"/>
      <c r="L1523" s="49"/>
      <c r="M1523" s="49"/>
      <c r="N1523" s="49"/>
      <c r="O1523" s="49"/>
      <c r="P1523" s="49"/>
      <c r="Q1523" s="49"/>
      <c r="R1523" s="49"/>
      <c r="S1523" s="49"/>
      <c r="T1523" s="49"/>
      <c r="U1523" s="49"/>
      <c r="V1523" s="49"/>
      <c r="W1523" s="49"/>
      <c r="X1523" s="49"/>
      <c r="Y1523" s="49"/>
      <c r="Z1523" s="49"/>
    </row>
    <row r="1524">
      <c r="A1524" s="49"/>
      <c r="B1524" s="49"/>
      <c r="C1524" s="91"/>
      <c r="D1524" s="49"/>
      <c r="E1524" s="49"/>
      <c r="F1524" s="49"/>
      <c r="G1524" s="49"/>
      <c r="H1524" s="49"/>
      <c r="I1524" s="49"/>
      <c r="J1524" s="49"/>
      <c r="K1524" s="49"/>
      <c r="L1524" s="49"/>
      <c r="M1524" s="49"/>
      <c r="N1524" s="49"/>
      <c r="O1524" s="49"/>
      <c r="P1524" s="49"/>
      <c r="Q1524" s="49"/>
      <c r="R1524" s="49"/>
      <c r="S1524" s="49"/>
      <c r="T1524" s="49"/>
      <c r="U1524" s="49"/>
      <c r="V1524" s="49"/>
      <c r="W1524" s="49"/>
      <c r="X1524" s="49"/>
      <c r="Y1524" s="49"/>
      <c r="Z1524" s="49"/>
    </row>
    <row r="1525">
      <c r="A1525" s="49"/>
      <c r="B1525" s="49"/>
      <c r="C1525" s="91"/>
      <c r="D1525" s="49"/>
      <c r="E1525" s="49"/>
      <c r="F1525" s="49"/>
      <c r="G1525" s="49"/>
      <c r="H1525" s="49"/>
      <c r="I1525" s="49"/>
      <c r="J1525" s="49"/>
      <c r="K1525" s="49"/>
      <c r="L1525" s="49"/>
      <c r="M1525" s="49"/>
      <c r="N1525" s="49"/>
      <c r="O1525" s="49"/>
      <c r="P1525" s="49"/>
      <c r="Q1525" s="49"/>
      <c r="R1525" s="49"/>
      <c r="S1525" s="49"/>
      <c r="T1525" s="49"/>
      <c r="U1525" s="49"/>
      <c r="V1525" s="49"/>
      <c r="W1525" s="49"/>
      <c r="X1525" s="49"/>
      <c r="Y1525" s="49"/>
      <c r="Z1525" s="49"/>
    </row>
    <row r="1526">
      <c r="A1526" s="49"/>
      <c r="B1526" s="49"/>
      <c r="C1526" s="91"/>
      <c r="D1526" s="49"/>
      <c r="E1526" s="49"/>
      <c r="F1526" s="49"/>
      <c r="G1526" s="49"/>
      <c r="H1526" s="49"/>
      <c r="I1526" s="49"/>
      <c r="J1526" s="49"/>
      <c r="K1526" s="49"/>
      <c r="L1526" s="49"/>
      <c r="M1526" s="49"/>
      <c r="N1526" s="49"/>
      <c r="O1526" s="49"/>
      <c r="P1526" s="49"/>
      <c r="Q1526" s="49"/>
      <c r="R1526" s="49"/>
      <c r="S1526" s="49"/>
      <c r="T1526" s="49"/>
      <c r="U1526" s="49"/>
      <c r="V1526" s="49"/>
      <c r="W1526" s="49"/>
      <c r="X1526" s="49"/>
      <c r="Y1526" s="49"/>
      <c r="Z1526" s="49"/>
    </row>
    <row r="1527">
      <c r="A1527" s="49"/>
      <c r="B1527" s="49"/>
      <c r="C1527" s="91"/>
      <c r="D1527" s="49"/>
      <c r="E1527" s="49"/>
      <c r="F1527" s="49"/>
      <c r="G1527" s="49"/>
      <c r="H1527" s="49"/>
      <c r="I1527" s="49"/>
      <c r="J1527" s="49"/>
      <c r="K1527" s="49"/>
      <c r="L1527" s="49"/>
      <c r="M1527" s="49"/>
      <c r="N1527" s="49"/>
      <c r="O1527" s="49"/>
      <c r="P1527" s="49"/>
      <c r="Q1527" s="49"/>
      <c r="R1527" s="49"/>
      <c r="S1527" s="49"/>
      <c r="T1527" s="49"/>
      <c r="U1527" s="49"/>
      <c r="V1527" s="49"/>
      <c r="W1527" s="49"/>
      <c r="X1527" s="49"/>
      <c r="Y1527" s="49"/>
      <c r="Z1527" s="49"/>
    </row>
    <row r="1528">
      <c r="A1528" s="49"/>
      <c r="B1528" s="49"/>
      <c r="C1528" s="91"/>
      <c r="D1528" s="49"/>
      <c r="E1528" s="49"/>
      <c r="F1528" s="49"/>
      <c r="G1528" s="49"/>
      <c r="H1528" s="49"/>
      <c r="I1528" s="49"/>
      <c r="J1528" s="49"/>
      <c r="K1528" s="49"/>
      <c r="L1528" s="49"/>
      <c r="M1528" s="49"/>
      <c r="N1528" s="49"/>
      <c r="O1528" s="49"/>
      <c r="P1528" s="49"/>
      <c r="Q1528" s="49"/>
      <c r="R1528" s="49"/>
      <c r="S1528" s="49"/>
      <c r="T1528" s="49"/>
      <c r="U1528" s="49"/>
      <c r="V1528" s="49"/>
      <c r="W1528" s="49"/>
      <c r="X1528" s="49"/>
      <c r="Y1528" s="49"/>
      <c r="Z1528" s="49"/>
    </row>
    <row r="1529">
      <c r="A1529" s="49"/>
      <c r="B1529" s="49"/>
      <c r="C1529" s="91"/>
      <c r="D1529" s="49"/>
      <c r="E1529" s="49"/>
      <c r="F1529" s="49"/>
      <c r="G1529" s="49"/>
      <c r="H1529" s="49"/>
      <c r="I1529" s="49"/>
      <c r="J1529" s="49"/>
      <c r="K1529" s="49"/>
      <c r="L1529" s="49"/>
      <c r="M1529" s="49"/>
      <c r="N1529" s="49"/>
      <c r="O1529" s="49"/>
      <c r="P1529" s="49"/>
      <c r="Q1529" s="49"/>
      <c r="R1529" s="49"/>
      <c r="S1529" s="49"/>
      <c r="T1529" s="49"/>
      <c r="U1529" s="49"/>
      <c r="V1529" s="49"/>
      <c r="W1529" s="49"/>
      <c r="X1529" s="49"/>
      <c r="Y1529" s="49"/>
      <c r="Z1529" s="49"/>
    </row>
    <row r="1530">
      <c r="A1530" s="49"/>
      <c r="B1530" s="49"/>
      <c r="C1530" s="91"/>
      <c r="D1530" s="49"/>
      <c r="E1530" s="49"/>
      <c r="F1530" s="49"/>
      <c r="G1530" s="49"/>
      <c r="H1530" s="49"/>
      <c r="I1530" s="49"/>
      <c r="J1530" s="49"/>
      <c r="K1530" s="49"/>
      <c r="L1530" s="49"/>
      <c r="M1530" s="49"/>
      <c r="N1530" s="49"/>
      <c r="O1530" s="49"/>
      <c r="P1530" s="49"/>
      <c r="Q1530" s="49"/>
      <c r="R1530" s="49"/>
      <c r="S1530" s="49"/>
      <c r="T1530" s="49"/>
      <c r="U1530" s="49"/>
      <c r="V1530" s="49"/>
      <c r="W1530" s="49"/>
      <c r="X1530" s="49"/>
      <c r="Y1530" s="49"/>
      <c r="Z1530" s="49"/>
    </row>
    <row r="1531">
      <c r="A1531" s="49"/>
      <c r="B1531" s="49"/>
      <c r="C1531" s="91"/>
      <c r="D1531" s="49"/>
      <c r="E1531" s="49"/>
      <c r="F1531" s="49"/>
      <c r="G1531" s="49"/>
      <c r="H1531" s="49"/>
      <c r="I1531" s="49"/>
      <c r="J1531" s="49"/>
      <c r="K1531" s="49"/>
      <c r="L1531" s="49"/>
      <c r="M1531" s="49"/>
      <c r="N1531" s="49"/>
      <c r="O1531" s="49"/>
      <c r="P1531" s="49"/>
      <c r="Q1531" s="49"/>
      <c r="R1531" s="49"/>
      <c r="S1531" s="49"/>
      <c r="T1531" s="49"/>
      <c r="U1531" s="49"/>
      <c r="V1531" s="49"/>
      <c r="W1531" s="49"/>
      <c r="X1531" s="49"/>
      <c r="Y1531" s="49"/>
      <c r="Z1531" s="49"/>
    </row>
    <row r="1532">
      <c r="A1532" s="49"/>
      <c r="B1532" s="49"/>
      <c r="C1532" s="91"/>
      <c r="D1532" s="49"/>
      <c r="E1532" s="49"/>
      <c r="F1532" s="49"/>
      <c r="G1532" s="49"/>
      <c r="H1532" s="49"/>
      <c r="I1532" s="49"/>
      <c r="J1532" s="49"/>
      <c r="K1532" s="49"/>
      <c r="L1532" s="49"/>
      <c r="M1532" s="49"/>
      <c r="N1532" s="49"/>
      <c r="O1532" s="49"/>
      <c r="P1532" s="49"/>
      <c r="Q1532" s="49"/>
      <c r="R1532" s="49"/>
      <c r="S1532" s="49"/>
      <c r="T1532" s="49"/>
      <c r="U1532" s="49"/>
      <c r="V1532" s="49"/>
      <c r="W1532" s="49"/>
      <c r="X1532" s="49"/>
      <c r="Y1532" s="49"/>
      <c r="Z1532" s="49"/>
    </row>
    <row r="1533">
      <c r="A1533" s="49"/>
      <c r="B1533" s="49"/>
      <c r="C1533" s="91"/>
      <c r="D1533" s="49"/>
      <c r="E1533" s="49"/>
      <c r="F1533" s="49"/>
      <c r="G1533" s="49"/>
      <c r="H1533" s="49"/>
      <c r="I1533" s="49"/>
      <c r="J1533" s="49"/>
      <c r="K1533" s="49"/>
      <c r="L1533" s="49"/>
      <c r="M1533" s="49"/>
      <c r="N1533" s="49"/>
      <c r="O1533" s="49"/>
      <c r="P1533" s="49"/>
      <c r="Q1533" s="49"/>
      <c r="R1533" s="49"/>
      <c r="S1533" s="49"/>
      <c r="T1533" s="49"/>
      <c r="U1533" s="49"/>
      <c r="V1533" s="49"/>
      <c r="W1533" s="49"/>
      <c r="X1533" s="49"/>
      <c r="Y1533" s="49"/>
      <c r="Z1533" s="49"/>
    </row>
    <row r="1534">
      <c r="A1534" s="49"/>
      <c r="B1534" s="49"/>
      <c r="C1534" s="91"/>
      <c r="D1534" s="49"/>
      <c r="E1534" s="49"/>
      <c r="F1534" s="49"/>
      <c r="G1534" s="49"/>
      <c r="H1534" s="49"/>
      <c r="I1534" s="49"/>
      <c r="J1534" s="49"/>
      <c r="K1534" s="49"/>
      <c r="L1534" s="49"/>
      <c r="M1534" s="49"/>
      <c r="N1534" s="49"/>
      <c r="O1534" s="49"/>
      <c r="P1534" s="49"/>
      <c r="Q1534" s="49"/>
      <c r="R1534" s="49"/>
      <c r="S1534" s="49"/>
      <c r="T1534" s="49"/>
      <c r="U1534" s="49"/>
      <c r="V1534" s="49"/>
      <c r="W1534" s="49"/>
      <c r="X1534" s="49"/>
      <c r="Y1534" s="49"/>
      <c r="Z1534" s="49"/>
    </row>
    <row r="1535">
      <c r="A1535" s="49"/>
      <c r="B1535" s="49"/>
      <c r="C1535" s="91"/>
      <c r="D1535" s="49"/>
      <c r="E1535" s="49"/>
      <c r="F1535" s="49"/>
      <c r="G1535" s="49"/>
      <c r="H1535" s="49"/>
      <c r="I1535" s="49"/>
      <c r="J1535" s="49"/>
      <c r="K1535" s="49"/>
      <c r="L1535" s="49"/>
      <c r="M1535" s="49"/>
      <c r="N1535" s="49"/>
      <c r="O1535" s="49"/>
      <c r="P1535" s="49"/>
      <c r="Q1535" s="49"/>
      <c r="R1535" s="49"/>
      <c r="S1535" s="49"/>
      <c r="T1535" s="49"/>
      <c r="U1535" s="49"/>
      <c r="V1535" s="49"/>
      <c r="W1535" s="49"/>
      <c r="X1535" s="49"/>
      <c r="Y1535" s="49"/>
      <c r="Z1535" s="49"/>
    </row>
    <row r="1536">
      <c r="A1536" s="49"/>
      <c r="B1536" s="49"/>
      <c r="C1536" s="91"/>
      <c r="D1536" s="49"/>
      <c r="E1536" s="49"/>
      <c r="F1536" s="49"/>
      <c r="G1536" s="49"/>
      <c r="H1536" s="49"/>
      <c r="I1536" s="49"/>
      <c r="J1536" s="49"/>
      <c r="K1536" s="49"/>
      <c r="L1536" s="49"/>
      <c r="M1536" s="49"/>
      <c r="N1536" s="49"/>
      <c r="O1536" s="49"/>
      <c r="P1536" s="49"/>
      <c r="Q1536" s="49"/>
      <c r="R1536" s="49"/>
      <c r="S1536" s="49"/>
      <c r="T1536" s="49"/>
      <c r="U1536" s="49"/>
      <c r="V1536" s="49"/>
      <c r="W1536" s="49"/>
      <c r="X1536" s="49"/>
      <c r="Y1536" s="49"/>
      <c r="Z1536" s="49"/>
    </row>
    <row r="1537">
      <c r="A1537" s="49"/>
      <c r="B1537" s="49"/>
      <c r="C1537" s="91"/>
      <c r="D1537" s="49"/>
      <c r="E1537" s="49"/>
      <c r="F1537" s="49"/>
      <c r="G1537" s="49"/>
      <c r="H1537" s="49"/>
      <c r="I1537" s="49"/>
      <c r="J1537" s="49"/>
      <c r="K1537" s="49"/>
      <c r="L1537" s="49"/>
      <c r="M1537" s="49"/>
      <c r="N1537" s="49"/>
      <c r="O1537" s="49"/>
      <c r="P1537" s="49"/>
      <c r="Q1537" s="49"/>
      <c r="R1537" s="49"/>
      <c r="S1537" s="49"/>
      <c r="T1537" s="49"/>
      <c r="U1537" s="49"/>
      <c r="V1537" s="49"/>
      <c r="W1537" s="49"/>
      <c r="X1537" s="49"/>
      <c r="Y1537" s="49"/>
      <c r="Z1537" s="49"/>
    </row>
    <row r="1538">
      <c r="A1538" s="49"/>
      <c r="B1538" s="49"/>
      <c r="C1538" s="91"/>
      <c r="D1538" s="49"/>
      <c r="E1538" s="49"/>
      <c r="F1538" s="49"/>
      <c r="G1538" s="49"/>
      <c r="H1538" s="49"/>
      <c r="I1538" s="49"/>
      <c r="J1538" s="49"/>
      <c r="K1538" s="49"/>
      <c r="L1538" s="49"/>
      <c r="M1538" s="49"/>
      <c r="N1538" s="49"/>
      <c r="O1538" s="49"/>
      <c r="P1538" s="49"/>
      <c r="Q1538" s="49"/>
      <c r="R1538" s="49"/>
      <c r="S1538" s="49"/>
      <c r="T1538" s="49"/>
      <c r="U1538" s="49"/>
      <c r="V1538" s="49"/>
      <c r="W1538" s="49"/>
      <c r="X1538" s="49"/>
      <c r="Y1538" s="49"/>
      <c r="Z1538" s="49"/>
    </row>
    <row r="1539">
      <c r="A1539" s="49"/>
      <c r="B1539" s="49"/>
      <c r="C1539" s="91"/>
      <c r="D1539" s="49"/>
      <c r="E1539" s="49"/>
      <c r="F1539" s="49"/>
      <c r="G1539" s="49"/>
      <c r="H1539" s="49"/>
      <c r="I1539" s="49"/>
      <c r="J1539" s="49"/>
      <c r="K1539" s="49"/>
      <c r="L1539" s="49"/>
      <c r="M1539" s="49"/>
      <c r="N1539" s="49"/>
      <c r="O1539" s="49"/>
      <c r="P1539" s="49"/>
      <c r="Q1539" s="49"/>
      <c r="R1539" s="49"/>
      <c r="S1539" s="49"/>
      <c r="T1539" s="49"/>
      <c r="U1539" s="49"/>
      <c r="V1539" s="49"/>
      <c r="W1539" s="49"/>
      <c r="X1539" s="49"/>
      <c r="Y1539" s="49"/>
      <c r="Z1539" s="49"/>
    </row>
    <row r="1540">
      <c r="A1540" s="49"/>
      <c r="B1540" s="49"/>
      <c r="C1540" s="91"/>
      <c r="D1540" s="49"/>
      <c r="E1540" s="49"/>
      <c r="F1540" s="49"/>
      <c r="G1540" s="49"/>
      <c r="H1540" s="49"/>
      <c r="I1540" s="49"/>
      <c r="J1540" s="49"/>
      <c r="K1540" s="49"/>
      <c r="L1540" s="49"/>
      <c r="M1540" s="49"/>
      <c r="N1540" s="49"/>
      <c r="O1540" s="49"/>
      <c r="P1540" s="49"/>
      <c r="Q1540" s="49"/>
      <c r="R1540" s="49"/>
      <c r="S1540" s="49"/>
      <c r="T1540" s="49"/>
      <c r="U1540" s="49"/>
      <c r="V1540" s="49"/>
      <c r="W1540" s="49"/>
      <c r="X1540" s="49"/>
      <c r="Y1540" s="49"/>
      <c r="Z1540" s="49"/>
    </row>
    <row r="1541">
      <c r="A1541" s="49"/>
      <c r="B1541" s="49"/>
      <c r="C1541" s="91"/>
      <c r="D1541" s="49"/>
      <c r="E1541" s="49"/>
      <c r="F1541" s="49"/>
      <c r="G1541" s="49"/>
      <c r="H1541" s="49"/>
      <c r="I1541" s="49"/>
      <c r="J1541" s="49"/>
      <c r="K1541" s="49"/>
      <c r="L1541" s="49"/>
      <c r="M1541" s="49"/>
      <c r="N1541" s="49"/>
      <c r="O1541" s="49"/>
      <c r="P1541" s="49"/>
      <c r="Q1541" s="49"/>
      <c r="R1541" s="49"/>
      <c r="S1541" s="49"/>
      <c r="T1541" s="49"/>
      <c r="U1541" s="49"/>
      <c r="V1541" s="49"/>
      <c r="W1541" s="49"/>
      <c r="X1541" s="49"/>
      <c r="Y1541" s="49"/>
      <c r="Z1541" s="49"/>
    </row>
    <row r="1542">
      <c r="A1542" s="49"/>
      <c r="B1542" s="49"/>
      <c r="C1542" s="91"/>
      <c r="D1542" s="49"/>
      <c r="E1542" s="49"/>
      <c r="F1542" s="49"/>
      <c r="G1542" s="49"/>
      <c r="H1542" s="49"/>
      <c r="I1542" s="49"/>
      <c r="J1542" s="49"/>
      <c r="K1542" s="49"/>
      <c r="L1542" s="49"/>
      <c r="M1542" s="49"/>
      <c r="N1542" s="49"/>
      <c r="O1542" s="49"/>
      <c r="P1542" s="49"/>
      <c r="Q1542" s="49"/>
      <c r="R1542" s="49"/>
      <c r="S1542" s="49"/>
      <c r="T1542" s="49"/>
      <c r="U1542" s="49"/>
      <c r="V1542" s="49"/>
      <c r="W1542" s="49"/>
      <c r="X1542" s="49"/>
      <c r="Y1542" s="49"/>
      <c r="Z1542" s="49"/>
    </row>
    <row r="1543">
      <c r="A1543" s="49"/>
      <c r="B1543" s="49"/>
      <c r="C1543" s="91"/>
      <c r="D1543" s="49"/>
      <c r="E1543" s="49"/>
      <c r="F1543" s="49"/>
      <c r="G1543" s="49"/>
      <c r="H1543" s="49"/>
      <c r="I1543" s="49"/>
      <c r="J1543" s="49"/>
      <c r="K1543" s="49"/>
      <c r="L1543" s="49"/>
      <c r="M1543" s="49"/>
      <c r="N1543" s="49"/>
      <c r="O1543" s="49"/>
      <c r="P1543" s="49"/>
      <c r="Q1543" s="49"/>
      <c r="R1543" s="49"/>
      <c r="S1543" s="49"/>
      <c r="T1543" s="49"/>
      <c r="U1543" s="49"/>
      <c r="V1543" s="49"/>
      <c r="W1543" s="49"/>
      <c r="X1543" s="49"/>
      <c r="Y1543" s="49"/>
      <c r="Z1543" s="49"/>
    </row>
    <row r="1544">
      <c r="A1544" s="49"/>
      <c r="B1544" s="49"/>
      <c r="C1544" s="91"/>
      <c r="D1544" s="49"/>
      <c r="E1544" s="49"/>
      <c r="F1544" s="49"/>
      <c r="G1544" s="49"/>
      <c r="H1544" s="49"/>
      <c r="I1544" s="49"/>
      <c r="J1544" s="49"/>
      <c r="K1544" s="49"/>
      <c r="L1544" s="49"/>
      <c r="M1544" s="49"/>
      <c r="N1544" s="49"/>
      <c r="O1544" s="49"/>
      <c r="P1544" s="49"/>
      <c r="Q1544" s="49"/>
      <c r="R1544" s="49"/>
      <c r="S1544" s="49"/>
      <c r="T1544" s="49"/>
      <c r="U1544" s="49"/>
      <c r="V1544" s="49"/>
      <c r="W1544" s="49"/>
      <c r="X1544" s="49"/>
      <c r="Y1544" s="49"/>
      <c r="Z1544" s="49"/>
    </row>
    <row r="1545">
      <c r="A1545" s="49"/>
      <c r="B1545" s="49"/>
      <c r="C1545" s="91"/>
      <c r="D1545" s="49"/>
      <c r="E1545" s="49"/>
      <c r="F1545" s="49"/>
      <c r="G1545" s="49"/>
      <c r="H1545" s="49"/>
      <c r="I1545" s="49"/>
      <c r="J1545" s="49"/>
      <c r="K1545" s="49"/>
      <c r="L1545" s="49"/>
      <c r="M1545" s="49"/>
      <c r="N1545" s="49"/>
      <c r="O1545" s="49"/>
      <c r="P1545" s="49"/>
      <c r="Q1545" s="49"/>
      <c r="R1545" s="49"/>
      <c r="S1545" s="49"/>
      <c r="T1545" s="49"/>
      <c r="U1545" s="49"/>
      <c r="V1545" s="49"/>
      <c r="W1545" s="49"/>
      <c r="X1545" s="49"/>
      <c r="Y1545" s="49"/>
      <c r="Z1545" s="49"/>
    </row>
    <row r="1546">
      <c r="A1546" s="49"/>
      <c r="B1546" s="49"/>
      <c r="C1546" s="91"/>
      <c r="D1546" s="49"/>
      <c r="E1546" s="49"/>
      <c r="F1546" s="49"/>
      <c r="G1546" s="49"/>
      <c r="H1546" s="49"/>
      <c r="I1546" s="49"/>
      <c r="J1546" s="49"/>
      <c r="K1546" s="49"/>
      <c r="L1546" s="49"/>
      <c r="M1546" s="49"/>
      <c r="N1546" s="49"/>
      <c r="O1546" s="49"/>
      <c r="P1546" s="49"/>
      <c r="Q1546" s="49"/>
      <c r="R1546" s="49"/>
      <c r="S1546" s="49"/>
      <c r="T1546" s="49"/>
      <c r="U1546" s="49"/>
      <c r="V1546" s="49"/>
      <c r="W1546" s="49"/>
      <c r="X1546" s="49"/>
      <c r="Y1546" s="49"/>
      <c r="Z1546" s="49"/>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6"/>
    <hyperlink r:id="rId35" ref="J37"/>
    <hyperlink r:id="rId36" ref="J38"/>
    <hyperlink r:id="rId37" ref="J39"/>
    <hyperlink r:id="rId38" ref="J40"/>
    <hyperlink r:id="rId39" ref="J41"/>
    <hyperlink r:id="rId40" ref="J42"/>
    <hyperlink r:id="rId41" ref="J43"/>
    <hyperlink r:id="rId42" ref="J44"/>
    <hyperlink r:id="rId43" ref="J45"/>
    <hyperlink r:id="rId44" ref="J46"/>
    <hyperlink r:id="rId45" ref="J47"/>
    <hyperlink r:id="rId46" ref="J48"/>
    <hyperlink r:id="rId47" ref="J49"/>
    <hyperlink r:id="rId48" ref="J50"/>
    <hyperlink r:id="rId49" ref="J51"/>
    <hyperlink r:id="rId50" ref="J52"/>
    <hyperlink r:id="rId51" ref="J53"/>
    <hyperlink r:id="rId52" ref="J54"/>
    <hyperlink r:id="rId53" ref="J55"/>
    <hyperlink r:id="rId54" ref="J56"/>
    <hyperlink r:id="rId55" ref="J57"/>
    <hyperlink r:id="rId56" ref="J58"/>
    <hyperlink r:id="rId57" ref="J59"/>
    <hyperlink r:id="rId58" ref="J60"/>
    <hyperlink r:id="rId59" ref="J61"/>
    <hyperlink r:id="rId60" ref="J62"/>
    <hyperlink r:id="rId61" ref="J63"/>
    <hyperlink r:id="rId62" ref="J64"/>
    <hyperlink r:id="rId63" ref="J65"/>
    <hyperlink r:id="rId64" ref="J66"/>
    <hyperlink r:id="rId65" ref="J67"/>
    <hyperlink r:id="rId66" ref="J68"/>
    <hyperlink r:id="rId67" ref="J69"/>
    <hyperlink r:id="rId68" ref="J70"/>
    <hyperlink r:id="rId69" ref="J71"/>
    <hyperlink r:id="rId70" ref="J72"/>
    <hyperlink r:id="rId71" ref="J73"/>
    <hyperlink r:id="rId72" ref="J74"/>
    <hyperlink r:id="rId73" ref="J75"/>
    <hyperlink r:id="rId74" ref="J76"/>
    <hyperlink r:id="rId75" ref="J77"/>
    <hyperlink r:id="rId76" ref="J78"/>
    <hyperlink r:id="rId77" ref="J79"/>
    <hyperlink r:id="rId78" ref="J80"/>
    <hyperlink r:id="rId79" ref="J81"/>
    <hyperlink r:id="rId80" ref="J83"/>
    <hyperlink r:id="rId81" ref="J84"/>
    <hyperlink r:id="rId82" ref="J85"/>
    <hyperlink r:id="rId83" ref="J86"/>
    <hyperlink r:id="rId84" ref="J87"/>
    <hyperlink r:id="rId85" ref="J88"/>
    <hyperlink r:id="rId86" ref="J89"/>
    <hyperlink r:id="rId87" ref="J90"/>
    <hyperlink r:id="rId88" ref="J91"/>
    <hyperlink r:id="rId89" ref="J92"/>
    <hyperlink r:id="rId90" ref="J93"/>
    <hyperlink r:id="rId91" ref="J94"/>
    <hyperlink r:id="rId92" ref="J95"/>
    <hyperlink r:id="rId93" ref="J96"/>
    <hyperlink r:id="rId94" ref="J97"/>
    <hyperlink r:id="rId95" ref="J98"/>
    <hyperlink r:id="rId96" ref="J99"/>
    <hyperlink r:id="rId97" ref="J100"/>
    <hyperlink r:id="rId98" ref="J101"/>
    <hyperlink r:id="rId99" ref="J102"/>
    <hyperlink r:id="rId100" ref="J103"/>
    <hyperlink r:id="rId101" ref="J104"/>
    <hyperlink r:id="rId102" ref="J105"/>
    <hyperlink r:id="rId103" ref="J106"/>
    <hyperlink r:id="rId104" ref="J107"/>
    <hyperlink r:id="rId105" ref="J108"/>
    <hyperlink r:id="rId106" ref="J109"/>
    <hyperlink r:id="rId107" ref="J110"/>
    <hyperlink r:id="rId108" ref="J111"/>
    <hyperlink r:id="rId109" ref="J112"/>
    <hyperlink r:id="rId110" ref="J113"/>
    <hyperlink r:id="rId111" ref="J114"/>
    <hyperlink r:id="rId112" ref="J115"/>
    <hyperlink r:id="rId113" ref="J116"/>
    <hyperlink r:id="rId114" ref="J117"/>
    <hyperlink r:id="rId115" ref="J118"/>
    <hyperlink r:id="rId116" ref="J120"/>
    <hyperlink r:id="rId117" ref="J121"/>
    <hyperlink r:id="rId118" ref="J122"/>
    <hyperlink r:id="rId119" ref="J123"/>
    <hyperlink r:id="rId120" ref="J124"/>
    <hyperlink r:id="rId121" ref="J125"/>
    <hyperlink r:id="rId122" ref="J126"/>
    <hyperlink r:id="rId123" ref="J128"/>
    <hyperlink r:id="rId124" ref="J129"/>
    <hyperlink r:id="rId125" ref="J130"/>
    <hyperlink r:id="rId126" ref="J132"/>
    <hyperlink r:id="rId127" ref="J133"/>
    <hyperlink r:id="rId128" ref="J134"/>
    <hyperlink r:id="rId129" ref="J135"/>
    <hyperlink r:id="rId130" ref="J136"/>
    <hyperlink r:id="rId131" ref="J137"/>
    <hyperlink r:id="rId132" ref="J138"/>
    <hyperlink r:id="rId133" ref="J139"/>
    <hyperlink r:id="rId134" ref="J140"/>
    <hyperlink r:id="rId135" ref="J141"/>
    <hyperlink r:id="rId136" ref="J142"/>
    <hyperlink r:id="rId137" ref="J143"/>
    <hyperlink r:id="rId138" ref="J144"/>
    <hyperlink r:id="rId139" ref="J145"/>
    <hyperlink r:id="rId140" ref="J146"/>
    <hyperlink r:id="rId141" ref="J147"/>
    <hyperlink r:id="rId142" ref="J148"/>
    <hyperlink r:id="rId143" ref="J149"/>
    <hyperlink r:id="rId144" ref="J150"/>
    <hyperlink r:id="rId145" ref="J151"/>
    <hyperlink r:id="rId146" ref="J152"/>
    <hyperlink r:id="rId147" ref="J153"/>
    <hyperlink r:id="rId148" ref="J154"/>
    <hyperlink r:id="rId149" ref="J155"/>
    <hyperlink r:id="rId150" ref="J156"/>
    <hyperlink r:id="rId151" ref="J157"/>
    <hyperlink r:id="rId152" ref="J158"/>
    <hyperlink r:id="rId153" ref="J159"/>
    <hyperlink r:id="rId154" ref="J160"/>
    <hyperlink r:id="rId155" ref="J161"/>
    <hyperlink r:id="rId156" ref="J162"/>
    <hyperlink r:id="rId157" ref="J163"/>
    <hyperlink r:id="rId158" ref="J164"/>
    <hyperlink r:id="rId159" ref="J165"/>
    <hyperlink r:id="rId160" ref="J166"/>
    <hyperlink r:id="rId161" ref="J167"/>
    <hyperlink r:id="rId162" ref="J168"/>
    <hyperlink r:id="rId163" ref="J169"/>
    <hyperlink r:id="rId164" ref="J170"/>
    <hyperlink r:id="rId165" ref="J171"/>
    <hyperlink r:id="rId166" ref="J172"/>
    <hyperlink r:id="rId167" ref="J173"/>
    <hyperlink r:id="rId168" ref="J174"/>
    <hyperlink r:id="rId169" ref="J175"/>
    <hyperlink r:id="rId170" ref="J177"/>
    <hyperlink r:id="rId171" ref="J178"/>
    <hyperlink r:id="rId172" ref="J179"/>
    <hyperlink r:id="rId173" ref="J180"/>
    <hyperlink r:id="rId174" ref="J181"/>
    <hyperlink r:id="rId175" ref="J182"/>
    <hyperlink r:id="rId176" ref="J183"/>
    <hyperlink r:id="rId177" ref="J184"/>
    <hyperlink r:id="rId178" ref="J185"/>
    <hyperlink r:id="rId179" ref="J186"/>
    <hyperlink r:id="rId180" ref="J187"/>
    <hyperlink r:id="rId181" ref="J188"/>
    <hyperlink r:id="rId182" ref="J189"/>
    <hyperlink r:id="rId183" ref="J190"/>
    <hyperlink r:id="rId184" ref="J191"/>
    <hyperlink r:id="rId185" ref="J192"/>
    <hyperlink r:id="rId186" ref="J193"/>
    <hyperlink r:id="rId187" ref="J194"/>
    <hyperlink r:id="rId188" ref="J195"/>
    <hyperlink r:id="rId189" ref="J196"/>
    <hyperlink r:id="rId190" ref="J197"/>
    <hyperlink r:id="rId191" ref="J198"/>
    <hyperlink r:id="rId192" ref="J199"/>
    <hyperlink r:id="rId193" ref="J200"/>
    <hyperlink r:id="rId194" ref="J201"/>
    <hyperlink r:id="rId195" ref="J202"/>
    <hyperlink r:id="rId196" ref="J203"/>
    <hyperlink r:id="rId197" ref="J204"/>
    <hyperlink r:id="rId198" ref="J205"/>
    <hyperlink r:id="rId199" ref="J206"/>
    <hyperlink r:id="rId200" ref="J207"/>
    <hyperlink r:id="rId201" ref="J208"/>
    <hyperlink r:id="rId202" ref="J209"/>
    <hyperlink r:id="rId203" ref="J210"/>
    <hyperlink r:id="rId204" ref="J211"/>
    <hyperlink r:id="rId205" ref="J212"/>
    <hyperlink r:id="rId206" ref="J213"/>
    <hyperlink r:id="rId207" ref="J214"/>
    <hyperlink r:id="rId208" ref="J217"/>
    <hyperlink r:id="rId209" ref="J218"/>
    <hyperlink r:id="rId210" ref="J219"/>
    <hyperlink r:id="rId211" ref="J220"/>
    <hyperlink r:id="rId212" ref="J221"/>
    <hyperlink r:id="rId213" ref="J222"/>
    <hyperlink r:id="rId214" ref="J224"/>
    <hyperlink r:id="rId215" ref="J225"/>
    <hyperlink r:id="rId216" ref="J226"/>
    <hyperlink r:id="rId217" ref="J227"/>
    <hyperlink r:id="rId218" ref="J228"/>
    <hyperlink r:id="rId219" ref="J229"/>
    <hyperlink r:id="rId220" ref="J230"/>
    <hyperlink r:id="rId221" ref="J231"/>
    <hyperlink r:id="rId222" ref="J232"/>
    <hyperlink r:id="rId223" ref="J233"/>
    <hyperlink r:id="rId224" ref="J234"/>
    <hyperlink r:id="rId225" ref="J235"/>
    <hyperlink r:id="rId226" ref="J237"/>
    <hyperlink r:id="rId227" ref="J238"/>
    <hyperlink r:id="rId228" ref="J239"/>
    <hyperlink r:id="rId229" ref="J240"/>
    <hyperlink r:id="rId230" ref="J241"/>
    <hyperlink r:id="rId231" ref="J242"/>
    <hyperlink r:id="rId232" ref="J243"/>
    <hyperlink r:id="rId233" ref="J244"/>
    <hyperlink r:id="rId234" ref="J245"/>
    <hyperlink r:id="rId235" ref="J246"/>
    <hyperlink r:id="rId236" ref="J247"/>
    <hyperlink r:id="rId237" ref="J249"/>
    <hyperlink r:id="rId238" ref="J250"/>
    <hyperlink r:id="rId239" ref="J251"/>
    <hyperlink r:id="rId240" ref="J252"/>
    <hyperlink r:id="rId241" ref="J253"/>
    <hyperlink r:id="rId242" ref="J254"/>
    <hyperlink r:id="rId243" ref="J255"/>
    <hyperlink r:id="rId244" ref="J256"/>
    <hyperlink r:id="rId245" ref="J257"/>
    <hyperlink r:id="rId246" ref="J258"/>
    <hyperlink r:id="rId247" ref="J260"/>
    <hyperlink r:id="rId248" ref="J261"/>
    <hyperlink r:id="rId249" ref="J262"/>
    <hyperlink r:id="rId250" ref="J263"/>
    <hyperlink r:id="rId251" ref="J264"/>
    <hyperlink r:id="rId252" ref="J265"/>
    <hyperlink r:id="rId253" ref="J266"/>
    <hyperlink r:id="rId254" ref="J267"/>
    <hyperlink r:id="rId255" ref="J268"/>
    <hyperlink r:id="rId256" ref="J269"/>
    <hyperlink r:id="rId257" ref="J270"/>
    <hyperlink r:id="rId258" ref="J271"/>
    <hyperlink r:id="rId259" ref="J272"/>
    <hyperlink r:id="rId260" ref="J273"/>
    <hyperlink r:id="rId261" ref="J274"/>
    <hyperlink r:id="rId262" ref="J276"/>
    <hyperlink r:id="rId263" ref="J277"/>
    <hyperlink r:id="rId264" ref="J278"/>
    <hyperlink r:id="rId265" ref="J279"/>
    <hyperlink r:id="rId266" ref="J280"/>
    <hyperlink r:id="rId267" ref="J281"/>
    <hyperlink r:id="rId268" ref="J282"/>
    <hyperlink r:id="rId269" ref="J283"/>
    <hyperlink r:id="rId270" ref="J285"/>
    <hyperlink r:id="rId271" ref="J286"/>
    <hyperlink r:id="rId272" ref="J287"/>
    <hyperlink r:id="rId273" ref="J288"/>
    <hyperlink r:id="rId274" ref="J289"/>
    <hyperlink r:id="rId275" ref="J290"/>
    <hyperlink r:id="rId276" ref="J291"/>
    <hyperlink r:id="rId277" ref="J292"/>
    <hyperlink r:id="rId278" ref="J293"/>
    <hyperlink r:id="rId279" ref="J294"/>
    <hyperlink r:id="rId280" ref="J295"/>
    <hyperlink r:id="rId281" ref="J296"/>
    <hyperlink r:id="rId282" ref="J297"/>
    <hyperlink r:id="rId283" ref="J298"/>
    <hyperlink r:id="rId284" ref="J299"/>
    <hyperlink r:id="rId285" ref="J301"/>
    <hyperlink r:id="rId286" ref="J302"/>
    <hyperlink r:id="rId287" ref="J303"/>
    <hyperlink r:id="rId288" ref="J304"/>
    <hyperlink r:id="rId289" ref="J305"/>
    <hyperlink r:id="rId290" ref="J306"/>
    <hyperlink r:id="rId291" ref="J307"/>
    <hyperlink r:id="rId292" ref="J308"/>
    <hyperlink r:id="rId293" ref="J309"/>
    <hyperlink r:id="rId294" ref="J310"/>
    <hyperlink r:id="rId295" ref="J311"/>
    <hyperlink r:id="rId296" ref="J312"/>
    <hyperlink r:id="rId297" ref="J313"/>
    <hyperlink r:id="rId298" ref="J314"/>
    <hyperlink r:id="rId299" ref="J315"/>
    <hyperlink r:id="rId300" ref="J316"/>
    <hyperlink r:id="rId301" ref="J319"/>
    <hyperlink r:id="rId302" ref="J320"/>
    <hyperlink r:id="rId303" ref="J321"/>
    <hyperlink r:id="rId304" ref="J323"/>
    <hyperlink r:id="rId305" ref="J324"/>
    <hyperlink r:id="rId306" ref="J325"/>
    <hyperlink r:id="rId307" ref="J326"/>
    <hyperlink r:id="rId308" ref="J327"/>
    <hyperlink r:id="rId309" ref="J328"/>
    <hyperlink r:id="rId310" ref="J329"/>
    <hyperlink r:id="rId311" ref="J330"/>
    <hyperlink r:id="rId312" ref="J331"/>
    <hyperlink r:id="rId313" ref="J332"/>
    <hyperlink r:id="rId314" ref="J333"/>
    <hyperlink r:id="rId315" ref="J334"/>
    <hyperlink r:id="rId316" ref="J335"/>
    <hyperlink r:id="rId317" ref="J336"/>
    <hyperlink r:id="rId318" ref="J337"/>
    <hyperlink r:id="rId319" ref="J338"/>
    <hyperlink r:id="rId320" ref="J339"/>
    <hyperlink r:id="rId321" ref="J340"/>
    <hyperlink r:id="rId322" ref="J341"/>
  </hyperlinks>
  <drawing r:id="rId323"/>
  <tableParts count="2">
    <tablePart r:id="rId326"/>
    <tablePart r:id="rId32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16.5"/>
    <col customWidth="1" min="4" max="4" width="15.5"/>
    <col customWidth="1" min="5" max="5" width="27.0"/>
  </cols>
  <sheetData>
    <row r="1" ht="22.5" customHeight="1">
      <c r="A1" s="48" t="s">
        <v>2</v>
      </c>
      <c r="B1" s="48" t="s">
        <v>1</v>
      </c>
      <c r="C1" s="48" t="s">
        <v>3</v>
      </c>
      <c r="D1" s="48" t="s">
        <v>433</v>
      </c>
      <c r="E1" s="48" t="s">
        <v>435</v>
      </c>
      <c r="F1" s="49"/>
      <c r="G1" s="49"/>
      <c r="H1" s="49"/>
      <c r="I1" s="49"/>
      <c r="J1" s="49"/>
      <c r="K1" s="49"/>
      <c r="L1" s="49"/>
      <c r="M1" s="49"/>
      <c r="N1" s="49"/>
      <c r="O1" s="49"/>
      <c r="P1" s="49"/>
      <c r="Q1" s="49"/>
      <c r="R1" s="49"/>
      <c r="S1" s="49"/>
    </row>
    <row r="2" ht="22.5" customHeight="1">
      <c r="A2" s="92"/>
      <c r="B2" s="93"/>
      <c r="C2" s="94"/>
      <c r="D2" s="94"/>
      <c r="E2" s="94"/>
    </row>
    <row r="3" ht="22.5" customHeight="1">
      <c r="A3" s="92"/>
      <c r="B3" s="93"/>
      <c r="C3" s="94"/>
      <c r="D3" s="94"/>
      <c r="E3" s="94"/>
      <c r="G3" s="95" t="s">
        <v>1579</v>
      </c>
    </row>
    <row r="4" ht="22.5" customHeight="1">
      <c r="A4" s="92"/>
      <c r="B4" s="93"/>
      <c r="C4" s="94"/>
      <c r="D4" s="94"/>
      <c r="E4" s="94"/>
    </row>
    <row r="5" ht="22.5" customHeight="1">
      <c r="A5" s="92"/>
      <c r="B5" s="93"/>
      <c r="C5" s="94"/>
      <c r="D5" s="94"/>
      <c r="E5" s="94"/>
    </row>
    <row r="6" ht="22.5" customHeight="1">
      <c r="A6" s="92"/>
      <c r="B6" s="93"/>
      <c r="C6" s="94"/>
      <c r="D6" s="94"/>
      <c r="E6" s="94"/>
    </row>
    <row r="7" ht="22.5" customHeight="1">
      <c r="A7" s="92"/>
      <c r="B7" s="93"/>
      <c r="C7" s="94"/>
      <c r="D7" s="94"/>
      <c r="E7" s="94"/>
    </row>
    <row r="8" ht="22.5" customHeight="1">
      <c r="A8" s="96"/>
      <c r="B8" s="93"/>
      <c r="C8" s="94"/>
      <c r="D8" s="94"/>
      <c r="E8" s="94"/>
    </row>
    <row r="9" ht="22.5" customHeight="1">
      <c r="A9" s="92"/>
      <c r="B9" s="93"/>
      <c r="C9" s="94"/>
      <c r="D9" s="94"/>
      <c r="E9" s="94"/>
    </row>
    <row r="10" ht="22.5" customHeight="1">
      <c r="A10" s="92"/>
      <c r="B10" s="93"/>
      <c r="C10" s="94"/>
      <c r="D10" s="94"/>
      <c r="E10" s="94"/>
    </row>
    <row r="11" ht="22.5" customHeight="1">
      <c r="A11" s="92"/>
      <c r="B11" s="93"/>
      <c r="C11" s="94"/>
      <c r="D11" s="94"/>
      <c r="E11" s="94"/>
    </row>
    <row r="12" ht="22.5" customHeight="1">
      <c r="A12" s="92"/>
      <c r="B12" s="93"/>
      <c r="C12" s="94"/>
      <c r="D12" s="94"/>
      <c r="E12" s="94"/>
    </row>
    <row r="13" ht="22.5" customHeight="1">
      <c r="A13" s="92"/>
      <c r="B13" s="93"/>
      <c r="C13" s="94"/>
      <c r="D13" s="94"/>
      <c r="E13" s="94"/>
    </row>
    <row r="14" ht="22.5" customHeight="1">
      <c r="A14" s="92"/>
      <c r="B14" s="93"/>
      <c r="C14" s="94"/>
      <c r="D14" s="94"/>
      <c r="E14" s="94"/>
    </row>
    <row r="15" ht="22.5" customHeight="1">
      <c r="A15" s="92"/>
      <c r="B15" s="93"/>
      <c r="C15" s="94"/>
      <c r="D15" s="94"/>
      <c r="E15" s="94"/>
    </row>
    <row r="16" ht="22.5" customHeight="1">
      <c r="A16" s="96"/>
      <c r="B16" s="93"/>
      <c r="C16" s="94"/>
      <c r="D16" s="94"/>
      <c r="E16" s="94"/>
    </row>
    <row r="17" ht="22.5" customHeight="1">
      <c r="A17" s="92"/>
      <c r="B17" s="93"/>
      <c r="C17" s="94"/>
      <c r="D17" s="94"/>
      <c r="E17" s="94"/>
    </row>
    <row r="18" ht="22.5" customHeight="1">
      <c r="A18" s="96"/>
      <c r="B18" s="93"/>
      <c r="C18" s="94"/>
      <c r="D18" s="94"/>
      <c r="E18" s="94"/>
    </row>
    <row r="19" ht="22.5" customHeight="1">
      <c r="A19" s="92"/>
      <c r="B19" s="93"/>
      <c r="C19" s="94"/>
      <c r="D19" s="94"/>
      <c r="E19" s="94"/>
    </row>
    <row r="20" ht="22.5" customHeight="1">
      <c r="A20" s="92"/>
      <c r="B20" s="93"/>
      <c r="C20" s="94"/>
      <c r="D20" s="94"/>
      <c r="E20" s="94"/>
    </row>
    <row r="21" ht="22.5" customHeight="1">
      <c r="A21" s="92"/>
      <c r="B21" s="93"/>
      <c r="C21" s="94"/>
      <c r="D21" s="94"/>
      <c r="E21" s="94"/>
    </row>
    <row r="22" ht="22.5" customHeight="1">
      <c r="A22" s="92"/>
      <c r="B22" s="93"/>
      <c r="C22" s="94"/>
      <c r="D22" s="94"/>
      <c r="E22" s="94"/>
    </row>
    <row r="23" ht="22.5" customHeight="1">
      <c r="A23" s="97"/>
      <c r="B23" s="93"/>
      <c r="C23" s="94"/>
      <c r="D23" s="94"/>
      <c r="E23" s="94"/>
    </row>
    <row r="24" ht="22.5" customHeight="1">
      <c r="A24" s="92"/>
      <c r="B24" s="93"/>
      <c r="C24" s="94"/>
      <c r="D24" s="94"/>
      <c r="E24" s="94"/>
    </row>
    <row r="25" ht="22.5" customHeight="1">
      <c r="A25" s="92"/>
      <c r="B25" s="93"/>
      <c r="C25" s="94"/>
      <c r="D25" s="94"/>
      <c r="E25" s="94"/>
    </row>
    <row r="26" ht="22.5" customHeight="1">
      <c r="A26" s="92"/>
      <c r="B26" s="93"/>
      <c r="C26" s="94"/>
      <c r="D26" s="94"/>
      <c r="E26" s="94"/>
    </row>
    <row r="27" ht="22.5" customHeight="1">
      <c r="A27" s="92"/>
      <c r="B27" s="93"/>
      <c r="C27" s="94"/>
      <c r="D27" s="94"/>
      <c r="E27" s="94"/>
    </row>
    <row r="28" ht="22.5" customHeight="1">
      <c r="A28" s="92"/>
      <c r="B28" s="93"/>
      <c r="C28" s="94"/>
      <c r="D28" s="94"/>
      <c r="E28" s="94"/>
    </row>
    <row r="29" ht="22.5" customHeight="1">
      <c r="A29" s="92"/>
      <c r="B29" s="93"/>
      <c r="C29" s="94"/>
      <c r="D29" s="94"/>
      <c r="E29" s="94"/>
    </row>
    <row r="30" ht="22.5" customHeight="1">
      <c r="A30" s="92"/>
      <c r="B30" s="93"/>
      <c r="C30" s="94"/>
      <c r="D30" s="94"/>
      <c r="E30" s="94"/>
    </row>
    <row r="31" ht="22.5" customHeight="1">
      <c r="A31" s="96"/>
      <c r="B31" s="93"/>
      <c r="C31" s="94"/>
      <c r="D31" s="94"/>
      <c r="E31" s="94"/>
    </row>
    <row r="32" ht="22.5" customHeight="1">
      <c r="A32" s="92"/>
      <c r="B32" s="93"/>
      <c r="C32" s="94"/>
      <c r="D32" s="94"/>
      <c r="E32" s="94"/>
    </row>
    <row r="33" ht="22.5" customHeight="1">
      <c r="A33" s="92"/>
      <c r="B33" s="93"/>
      <c r="C33" s="94"/>
      <c r="D33" s="94"/>
      <c r="E33" s="94"/>
    </row>
    <row r="34" ht="22.5" customHeight="1">
      <c r="A34" s="92"/>
      <c r="B34" s="93"/>
      <c r="C34" s="94"/>
      <c r="D34" s="94"/>
      <c r="E34" s="94"/>
    </row>
    <row r="35" ht="22.5" customHeight="1">
      <c r="A35" s="92"/>
      <c r="B35" s="93"/>
      <c r="C35" s="94"/>
      <c r="D35" s="94"/>
      <c r="E35" s="94"/>
    </row>
    <row r="36" ht="22.5" customHeight="1">
      <c r="A36" s="92"/>
      <c r="B36" s="93"/>
      <c r="C36" s="94"/>
      <c r="D36" s="94"/>
      <c r="E36" s="94"/>
    </row>
    <row r="37" ht="22.5" customHeight="1">
      <c r="A37" s="92"/>
      <c r="B37" s="93"/>
      <c r="C37" s="94"/>
      <c r="D37" s="94"/>
      <c r="E37" s="94"/>
    </row>
    <row r="38" ht="22.5" customHeight="1">
      <c r="A38" s="92"/>
      <c r="B38" s="93"/>
      <c r="C38" s="94"/>
      <c r="D38" s="94"/>
      <c r="E38" s="94"/>
    </row>
    <row r="39" ht="22.5" customHeight="1">
      <c r="A39" s="92"/>
      <c r="B39" s="93"/>
      <c r="C39" s="94"/>
      <c r="D39" s="94"/>
      <c r="E39" s="94"/>
    </row>
    <row r="40" ht="22.5" customHeight="1">
      <c r="A40" s="92"/>
      <c r="B40" s="93"/>
      <c r="C40" s="94"/>
      <c r="D40" s="94"/>
      <c r="E40" s="94"/>
    </row>
    <row r="41" ht="22.5" customHeight="1">
      <c r="A41" s="92"/>
      <c r="B41" s="93"/>
      <c r="C41" s="94"/>
      <c r="D41" s="94"/>
      <c r="E41" s="94"/>
    </row>
    <row r="42" ht="22.5" customHeight="1">
      <c r="A42" s="92"/>
      <c r="B42" s="93"/>
      <c r="C42" s="94"/>
      <c r="D42" s="94"/>
      <c r="E42" s="94"/>
    </row>
    <row r="43" ht="22.5" customHeight="1">
      <c r="A43" s="92"/>
      <c r="B43" s="93"/>
      <c r="C43" s="94"/>
      <c r="D43" s="94"/>
      <c r="E43" s="94"/>
    </row>
    <row r="44" ht="22.5" customHeight="1">
      <c r="A44" s="92"/>
      <c r="B44" s="93"/>
      <c r="C44" s="94"/>
      <c r="D44" s="94"/>
      <c r="E44" s="94"/>
    </row>
    <row r="45" ht="22.5" customHeight="1">
      <c r="A45" s="92"/>
      <c r="B45" s="93"/>
      <c r="C45" s="94"/>
      <c r="D45" s="94"/>
      <c r="E45" s="94"/>
    </row>
    <row r="46" ht="22.5" customHeight="1">
      <c r="A46" s="92"/>
      <c r="B46" s="93"/>
      <c r="C46" s="94"/>
      <c r="D46" s="94"/>
      <c r="E46" s="94"/>
    </row>
    <row r="47" ht="22.5" customHeight="1">
      <c r="A47" s="92"/>
      <c r="B47" s="93"/>
      <c r="C47" s="94"/>
      <c r="D47" s="94"/>
      <c r="E47" s="94"/>
    </row>
    <row r="48" ht="22.5" customHeight="1">
      <c r="A48" s="92"/>
      <c r="B48" s="93"/>
      <c r="C48" s="94"/>
      <c r="D48" s="94"/>
      <c r="E48" s="94"/>
    </row>
    <row r="49" ht="22.5" customHeight="1">
      <c r="A49" s="92"/>
      <c r="B49" s="93"/>
      <c r="C49" s="94"/>
      <c r="D49" s="94"/>
      <c r="E49" s="94"/>
    </row>
    <row r="50" ht="22.5" customHeight="1">
      <c r="A50" s="92"/>
      <c r="B50" s="93"/>
      <c r="C50" s="94"/>
      <c r="D50" s="94"/>
      <c r="E50" s="94"/>
    </row>
    <row r="51" ht="22.5" customHeight="1">
      <c r="A51" s="92"/>
      <c r="B51" s="93"/>
      <c r="C51" s="94"/>
      <c r="D51" s="94"/>
      <c r="E51" s="94"/>
    </row>
    <row r="52" ht="22.5" customHeight="1">
      <c r="A52" s="92"/>
      <c r="B52" s="93"/>
      <c r="C52" s="94"/>
      <c r="D52" s="94"/>
      <c r="E52" s="94"/>
    </row>
    <row r="53" ht="22.5" customHeight="1">
      <c r="A53" s="92"/>
      <c r="B53" s="93"/>
      <c r="C53" s="94"/>
      <c r="D53" s="94"/>
      <c r="E53" s="94"/>
    </row>
    <row r="54" ht="22.5" customHeight="1">
      <c r="A54" s="92"/>
      <c r="B54" s="93"/>
      <c r="C54" s="94"/>
      <c r="D54" s="94"/>
      <c r="E54" s="94"/>
    </row>
    <row r="55" ht="22.5" customHeight="1">
      <c r="A55" s="92"/>
      <c r="B55" s="93"/>
      <c r="C55" s="94"/>
      <c r="D55" s="94"/>
      <c r="E55" s="94"/>
    </row>
    <row r="56" ht="22.5" customHeight="1">
      <c r="A56" s="92"/>
      <c r="B56" s="93"/>
      <c r="C56" s="94"/>
      <c r="D56" s="94"/>
      <c r="E56" s="94"/>
    </row>
    <row r="57" ht="22.5" customHeight="1">
      <c r="A57" s="92"/>
      <c r="B57" s="93"/>
      <c r="C57" s="94"/>
      <c r="D57" s="94"/>
      <c r="E57" s="94"/>
    </row>
    <row r="58" ht="22.5" customHeight="1">
      <c r="A58" s="96"/>
      <c r="B58" s="93"/>
      <c r="C58" s="94"/>
      <c r="D58" s="94"/>
      <c r="E58" s="94"/>
    </row>
    <row r="59" ht="22.5" customHeight="1">
      <c r="A59" s="92"/>
      <c r="B59" s="93"/>
      <c r="C59" s="94"/>
      <c r="D59" s="94"/>
      <c r="E59" s="94"/>
    </row>
    <row r="60" ht="22.5" customHeight="1">
      <c r="A60" s="92"/>
      <c r="B60" s="93"/>
      <c r="C60" s="94"/>
      <c r="D60" s="94"/>
      <c r="E60" s="94"/>
    </row>
    <row r="61" ht="22.5" customHeight="1">
      <c r="A61" s="96"/>
      <c r="B61" s="93"/>
      <c r="C61" s="94"/>
      <c r="D61" s="94"/>
      <c r="E61" s="94"/>
    </row>
    <row r="62" ht="22.5" customHeight="1">
      <c r="A62" s="92"/>
      <c r="B62" s="93"/>
      <c r="C62" s="94"/>
      <c r="D62" s="94"/>
      <c r="E62" s="94"/>
    </row>
    <row r="63" ht="22.5" customHeight="1">
      <c r="A63" s="92"/>
      <c r="B63" s="93"/>
      <c r="C63" s="94"/>
      <c r="D63" s="94"/>
      <c r="E63" s="94"/>
    </row>
    <row r="64" ht="22.5" customHeight="1">
      <c r="A64" s="96"/>
      <c r="B64" s="93"/>
      <c r="C64" s="94"/>
      <c r="D64" s="94"/>
      <c r="E64" s="94"/>
    </row>
    <row r="65" ht="22.5" customHeight="1">
      <c r="A65" s="92"/>
      <c r="B65" s="93"/>
      <c r="C65" s="94"/>
      <c r="D65" s="94"/>
      <c r="E65" s="94"/>
    </row>
    <row r="66" ht="22.5" customHeight="1">
      <c r="A66" s="96"/>
      <c r="B66" s="93"/>
      <c r="C66" s="94"/>
      <c r="D66" s="94"/>
      <c r="E66" s="94"/>
    </row>
    <row r="67" ht="22.5" customHeight="1">
      <c r="A67" s="92"/>
      <c r="B67" s="93"/>
      <c r="C67" s="94"/>
      <c r="D67" s="94"/>
      <c r="E67" s="94"/>
    </row>
    <row r="68" ht="22.5" customHeight="1">
      <c r="A68" s="92"/>
      <c r="B68" s="93"/>
      <c r="C68" s="94"/>
      <c r="D68" s="94"/>
      <c r="E68" s="94"/>
    </row>
    <row r="69" ht="22.5" customHeight="1">
      <c r="A69" s="98"/>
      <c r="B69" s="93"/>
      <c r="C69" s="94"/>
      <c r="D69" s="94"/>
      <c r="E69" s="94"/>
    </row>
    <row r="70" ht="22.5" customHeight="1">
      <c r="A70" s="92"/>
      <c r="B70" s="93"/>
      <c r="C70" s="94"/>
      <c r="D70" s="94"/>
      <c r="E70" s="94"/>
    </row>
    <row r="71" ht="22.5" customHeight="1">
      <c r="A71" s="92"/>
      <c r="B71" s="93"/>
      <c r="C71" s="94"/>
      <c r="D71" s="94"/>
      <c r="E71" s="94"/>
    </row>
    <row r="72" ht="22.5" customHeight="1">
      <c r="A72" s="92"/>
      <c r="B72" s="93"/>
      <c r="C72" s="94"/>
      <c r="D72" s="94"/>
      <c r="E72" s="94"/>
    </row>
    <row r="73" ht="22.5" customHeight="1">
      <c r="A73" s="92"/>
      <c r="B73" s="93"/>
      <c r="C73" s="94"/>
      <c r="D73" s="94"/>
      <c r="E73" s="94"/>
    </row>
    <row r="74" ht="22.5" customHeight="1">
      <c r="A74" s="92"/>
      <c r="B74" s="93"/>
      <c r="C74" s="94"/>
      <c r="D74" s="94"/>
      <c r="E74" s="94"/>
    </row>
    <row r="75" ht="22.5" customHeight="1">
      <c r="A75" s="92"/>
      <c r="B75" s="93"/>
      <c r="C75" s="94"/>
      <c r="D75" s="94"/>
      <c r="E75" s="94"/>
    </row>
    <row r="76" ht="22.5" customHeight="1">
      <c r="A76" s="92"/>
      <c r="B76" s="93"/>
      <c r="C76" s="94"/>
      <c r="D76" s="94"/>
      <c r="E76" s="94"/>
    </row>
    <row r="77" ht="22.5" customHeight="1">
      <c r="A77" s="92"/>
      <c r="B77" s="93"/>
      <c r="C77" s="94"/>
      <c r="D77" s="94"/>
      <c r="E77" s="94"/>
    </row>
    <row r="78" ht="22.5" customHeight="1">
      <c r="A78" s="96"/>
      <c r="B78" s="93"/>
      <c r="C78" s="94"/>
      <c r="D78" s="94"/>
      <c r="E78" s="94"/>
    </row>
    <row r="79" ht="22.5" customHeight="1">
      <c r="A79" s="92"/>
      <c r="B79" s="93"/>
      <c r="C79" s="94"/>
      <c r="D79" s="94"/>
      <c r="E79" s="94"/>
    </row>
    <row r="80" ht="22.5" customHeight="1">
      <c r="A80" s="92"/>
      <c r="B80" s="93"/>
      <c r="C80" s="94"/>
      <c r="D80" s="94"/>
      <c r="E80" s="94"/>
    </row>
    <row r="81" ht="22.5" customHeight="1">
      <c r="A81" s="98"/>
      <c r="B81" s="93"/>
      <c r="C81" s="94"/>
      <c r="D81" s="94"/>
      <c r="E81" s="94"/>
    </row>
    <row r="82" ht="22.5" customHeight="1">
      <c r="A82" s="99"/>
      <c r="B82" s="93"/>
      <c r="C82" s="94"/>
      <c r="D82" s="94"/>
      <c r="E82" s="94"/>
    </row>
    <row r="83" ht="22.5" customHeight="1">
      <c r="A83" s="92"/>
      <c r="B83" s="93"/>
      <c r="C83" s="94"/>
      <c r="D83" s="94"/>
      <c r="E83" s="94"/>
    </row>
    <row r="84" ht="22.5" customHeight="1">
      <c r="A84" s="92"/>
      <c r="B84" s="93"/>
      <c r="C84" s="94"/>
      <c r="D84" s="94"/>
      <c r="E84" s="94"/>
    </row>
    <row r="85" ht="22.5" customHeight="1">
      <c r="A85" s="92"/>
      <c r="B85" s="93"/>
      <c r="C85" s="94"/>
      <c r="D85" s="94"/>
      <c r="E85" s="94"/>
    </row>
    <row r="86" ht="22.5" customHeight="1">
      <c r="A86" s="98"/>
      <c r="B86" s="93"/>
      <c r="C86" s="94"/>
      <c r="D86" s="94"/>
      <c r="E86" s="94"/>
    </row>
    <row r="87" ht="22.5" customHeight="1">
      <c r="A87" s="96"/>
      <c r="B87" s="93"/>
      <c r="C87" s="94"/>
      <c r="D87" s="94"/>
      <c r="E87" s="94"/>
    </row>
    <row r="88" ht="22.5" customHeight="1">
      <c r="A88" s="92"/>
      <c r="B88" s="93"/>
      <c r="C88" s="94"/>
      <c r="D88" s="94"/>
      <c r="E88" s="94"/>
    </row>
    <row r="89" ht="22.5" customHeight="1">
      <c r="A89" s="92"/>
      <c r="B89" s="93"/>
      <c r="C89" s="94"/>
      <c r="D89" s="94"/>
      <c r="E89" s="94"/>
    </row>
    <row r="90" ht="22.5" customHeight="1">
      <c r="A90" s="92"/>
      <c r="B90" s="93"/>
      <c r="C90" s="94"/>
      <c r="D90" s="94"/>
      <c r="E90" s="94"/>
    </row>
    <row r="91" ht="22.5" customHeight="1">
      <c r="A91" s="92"/>
      <c r="B91" s="93"/>
      <c r="C91" s="94"/>
      <c r="D91" s="94"/>
      <c r="E91" s="94"/>
    </row>
    <row r="92" ht="22.5" customHeight="1">
      <c r="A92" s="96"/>
      <c r="B92" s="93"/>
      <c r="C92" s="94"/>
      <c r="D92" s="94"/>
      <c r="E92" s="94"/>
    </row>
    <row r="93" ht="22.5" customHeight="1">
      <c r="A93" s="92"/>
      <c r="B93" s="93"/>
      <c r="C93" s="94"/>
      <c r="D93" s="94"/>
      <c r="E93" s="94"/>
    </row>
    <row r="94" ht="22.5" customHeight="1">
      <c r="A94" s="92"/>
      <c r="B94" s="93"/>
      <c r="C94" s="94"/>
      <c r="D94" s="94"/>
      <c r="E94" s="94"/>
    </row>
    <row r="95" ht="22.5" customHeight="1">
      <c r="A95" s="92"/>
      <c r="B95" s="93"/>
      <c r="C95" s="94"/>
      <c r="D95" s="94"/>
      <c r="E95" s="94"/>
    </row>
    <row r="96" ht="22.5" customHeight="1">
      <c r="A96" s="92"/>
      <c r="B96" s="93"/>
      <c r="C96" s="94"/>
      <c r="D96" s="94"/>
      <c r="E96" s="94"/>
    </row>
    <row r="97" ht="22.5" customHeight="1">
      <c r="A97" s="92"/>
      <c r="B97" s="93"/>
      <c r="C97" s="94"/>
      <c r="D97" s="94"/>
      <c r="E97" s="94"/>
    </row>
    <row r="98" ht="22.5" customHeight="1">
      <c r="A98" s="92"/>
      <c r="B98" s="93"/>
      <c r="C98" s="94"/>
      <c r="D98" s="94"/>
      <c r="E98" s="94"/>
    </row>
    <row r="99" ht="22.5" customHeight="1">
      <c r="A99" s="92"/>
      <c r="B99" s="93"/>
      <c r="C99" s="94"/>
      <c r="D99" s="94"/>
      <c r="E99" s="94"/>
    </row>
    <row r="100" ht="22.5" customHeight="1">
      <c r="A100" s="92"/>
      <c r="B100" s="93"/>
      <c r="C100" s="94"/>
      <c r="D100" s="94"/>
      <c r="E100" s="94"/>
    </row>
    <row r="101" ht="22.5" customHeight="1">
      <c r="A101" s="96"/>
      <c r="B101" s="93"/>
      <c r="C101" s="94"/>
      <c r="D101" s="94"/>
      <c r="E101" s="94"/>
    </row>
    <row r="102" ht="22.5" customHeight="1">
      <c r="A102" s="92"/>
      <c r="B102" s="93"/>
      <c r="C102" s="94"/>
      <c r="D102" s="94"/>
      <c r="E102" s="94"/>
    </row>
    <row r="103" ht="22.5" customHeight="1">
      <c r="A103" s="92"/>
      <c r="B103" s="93"/>
      <c r="C103" s="94"/>
      <c r="D103" s="94"/>
      <c r="E103" s="94"/>
    </row>
    <row r="104" ht="22.5" customHeight="1">
      <c r="A104" s="96"/>
      <c r="B104" s="93"/>
      <c r="C104" s="94"/>
      <c r="D104" s="94"/>
      <c r="E104" s="94"/>
    </row>
    <row r="105" ht="22.5" customHeight="1">
      <c r="A105" s="92"/>
      <c r="B105" s="93"/>
      <c r="C105" s="94"/>
      <c r="D105" s="94"/>
      <c r="E105" s="94"/>
    </row>
    <row r="106" ht="22.5" customHeight="1">
      <c r="A106" s="92"/>
      <c r="B106" s="93"/>
      <c r="C106" s="94"/>
      <c r="D106" s="94"/>
      <c r="E106" s="94"/>
    </row>
    <row r="107" ht="22.5" customHeight="1">
      <c r="A107" s="92"/>
      <c r="B107" s="93"/>
      <c r="C107" s="94"/>
      <c r="D107" s="94"/>
      <c r="E107" s="94"/>
    </row>
    <row r="108" ht="22.5" customHeight="1">
      <c r="A108" s="92"/>
      <c r="B108" s="93"/>
      <c r="C108" s="94"/>
      <c r="D108" s="94"/>
      <c r="E108" s="94"/>
    </row>
    <row r="109" ht="22.5" customHeight="1">
      <c r="A109" s="92"/>
      <c r="B109" s="93"/>
      <c r="C109" s="94"/>
      <c r="D109" s="94"/>
      <c r="E109" s="94"/>
    </row>
    <row r="110" ht="22.5" customHeight="1">
      <c r="A110" s="92"/>
      <c r="B110" s="93"/>
      <c r="C110" s="94"/>
      <c r="D110" s="94"/>
      <c r="E110" s="94"/>
    </row>
    <row r="111" ht="22.5" customHeight="1">
      <c r="A111" s="92"/>
      <c r="B111" s="93"/>
      <c r="C111" s="94"/>
      <c r="D111" s="94"/>
      <c r="E111" s="94"/>
    </row>
    <row r="112" ht="22.5" customHeight="1">
      <c r="A112" s="92"/>
      <c r="B112" s="93"/>
      <c r="C112" s="94"/>
      <c r="D112" s="94"/>
      <c r="E112" s="94"/>
    </row>
    <row r="113" ht="22.5" customHeight="1">
      <c r="A113" s="92"/>
      <c r="B113" s="93"/>
      <c r="C113" s="94"/>
      <c r="D113" s="94"/>
      <c r="E113" s="94"/>
    </row>
    <row r="114" ht="22.5" customHeight="1">
      <c r="A114" s="92"/>
      <c r="B114" s="93"/>
      <c r="C114" s="94"/>
      <c r="D114" s="94"/>
      <c r="E114" s="94"/>
    </row>
    <row r="115" ht="22.5" customHeight="1">
      <c r="A115" s="92"/>
      <c r="B115" s="93"/>
      <c r="C115" s="94"/>
      <c r="D115" s="94"/>
      <c r="E115" s="94"/>
    </row>
    <row r="116" ht="22.5" customHeight="1">
      <c r="A116" s="96"/>
      <c r="B116" s="93"/>
      <c r="C116" s="94"/>
      <c r="D116" s="94"/>
      <c r="E116" s="94"/>
    </row>
    <row r="117" ht="22.5" customHeight="1">
      <c r="A117" s="92"/>
      <c r="B117" s="93"/>
      <c r="C117" s="94"/>
      <c r="D117" s="94"/>
      <c r="E117" s="94"/>
    </row>
    <row r="118" ht="22.5" customHeight="1">
      <c r="A118" s="92"/>
      <c r="B118" s="93"/>
      <c r="C118" s="94"/>
      <c r="D118" s="94"/>
      <c r="E118" s="94"/>
    </row>
    <row r="119" ht="22.5" customHeight="1">
      <c r="A119" s="92"/>
      <c r="B119" s="93"/>
      <c r="C119" s="94"/>
      <c r="D119" s="94"/>
      <c r="E119" s="94"/>
    </row>
    <row r="120" ht="22.5" customHeight="1">
      <c r="A120" s="92"/>
      <c r="B120" s="93"/>
      <c r="C120" s="94"/>
      <c r="D120" s="94"/>
      <c r="E120" s="94"/>
    </row>
    <row r="121" ht="22.5" customHeight="1">
      <c r="A121" s="92"/>
      <c r="B121" s="93"/>
      <c r="C121" s="94"/>
      <c r="D121" s="94"/>
      <c r="E121" s="94"/>
    </row>
    <row r="122" ht="22.5" customHeight="1">
      <c r="A122" s="92"/>
      <c r="B122" s="93"/>
      <c r="C122" s="94"/>
      <c r="D122" s="94"/>
      <c r="E122" s="94"/>
    </row>
    <row r="123" ht="22.5" customHeight="1">
      <c r="A123" s="92"/>
      <c r="B123" s="93"/>
      <c r="C123" s="94"/>
      <c r="D123" s="94"/>
      <c r="E123" s="94"/>
    </row>
    <row r="124" ht="22.5" customHeight="1">
      <c r="A124" s="92"/>
      <c r="B124" s="93"/>
      <c r="C124" s="94"/>
      <c r="D124" s="94"/>
      <c r="E124" s="94"/>
    </row>
    <row r="125" ht="22.5" customHeight="1">
      <c r="A125" s="92"/>
      <c r="B125" s="93"/>
      <c r="C125" s="94"/>
      <c r="D125" s="94"/>
      <c r="E125" s="94"/>
    </row>
    <row r="126" ht="22.5" customHeight="1">
      <c r="A126" s="92"/>
      <c r="B126" s="93"/>
      <c r="C126" s="94"/>
      <c r="D126" s="94"/>
      <c r="E126" s="94"/>
    </row>
    <row r="127" ht="22.5" customHeight="1">
      <c r="A127" s="96"/>
      <c r="B127" s="93"/>
      <c r="C127" s="94"/>
      <c r="D127" s="94"/>
      <c r="E127" s="94"/>
    </row>
    <row r="128" ht="22.5" customHeight="1">
      <c r="A128" s="92"/>
      <c r="B128" s="93"/>
      <c r="C128" s="94"/>
      <c r="D128" s="94"/>
      <c r="E128" s="94"/>
    </row>
    <row r="129" ht="22.5" customHeight="1">
      <c r="A129" s="96"/>
      <c r="B129" s="93"/>
      <c r="C129" s="94"/>
      <c r="D129" s="94"/>
      <c r="E129" s="94"/>
    </row>
    <row r="130" ht="22.5" customHeight="1">
      <c r="A130" s="92"/>
      <c r="B130" s="93"/>
      <c r="C130" s="94"/>
      <c r="D130" s="94"/>
      <c r="E130" s="94"/>
    </row>
    <row r="131" ht="22.5" customHeight="1">
      <c r="A131" s="92"/>
      <c r="B131" s="93"/>
      <c r="C131" s="94"/>
      <c r="D131" s="94"/>
      <c r="E131" s="94"/>
    </row>
    <row r="132" ht="22.5" customHeight="1">
      <c r="A132" s="96"/>
      <c r="B132" s="93"/>
      <c r="C132" s="94"/>
      <c r="D132" s="94"/>
      <c r="E132" s="94"/>
    </row>
    <row r="133" ht="22.5" customHeight="1">
      <c r="A133" s="96"/>
      <c r="B133" s="93"/>
      <c r="C133" s="94"/>
      <c r="D133" s="94"/>
      <c r="E133" s="94"/>
    </row>
    <row r="134" ht="22.5" customHeight="1">
      <c r="A134" s="92"/>
      <c r="B134" s="93"/>
      <c r="C134" s="94"/>
      <c r="D134" s="94"/>
      <c r="E134" s="94"/>
    </row>
    <row r="135" ht="22.5" customHeight="1">
      <c r="A135" s="92"/>
      <c r="B135" s="93"/>
      <c r="C135" s="94"/>
      <c r="D135" s="94"/>
      <c r="E135" s="94"/>
    </row>
    <row r="136" ht="22.5" customHeight="1">
      <c r="A136" s="92"/>
      <c r="B136" s="93"/>
      <c r="C136" s="94"/>
      <c r="D136" s="94"/>
      <c r="E136" s="94"/>
    </row>
    <row r="137" ht="22.5" customHeight="1">
      <c r="A137" s="92"/>
      <c r="B137" s="93"/>
      <c r="C137" s="94"/>
      <c r="D137" s="94"/>
      <c r="E137" s="94"/>
    </row>
    <row r="138" ht="22.5" customHeight="1">
      <c r="A138" s="92"/>
      <c r="B138" s="93"/>
      <c r="C138" s="94"/>
      <c r="D138" s="94"/>
      <c r="E138" s="94"/>
    </row>
    <row r="139" ht="22.5" customHeight="1">
      <c r="A139" s="92"/>
      <c r="B139" s="93"/>
      <c r="C139" s="94"/>
      <c r="D139" s="94"/>
      <c r="E139" s="94"/>
    </row>
    <row r="140" ht="22.5" customHeight="1">
      <c r="A140" s="96"/>
      <c r="B140" s="93"/>
      <c r="C140" s="94"/>
      <c r="D140" s="94"/>
      <c r="E140" s="94"/>
    </row>
    <row r="141" ht="22.5" customHeight="1">
      <c r="A141" s="92"/>
      <c r="B141" s="93"/>
      <c r="C141" s="94"/>
      <c r="D141" s="94"/>
      <c r="E141" s="94"/>
    </row>
    <row r="142" ht="22.5" customHeight="1">
      <c r="A142" s="92"/>
      <c r="B142" s="93"/>
      <c r="C142" s="94"/>
      <c r="D142" s="94"/>
      <c r="E142" s="94"/>
    </row>
    <row r="143" ht="22.5" customHeight="1">
      <c r="A143" s="92"/>
      <c r="B143" s="93"/>
      <c r="C143" s="94"/>
      <c r="D143" s="94"/>
      <c r="E143" s="94"/>
    </row>
    <row r="144" ht="22.5" customHeight="1">
      <c r="A144" s="92"/>
      <c r="B144" s="93"/>
      <c r="C144" s="94"/>
      <c r="D144" s="94"/>
      <c r="E144" s="94"/>
    </row>
    <row r="145" ht="22.5" customHeight="1">
      <c r="A145" s="92"/>
      <c r="B145" s="93"/>
      <c r="C145" s="94"/>
      <c r="D145" s="94"/>
      <c r="E145" s="94"/>
    </row>
    <row r="146" ht="22.5" customHeight="1">
      <c r="A146" s="92"/>
      <c r="B146" s="93"/>
      <c r="C146" s="94"/>
      <c r="D146" s="94"/>
      <c r="E146" s="94"/>
    </row>
    <row r="147" ht="22.5" customHeight="1">
      <c r="A147" s="92"/>
      <c r="B147" s="93"/>
      <c r="C147" s="94"/>
      <c r="D147" s="94"/>
      <c r="E147" s="94"/>
    </row>
    <row r="148" ht="22.5" customHeight="1">
      <c r="A148" s="92"/>
      <c r="B148" s="93"/>
      <c r="C148" s="94"/>
      <c r="D148" s="94"/>
      <c r="E148" s="94"/>
    </row>
    <row r="149" ht="22.5" customHeight="1">
      <c r="A149" s="92"/>
      <c r="B149" s="93"/>
      <c r="C149" s="94"/>
      <c r="D149" s="94"/>
      <c r="E149" s="94"/>
    </row>
    <row r="150" ht="22.5" customHeight="1">
      <c r="A150" s="96"/>
      <c r="B150" s="93"/>
      <c r="C150" s="94"/>
      <c r="D150" s="94"/>
      <c r="E150" s="94"/>
    </row>
    <row r="151" ht="22.5" customHeight="1">
      <c r="A151" s="92"/>
      <c r="B151" s="93"/>
      <c r="C151" s="94"/>
      <c r="D151" s="94"/>
      <c r="E151" s="94"/>
    </row>
    <row r="152" ht="22.5" customHeight="1">
      <c r="A152" s="92"/>
      <c r="B152" s="93"/>
      <c r="C152" s="94"/>
      <c r="D152" s="94"/>
      <c r="E152" s="94"/>
    </row>
    <row r="153" ht="22.5" customHeight="1">
      <c r="A153" s="92"/>
      <c r="B153" s="93"/>
      <c r="C153" s="94"/>
      <c r="D153" s="94"/>
      <c r="E153" s="94"/>
    </row>
    <row r="154" ht="22.5" customHeight="1">
      <c r="A154" s="92"/>
      <c r="B154" s="93"/>
      <c r="C154" s="94"/>
      <c r="D154" s="94"/>
      <c r="E154" s="94"/>
    </row>
    <row r="155" ht="22.5" customHeight="1">
      <c r="A155" s="96"/>
      <c r="B155" s="93"/>
      <c r="C155" s="94"/>
      <c r="D155" s="94"/>
      <c r="E155" s="94"/>
    </row>
    <row r="156" ht="22.5" customHeight="1">
      <c r="A156" s="92"/>
      <c r="B156" s="93"/>
      <c r="C156" s="94"/>
      <c r="D156" s="94"/>
      <c r="E156" s="94"/>
    </row>
    <row r="157" ht="22.5" customHeight="1">
      <c r="A157" s="92"/>
      <c r="B157" s="93"/>
      <c r="C157" s="94"/>
      <c r="D157" s="94"/>
      <c r="E157" s="94"/>
    </row>
    <row r="158" ht="22.5" customHeight="1">
      <c r="A158" s="92"/>
      <c r="B158" s="93"/>
      <c r="C158" s="94"/>
      <c r="D158" s="94"/>
      <c r="E158" s="94"/>
    </row>
    <row r="159" ht="22.5" customHeight="1">
      <c r="A159" s="92"/>
      <c r="B159" s="93"/>
      <c r="C159" s="94"/>
      <c r="D159" s="94"/>
      <c r="E159" s="94"/>
    </row>
    <row r="160" ht="22.5" customHeight="1">
      <c r="A160" s="92"/>
      <c r="B160" s="93"/>
      <c r="C160" s="94"/>
      <c r="D160" s="94"/>
      <c r="E160" s="94"/>
    </row>
    <row r="161" ht="22.5" customHeight="1">
      <c r="A161" s="96"/>
      <c r="B161" s="93"/>
      <c r="C161" s="94"/>
      <c r="D161" s="94"/>
      <c r="E161" s="94"/>
    </row>
    <row r="162" ht="22.5" customHeight="1">
      <c r="A162" s="96"/>
      <c r="B162" s="93"/>
      <c r="C162" s="94"/>
      <c r="D162" s="94"/>
      <c r="E162" s="94"/>
    </row>
    <row r="163" ht="22.5" customHeight="1">
      <c r="A163" s="97"/>
      <c r="B163" s="93"/>
      <c r="C163" s="94"/>
      <c r="D163" s="94"/>
      <c r="E163" s="94"/>
    </row>
    <row r="164" ht="22.5" customHeight="1">
      <c r="A164" s="92"/>
      <c r="B164" s="93"/>
      <c r="C164" s="94"/>
      <c r="D164" s="94"/>
      <c r="E164" s="94"/>
    </row>
    <row r="165" ht="22.5" customHeight="1">
      <c r="A165" s="92"/>
      <c r="B165" s="93"/>
      <c r="C165" s="94"/>
      <c r="D165" s="94"/>
      <c r="E165" s="94"/>
    </row>
    <row r="166" ht="22.5" customHeight="1">
      <c r="A166" s="92"/>
      <c r="B166" s="93"/>
      <c r="C166" s="94"/>
      <c r="D166" s="94"/>
      <c r="E166" s="94"/>
    </row>
    <row r="167" ht="22.5" customHeight="1">
      <c r="A167" s="92"/>
      <c r="B167" s="93"/>
      <c r="C167" s="94"/>
      <c r="D167" s="94"/>
      <c r="E167" s="94"/>
    </row>
    <row r="168" ht="22.5" customHeight="1">
      <c r="A168" s="92"/>
      <c r="B168" s="93"/>
      <c r="C168" s="94"/>
      <c r="D168" s="94"/>
      <c r="E168" s="94"/>
    </row>
    <row r="169" ht="22.5" customHeight="1">
      <c r="A169" s="96"/>
      <c r="B169" s="93"/>
      <c r="C169" s="94"/>
      <c r="D169" s="94"/>
      <c r="E169" s="94"/>
    </row>
    <row r="170" ht="22.5" customHeight="1">
      <c r="A170" s="96"/>
      <c r="B170" s="93"/>
      <c r="C170" s="94"/>
      <c r="D170" s="94"/>
      <c r="E170" s="94"/>
    </row>
    <row r="171" ht="22.5" customHeight="1">
      <c r="A171" s="92"/>
      <c r="B171" s="93"/>
      <c r="C171" s="94"/>
      <c r="D171" s="94"/>
      <c r="E171" s="94"/>
    </row>
    <row r="172" ht="22.5" customHeight="1">
      <c r="A172" s="92"/>
      <c r="B172" s="93"/>
      <c r="C172" s="94"/>
      <c r="D172" s="94"/>
      <c r="E172" s="94"/>
    </row>
    <row r="173" ht="22.5" customHeight="1">
      <c r="A173" s="92"/>
      <c r="B173" s="93"/>
      <c r="C173" s="94"/>
      <c r="D173" s="94"/>
      <c r="E173" s="94"/>
    </row>
    <row r="174" ht="22.5" customHeight="1">
      <c r="A174" s="92"/>
      <c r="B174" s="93"/>
      <c r="C174" s="94"/>
      <c r="D174" s="94"/>
      <c r="E174" s="94"/>
    </row>
    <row r="175" ht="22.5" customHeight="1">
      <c r="A175" s="92"/>
      <c r="B175" s="93"/>
      <c r="C175" s="94"/>
      <c r="D175" s="94"/>
      <c r="E175" s="94"/>
    </row>
    <row r="176" ht="22.5" customHeight="1">
      <c r="A176" s="92"/>
      <c r="B176" s="93"/>
      <c r="C176" s="94"/>
      <c r="D176" s="94"/>
      <c r="E176" s="94"/>
    </row>
    <row r="177" ht="22.5" customHeight="1">
      <c r="A177" s="92"/>
      <c r="B177" s="93"/>
      <c r="C177" s="94"/>
      <c r="D177" s="94"/>
      <c r="E177" s="94"/>
    </row>
    <row r="178" ht="22.5" customHeight="1">
      <c r="A178" s="92"/>
      <c r="B178" s="93"/>
      <c r="C178" s="94"/>
      <c r="D178" s="94"/>
      <c r="E178" s="94"/>
    </row>
    <row r="179" ht="22.5" customHeight="1">
      <c r="A179" s="92"/>
      <c r="B179" s="93"/>
      <c r="C179" s="94"/>
      <c r="D179" s="94"/>
      <c r="E179" s="94"/>
    </row>
    <row r="180" ht="22.5" customHeight="1">
      <c r="A180" s="92"/>
      <c r="B180" s="93"/>
      <c r="C180" s="94"/>
      <c r="D180" s="94"/>
      <c r="E180" s="94"/>
    </row>
    <row r="181" ht="22.5" customHeight="1">
      <c r="A181" s="100"/>
      <c r="B181" s="93"/>
      <c r="C181" s="94"/>
      <c r="D181" s="94"/>
      <c r="E181" s="94"/>
    </row>
    <row r="182" ht="22.5" customHeight="1">
      <c r="A182" s="92"/>
      <c r="B182" s="93"/>
      <c r="C182" s="94"/>
      <c r="D182" s="94"/>
      <c r="E182" s="94"/>
    </row>
    <row r="183" ht="22.5" customHeight="1">
      <c r="A183" s="96"/>
      <c r="B183" s="93"/>
      <c r="C183" s="94"/>
      <c r="D183" s="94"/>
      <c r="E183" s="94"/>
    </row>
    <row r="184" ht="22.5" customHeight="1">
      <c r="A184" s="92"/>
      <c r="B184" s="93"/>
      <c r="C184" s="94"/>
      <c r="D184" s="94"/>
      <c r="E184" s="94"/>
    </row>
    <row r="185" ht="22.5" customHeight="1">
      <c r="A185" s="92"/>
      <c r="B185" s="93"/>
      <c r="C185" s="94"/>
      <c r="D185" s="94"/>
      <c r="E185" s="94"/>
    </row>
    <row r="186" ht="22.5" customHeight="1">
      <c r="A186" s="92"/>
      <c r="B186" s="93"/>
      <c r="C186" s="94"/>
      <c r="D186" s="94"/>
      <c r="E186" s="94"/>
    </row>
    <row r="187" ht="22.5" customHeight="1">
      <c r="A187" s="92"/>
      <c r="B187" s="93"/>
      <c r="C187" s="94"/>
      <c r="D187" s="94"/>
      <c r="E187" s="94"/>
    </row>
    <row r="188" ht="22.5" customHeight="1">
      <c r="A188" s="96"/>
      <c r="B188" s="93"/>
      <c r="C188" s="94"/>
      <c r="D188" s="94"/>
      <c r="E188" s="94"/>
    </row>
    <row r="189" ht="22.5" customHeight="1">
      <c r="A189" s="92"/>
      <c r="B189" s="93"/>
      <c r="C189" s="94"/>
      <c r="D189" s="94"/>
      <c r="E189" s="94"/>
    </row>
    <row r="190" ht="22.5" customHeight="1">
      <c r="A190" s="92"/>
      <c r="B190" s="93"/>
      <c r="C190" s="94"/>
      <c r="D190" s="94"/>
      <c r="E190" s="94"/>
    </row>
    <row r="191" ht="22.5" customHeight="1">
      <c r="A191" s="92"/>
      <c r="B191" s="93"/>
      <c r="C191" s="94"/>
      <c r="D191" s="94"/>
      <c r="E191" s="94"/>
    </row>
    <row r="192" ht="22.5" customHeight="1">
      <c r="A192" s="92"/>
      <c r="B192" s="93"/>
      <c r="C192" s="94"/>
      <c r="D192" s="94"/>
      <c r="E192" s="94"/>
    </row>
    <row r="193" ht="22.5" customHeight="1">
      <c r="A193" s="92"/>
      <c r="B193" s="93"/>
      <c r="C193" s="94"/>
      <c r="D193" s="94"/>
      <c r="E193" s="94"/>
    </row>
    <row r="194" ht="22.5" customHeight="1">
      <c r="A194" s="96"/>
      <c r="B194" s="93"/>
      <c r="C194" s="94"/>
      <c r="D194" s="94"/>
      <c r="E194" s="94"/>
    </row>
    <row r="195" ht="22.5" customHeight="1">
      <c r="A195" s="101"/>
      <c r="B195" s="93"/>
      <c r="C195" s="94"/>
      <c r="D195" s="94"/>
      <c r="E195" s="94"/>
    </row>
    <row r="196" ht="22.5" customHeight="1">
      <c r="A196" s="102"/>
      <c r="B196" s="93"/>
      <c r="C196" s="94"/>
      <c r="D196" s="94"/>
      <c r="E196" s="94"/>
    </row>
    <row r="197" ht="22.5" customHeight="1">
      <c r="A197" s="92"/>
      <c r="B197" s="93"/>
      <c r="C197" s="94"/>
      <c r="D197" s="94"/>
      <c r="E197" s="94"/>
    </row>
    <row r="198" ht="22.5" customHeight="1">
      <c r="A198" s="92"/>
      <c r="B198" s="93"/>
      <c r="C198" s="94"/>
      <c r="D198" s="94"/>
      <c r="E198" s="94"/>
    </row>
    <row r="199" ht="22.5" customHeight="1">
      <c r="A199" s="92"/>
      <c r="B199" s="93"/>
      <c r="C199" s="94"/>
      <c r="D199" s="94"/>
      <c r="E199" s="94"/>
    </row>
    <row r="200" ht="22.5" customHeight="1">
      <c r="A200" s="92"/>
      <c r="B200" s="93"/>
      <c r="C200" s="94"/>
      <c r="D200" s="94"/>
      <c r="E200" s="94"/>
    </row>
    <row r="201" ht="22.5" customHeight="1">
      <c r="A201" s="92"/>
      <c r="B201" s="93"/>
      <c r="C201" s="94"/>
      <c r="D201" s="94"/>
      <c r="E201" s="94"/>
    </row>
    <row r="202" ht="22.5" customHeight="1">
      <c r="A202" s="92"/>
      <c r="B202" s="93"/>
      <c r="C202" s="94"/>
      <c r="D202" s="94"/>
      <c r="E202" s="94"/>
    </row>
    <row r="203" ht="22.5" customHeight="1">
      <c r="A203" s="92"/>
      <c r="B203" s="93"/>
      <c r="C203" s="94"/>
      <c r="D203" s="94"/>
      <c r="E203" s="94"/>
    </row>
    <row r="204" ht="22.5" customHeight="1">
      <c r="A204" s="92"/>
      <c r="B204" s="93"/>
      <c r="C204" s="94"/>
      <c r="D204" s="94"/>
      <c r="E204" s="94"/>
    </row>
    <row r="205" ht="22.5" customHeight="1">
      <c r="A205" s="96"/>
      <c r="B205" s="93"/>
      <c r="C205" s="94"/>
      <c r="D205" s="94"/>
      <c r="E205" s="94"/>
    </row>
    <row r="206" ht="22.5" customHeight="1">
      <c r="A206" s="92"/>
      <c r="B206" s="93"/>
      <c r="C206" s="94"/>
      <c r="D206" s="94"/>
      <c r="E206" s="94"/>
    </row>
    <row r="207" ht="22.5" customHeight="1">
      <c r="A207" s="102"/>
      <c r="B207" s="93"/>
      <c r="C207" s="94"/>
      <c r="D207" s="94"/>
      <c r="E207" s="94"/>
    </row>
    <row r="208" ht="22.5" customHeight="1">
      <c r="A208" s="103"/>
      <c r="B208" s="93"/>
      <c r="C208" s="94"/>
      <c r="D208" s="94"/>
      <c r="E208" s="94"/>
    </row>
    <row r="209" ht="22.5" customHeight="1">
      <c r="A209" s="96"/>
      <c r="B209" s="93"/>
      <c r="C209" s="94"/>
      <c r="D209" s="94"/>
      <c r="E209" s="94"/>
    </row>
    <row r="210" ht="22.5" customHeight="1">
      <c r="A210" s="101"/>
      <c r="B210" s="93"/>
      <c r="C210" s="94"/>
      <c r="D210" s="94"/>
      <c r="E210" s="94"/>
    </row>
    <row r="211" ht="22.5" customHeight="1">
      <c r="A211" s="102"/>
      <c r="B211" s="93"/>
      <c r="C211" s="94"/>
      <c r="D211" s="94"/>
      <c r="E211" s="94"/>
    </row>
    <row r="212" ht="22.5" customHeight="1">
      <c r="A212" s="101"/>
      <c r="B212" s="93"/>
      <c r="C212" s="94"/>
      <c r="D212" s="94"/>
      <c r="E212" s="94"/>
    </row>
    <row r="213" ht="22.5" customHeight="1">
      <c r="A213" s="103"/>
      <c r="B213" s="93"/>
      <c r="C213" s="94"/>
      <c r="D213" s="94"/>
      <c r="E213" s="94"/>
    </row>
    <row r="214" ht="22.5" customHeight="1">
      <c r="A214" s="92"/>
      <c r="B214" s="93"/>
      <c r="C214" s="94"/>
      <c r="D214" s="94"/>
      <c r="E214" s="94"/>
    </row>
    <row r="215" ht="22.5" customHeight="1">
      <c r="A215" s="92"/>
      <c r="B215" s="93"/>
      <c r="C215" s="94"/>
      <c r="D215" s="94"/>
      <c r="E215" s="94"/>
    </row>
    <row r="216" ht="22.5" customHeight="1">
      <c r="A216" s="103"/>
      <c r="B216" s="93"/>
      <c r="C216" s="94"/>
      <c r="D216" s="94"/>
      <c r="E216" s="94"/>
    </row>
    <row r="217" ht="22.5" customHeight="1">
      <c r="A217" s="92"/>
      <c r="B217" s="93"/>
      <c r="C217" s="94"/>
      <c r="D217" s="94"/>
      <c r="E217" s="94"/>
    </row>
    <row r="218" ht="22.5" customHeight="1">
      <c r="A218" s="92"/>
      <c r="B218" s="93"/>
      <c r="C218" s="94"/>
      <c r="D218" s="94"/>
      <c r="E218" s="94"/>
    </row>
    <row r="219" ht="22.5" customHeight="1">
      <c r="A219" s="96"/>
      <c r="B219" s="93"/>
      <c r="C219" s="94"/>
      <c r="D219" s="94"/>
      <c r="E219" s="94"/>
    </row>
    <row r="220" ht="22.5" customHeight="1">
      <c r="A220" s="92"/>
      <c r="B220" s="93"/>
      <c r="C220" s="94"/>
      <c r="D220" s="94"/>
      <c r="E220" s="94"/>
    </row>
    <row r="221" ht="22.5" customHeight="1">
      <c r="A221" s="102"/>
      <c r="B221" s="93"/>
      <c r="C221" s="94"/>
      <c r="D221" s="94"/>
      <c r="E221" s="94"/>
    </row>
    <row r="222" ht="22.5" customHeight="1">
      <c r="A222" s="102"/>
      <c r="B222" s="93"/>
      <c r="C222" s="94"/>
      <c r="D222" s="94"/>
      <c r="E222" s="94"/>
    </row>
    <row r="223" ht="22.5" customHeight="1">
      <c r="A223" s="102"/>
      <c r="B223" s="93"/>
      <c r="C223" s="94"/>
      <c r="D223" s="94"/>
      <c r="E223" s="94"/>
    </row>
    <row r="224" ht="22.5" customHeight="1">
      <c r="A224" s="102"/>
      <c r="B224" s="93"/>
      <c r="C224" s="94"/>
      <c r="D224" s="94"/>
      <c r="E224" s="94"/>
    </row>
    <row r="225" ht="22.5" customHeight="1">
      <c r="A225" s="104"/>
      <c r="B225" s="93"/>
      <c r="C225" s="94"/>
      <c r="D225" s="94"/>
      <c r="E225" s="94"/>
    </row>
    <row r="226" ht="22.5" customHeight="1">
      <c r="A226" s="104"/>
      <c r="B226" s="93"/>
      <c r="C226" s="94"/>
      <c r="D226" s="94"/>
      <c r="E226" s="94"/>
    </row>
    <row r="227" ht="22.5" customHeight="1">
      <c r="A227" s="92"/>
      <c r="B227" s="93"/>
      <c r="C227" s="94"/>
      <c r="D227" s="94"/>
      <c r="E227" s="94"/>
    </row>
    <row r="228" ht="22.5" customHeight="1">
      <c r="A228" s="92"/>
      <c r="B228" s="93"/>
      <c r="C228" s="94"/>
      <c r="D228" s="94"/>
      <c r="E228" s="94"/>
    </row>
    <row r="229" ht="22.5" customHeight="1">
      <c r="A229" s="92"/>
      <c r="B229" s="93"/>
      <c r="C229" s="94"/>
      <c r="D229" s="94"/>
      <c r="E229" s="94"/>
    </row>
    <row r="230" ht="22.5" customHeight="1">
      <c r="A230" s="92"/>
      <c r="B230" s="93"/>
      <c r="C230" s="94"/>
      <c r="D230" s="94"/>
      <c r="E230" s="94"/>
    </row>
    <row r="231" ht="22.5" customHeight="1">
      <c r="A231" s="92"/>
      <c r="B231" s="93"/>
      <c r="C231" s="94"/>
      <c r="D231" s="94"/>
      <c r="E231" s="94"/>
    </row>
    <row r="232" ht="22.5" customHeight="1">
      <c r="A232" s="105"/>
      <c r="B232" s="93"/>
      <c r="C232" s="94"/>
      <c r="D232" s="94"/>
      <c r="E232" s="94"/>
    </row>
    <row r="233" ht="22.5" customHeight="1">
      <c r="A233" s="104"/>
      <c r="B233" s="93"/>
      <c r="C233" s="94"/>
      <c r="D233" s="94"/>
      <c r="E233" s="94"/>
    </row>
    <row r="234" ht="22.5" customHeight="1">
      <c r="A234" s="104"/>
      <c r="B234" s="93"/>
      <c r="C234" s="94"/>
      <c r="D234" s="94"/>
      <c r="E234" s="94"/>
    </row>
    <row r="235" ht="22.5" customHeight="1">
      <c r="A235" s="106"/>
      <c r="B235" s="93"/>
      <c r="C235" s="94"/>
      <c r="D235" s="94"/>
      <c r="E235" s="94"/>
    </row>
    <row r="236" ht="22.5" customHeight="1">
      <c r="A236" s="96"/>
      <c r="B236" s="93"/>
      <c r="C236" s="94"/>
      <c r="D236" s="94"/>
      <c r="E236" s="94"/>
    </row>
    <row r="237" ht="22.5" customHeight="1">
      <c r="A237" s="96"/>
      <c r="B237" s="93"/>
      <c r="C237" s="94"/>
      <c r="D237" s="94"/>
      <c r="E237" s="94"/>
    </row>
    <row r="238" ht="22.5" customHeight="1">
      <c r="A238" s="96"/>
      <c r="B238" s="93"/>
      <c r="C238" s="94"/>
      <c r="D238" s="94"/>
      <c r="E238" s="94"/>
    </row>
    <row r="239" ht="22.5" customHeight="1">
      <c r="A239" s="92"/>
      <c r="B239" s="93"/>
      <c r="C239" s="94"/>
      <c r="D239" s="94"/>
      <c r="E239" s="94"/>
    </row>
    <row r="240" ht="22.5" customHeight="1">
      <c r="A240" s="92"/>
      <c r="B240" s="93"/>
      <c r="C240" s="94"/>
      <c r="D240" s="94"/>
      <c r="E240" s="94"/>
    </row>
    <row r="241" ht="22.5" customHeight="1">
      <c r="A241" s="92"/>
      <c r="B241" s="93"/>
      <c r="C241" s="94"/>
      <c r="D241" s="94"/>
      <c r="E241" s="94"/>
    </row>
    <row r="242" ht="22.5" customHeight="1">
      <c r="A242" s="96"/>
      <c r="B242" s="93"/>
      <c r="C242" s="94"/>
      <c r="D242" s="94"/>
      <c r="E242" s="94"/>
    </row>
    <row r="243" ht="22.5" customHeight="1">
      <c r="A243" s="92"/>
      <c r="B243" s="93"/>
      <c r="C243" s="94"/>
      <c r="D243" s="94"/>
      <c r="E243" s="94"/>
    </row>
    <row r="244" ht="22.5" customHeight="1">
      <c r="A244" s="92"/>
      <c r="B244" s="93"/>
      <c r="C244" s="94"/>
      <c r="D244" s="94"/>
      <c r="E244" s="94"/>
    </row>
    <row r="245" ht="22.5" customHeight="1">
      <c r="A245" s="92"/>
      <c r="B245" s="93"/>
      <c r="C245" s="94"/>
      <c r="D245" s="94"/>
      <c r="E245" s="94"/>
    </row>
    <row r="246" ht="22.5" customHeight="1">
      <c r="A246" s="107"/>
      <c r="B246" s="93"/>
      <c r="C246" s="94"/>
      <c r="D246" s="94"/>
      <c r="E246" s="94"/>
    </row>
    <row r="247" ht="22.5" customHeight="1">
      <c r="A247" s="102"/>
      <c r="B247" s="93"/>
      <c r="C247" s="94"/>
      <c r="D247" s="94"/>
      <c r="E247" s="94"/>
    </row>
    <row r="248" ht="22.5" customHeight="1">
      <c r="A248" s="92"/>
      <c r="B248" s="93"/>
      <c r="C248" s="94"/>
      <c r="D248" s="94"/>
      <c r="E248" s="94"/>
    </row>
    <row r="249" ht="22.5" customHeight="1">
      <c r="A249" s="99"/>
      <c r="B249" s="93"/>
      <c r="C249" s="94"/>
      <c r="D249" s="94"/>
      <c r="E249" s="94"/>
    </row>
    <row r="250" ht="22.5" customHeight="1">
      <c r="A250" s="92"/>
      <c r="B250" s="93"/>
      <c r="C250" s="94"/>
      <c r="D250" s="94"/>
      <c r="E250" s="94"/>
    </row>
    <row r="251" ht="22.5" customHeight="1">
      <c r="A251" s="99"/>
      <c r="B251" s="93"/>
      <c r="C251" s="94"/>
      <c r="D251" s="94"/>
      <c r="E251" s="94"/>
    </row>
    <row r="252" ht="22.5" customHeight="1">
      <c r="A252" s="102"/>
      <c r="B252" s="93"/>
      <c r="C252" s="94"/>
      <c r="D252" s="94"/>
      <c r="E252" s="94"/>
    </row>
    <row r="253" ht="22.5" customHeight="1">
      <c r="A253" s="102"/>
      <c r="B253" s="93"/>
      <c r="C253" s="94"/>
      <c r="D253" s="94"/>
      <c r="E253" s="94"/>
    </row>
    <row r="254" ht="22.5" customHeight="1">
      <c r="A254" s="102"/>
      <c r="B254" s="93"/>
      <c r="C254" s="94"/>
      <c r="D254" s="94"/>
      <c r="E254" s="94"/>
    </row>
    <row r="255" ht="22.5" customHeight="1">
      <c r="A255" s="103"/>
      <c r="B255" s="93"/>
      <c r="C255" s="94"/>
      <c r="D255" s="94"/>
      <c r="E255" s="94"/>
    </row>
    <row r="256" ht="22.5" customHeight="1">
      <c r="A256" s="103"/>
      <c r="B256" s="93"/>
      <c r="C256" s="94"/>
      <c r="D256" s="94"/>
      <c r="E256" s="94"/>
    </row>
    <row r="257" ht="22.5" customHeight="1">
      <c r="A257" s="99"/>
      <c r="B257" s="93"/>
      <c r="C257" s="94"/>
      <c r="D257" s="94"/>
      <c r="E257" s="94"/>
    </row>
    <row r="258" ht="22.5" customHeight="1">
      <c r="A258" s="98"/>
      <c r="B258" s="93"/>
      <c r="C258" s="94"/>
      <c r="D258" s="94"/>
      <c r="E258" s="94"/>
    </row>
    <row r="259" ht="22.5" customHeight="1">
      <c r="A259" s="92"/>
      <c r="B259" s="93"/>
      <c r="C259" s="94"/>
      <c r="D259" s="94"/>
      <c r="E259" s="94"/>
    </row>
    <row r="260" ht="22.5" customHeight="1">
      <c r="A260" s="98"/>
      <c r="B260" s="93"/>
      <c r="C260" s="94"/>
      <c r="D260" s="94"/>
      <c r="E260" s="94"/>
    </row>
    <row r="261" ht="22.5" customHeight="1">
      <c r="A261" s="92"/>
      <c r="B261" s="93"/>
      <c r="C261" s="94"/>
      <c r="D261" s="94"/>
      <c r="E261" s="94"/>
    </row>
    <row r="262" ht="22.5" customHeight="1">
      <c r="A262" s="92"/>
      <c r="B262" s="93"/>
      <c r="C262" s="94"/>
      <c r="D262" s="94"/>
      <c r="E262" s="94"/>
    </row>
    <row r="263" ht="22.5" customHeight="1">
      <c r="A263" s="102"/>
      <c r="B263" s="93"/>
      <c r="C263" s="94"/>
      <c r="D263" s="94"/>
      <c r="E263" s="94"/>
    </row>
    <row r="264" ht="22.5" customHeight="1">
      <c r="A264" s="92"/>
      <c r="B264" s="93"/>
      <c r="C264" s="94"/>
      <c r="D264" s="94"/>
      <c r="E264" s="94"/>
    </row>
    <row r="265" ht="22.5" customHeight="1">
      <c r="A265" s="102"/>
      <c r="B265" s="93"/>
      <c r="C265" s="94"/>
      <c r="D265" s="94"/>
      <c r="E265" s="94"/>
    </row>
    <row r="266" ht="22.5" customHeight="1">
      <c r="A266" s="98"/>
      <c r="B266" s="93"/>
      <c r="C266" s="94"/>
      <c r="D266" s="94"/>
      <c r="E266" s="94"/>
    </row>
    <row r="267" ht="22.5" customHeight="1">
      <c r="A267" s="96"/>
      <c r="B267" s="93"/>
      <c r="C267" s="94"/>
      <c r="D267" s="94"/>
      <c r="E267" s="94"/>
    </row>
    <row r="268" ht="22.5" customHeight="1">
      <c r="A268" s="96"/>
      <c r="B268" s="93"/>
      <c r="C268" s="94"/>
      <c r="D268" s="94"/>
      <c r="E268" s="94"/>
    </row>
    <row r="269" ht="22.5" customHeight="1">
      <c r="A269" s="92"/>
      <c r="B269" s="93"/>
      <c r="C269" s="94"/>
      <c r="D269" s="94"/>
      <c r="E269" s="94"/>
    </row>
    <row r="270" ht="22.5" customHeight="1">
      <c r="A270" s="92"/>
      <c r="B270" s="93"/>
      <c r="C270" s="94"/>
      <c r="D270" s="94"/>
      <c r="E270" s="94"/>
    </row>
    <row r="271" ht="22.5" customHeight="1">
      <c r="A271" s="92"/>
      <c r="B271" s="93"/>
      <c r="C271" s="94"/>
      <c r="D271" s="94"/>
      <c r="E271" s="94"/>
    </row>
    <row r="272" ht="22.5" customHeight="1">
      <c r="A272" s="92"/>
      <c r="B272" s="93"/>
      <c r="C272" s="94"/>
      <c r="D272" s="94"/>
      <c r="E272" s="94"/>
    </row>
    <row r="273" ht="22.5" customHeight="1">
      <c r="A273" s="97"/>
      <c r="B273" s="93"/>
      <c r="C273" s="94"/>
      <c r="D273" s="94"/>
      <c r="E273" s="94"/>
    </row>
    <row r="274" ht="22.5" customHeight="1">
      <c r="A274" s="92"/>
      <c r="B274" s="93"/>
      <c r="C274" s="94"/>
      <c r="D274" s="94"/>
      <c r="E274" s="94"/>
    </row>
    <row r="275" ht="22.5" customHeight="1">
      <c r="A275" s="92"/>
      <c r="B275" s="93"/>
      <c r="C275" s="94"/>
      <c r="D275" s="94"/>
      <c r="E275" s="94"/>
    </row>
    <row r="276" ht="22.5" customHeight="1">
      <c r="A276" s="92"/>
      <c r="B276" s="93"/>
      <c r="C276" s="94"/>
      <c r="D276" s="94"/>
      <c r="E276" s="94"/>
    </row>
    <row r="277" ht="22.5" customHeight="1">
      <c r="A277" s="92"/>
      <c r="B277" s="93"/>
      <c r="C277" s="94"/>
      <c r="D277" s="94"/>
      <c r="E277" s="94"/>
    </row>
    <row r="278" ht="22.5" customHeight="1">
      <c r="A278" s="92"/>
      <c r="B278" s="93"/>
      <c r="C278" s="94"/>
      <c r="D278" s="94"/>
      <c r="E278" s="94"/>
    </row>
    <row r="279" ht="22.5" customHeight="1">
      <c r="A279" s="92"/>
      <c r="B279" s="93"/>
      <c r="C279" s="94"/>
      <c r="D279" s="94"/>
      <c r="E279" s="94"/>
    </row>
    <row r="280" ht="22.5" customHeight="1">
      <c r="A280" s="92"/>
      <c r="B280" s="93"/>
      <c r="C280" s="94"/>
      <c r="D280" s="94"/>
      <c r="E280" s="94"/>
    </row>
    <row r="281" ht="22.5" customHeight="1">
      <c r="A281" s="92"/>
      <c r="B281" s="93"/>
      <c r="C281" s="94"/>
      <c r="D281" s="94"/>
      <c r="E281" s="94"/>
    </row>
    <row r="282" ht="22.5" customHeight="1">
      <c r="A282" s="96"/>
      <c r="B282" s="93"/>
      <c r="C282" s="94"/>
      <c r="D282" s="94"/>
      <c r="E282" s="94"/>
    </row>
    <row r="283" ht="22.5" customHeight="1">
      <c r="A283" s="108"/>
      <c r="B283" s="93"/>
      <c r="C283" s="94"/>
      <c r="D283" s="94"/>
      <c r="E283" s="94"/>
    </row>
    <row r="284" ht="22.5" customHeight="1">
      <c r="A284" s="92"/>
      <c r="B284" s="93"/>
      <c r="C284" s="94"/>
      <c r="D284" s="94"/>
      <c r="E284" s="94"/>
    </row>
    <row r="285" ht="22.5" customHeight="1">
      <c r="A285" s="96"/>
      <c r="B285" s="93"/>
      <c r="C285" s="94"/>
      <c r="D285" s="94"/>
      <c r="E285" s="94"/>
    </row>
    <row r="286" ht="22.5" customHeight="1">
      <c r="A286" s="92"/>
      <c r="B286" s="93"/>
      <c r="C286" s="94"/>
      <c r="D286" s="94"/>
      <c r="E286" s="94"/>
    </row>
    <row r="287" ht="22.5" customHeight="1">
      <c r="A287" s="96"/>
      <c r="B287" s="93"/>
      <c r="C287" s="94"/>
      <c r="D287" s="94"/>
      <c r="E287" s="94"/>
    </row>
    <row r="288" ht="22.5" customHeight="1">
      <c r="A288" s="92"/>
      <c r="B288" s="93"/>
      <c r="C288" s="94"/>
      <c r="D288" s="94"/>
      <c r="E288" s="94"/>
    </row>
    <row r="289" ht="22.5" customHeight="1">
      <c r="A289" s="92"/>
      <c r="B289" s="93"/>
      <c r="C289" s="94"/>
      <c r="D289" s="94"/>
      <c r="E289" s="94"/>
    </row>
    <row r="290" ht="22.5" customHeight="1">
      <c r="A290" s="92"/>
      <c r="B290" s="93"/>
      <c r="C290" s="94"/>
      <c r="D290" s="94"/>
      <c r="E290" s="94"/>
    </row>
    <row r="291" ht="22.5" customHeight="1">
      <c r="A291" s="102"/>
      <c r="B291" s="93"/>
      <c r="C291" s="94"/>
      <c r="D291" s="94"/>
      <c r="E291" s="94"/>
    </row>
    <row r="292" ht="22.5" customHeight="1">
      <c r="A292" s="102"/>
      <c r="B292" s="93"/>
      <c r="C292" s="94"/>
      <c r="D292" s="94"/>
      <c r="E292" s="94"/>
    </row>
    <row r="293" ht="22.5" customHeight="1">
      <c r="A293" s="92"/>
      <c r="B293" s="93"/>
      <c r="C293" s="94"/>
      <c r="D293" s="94"/>
      <c r="E293" s="94"/>
    </row>
    <row r="294" ht="22.5" customHeight="1">
      <c r="A294" s="102"/>
      <c r="B294" s="93"/>
      <c r="C294" s="94"/>
      <c r="D294" s="94"/>
      <c r="E294" s="94"/>
    </row>
    <row r="295" ht="22.5" customHeight="1">
      <c r="A295" s="92"/>
      <c r="B295" s="93"/>
      <c r="C295" s="94"/>
      <c r="D295" s="94"/>
      <c r="E295" s="94"/>
    </row>
    <row r="296" ht="22.5" customHeight="1">
      <c r="A296" s="101"/>
      <c r="B296" s="93"/>
      <c r="C296" s="94"/>
      <c r="D296" s="94"/>
      <c r="E296" s="94"/>
    </row>
    <row r="297" ht="22.5" customHeight="1">
      <c r="A297" s="92"/>
      <c r="B297" s="93"/>
      <c r="C297" s="94"/>
      <c r="D297" s="94"/>
      <c r="E297" s="94"/>
    </row>
    <row r="298" ht="22.5" customHeight="1">
      <c r="A298" s="103"/>
      <c r="B298" s="93"/>
      <c r="C298" s="94"/>
      <c r="D298" s="94"/>
      <c r="E298" s="94"/>
    </row>
    <row r="299" ht="22.5" customHeight="1">
      <c r="A299" s="99"/>
      <c r="B299" s="93"/>
      <c r="C299" s="94"/>
      <c r="D299" s="94"/>
      <c r="E299" s="94"/>
    </row>
    <row r="300" ht="22.5" customHeight="1">
      <c r="A300" s="92"/>
      <c r="B300" s="93"/>
      <c r="C300" s="94"/>
      <c r="D300" s="94"/>
      <c r="E300" s="94"/>
    </row>
    <row r="301" ht="22.5" customHeight="1">
      <c r="A301" s="92"/>
      <c r="B301" s="93"/>
      <c r="C301" s="94"/>
      <c r="D301" s="94"/>
      <c r="E301" s="94"/>
    </row>
    <row r="302" ht="22.5" customHeight="1">
      <c r="A302" s="96"/>
      <c r="B302" s="93"/>
      <c r="C302" s="94"/>
      <c r="D302" s="94"/>
      <c r="E302" s="94"/>
    </row>
    <row r="303" ht="22.5" customHeight="1">
      <c r="A303" s="92"/>
      <c r="B303" s="93"/>
      <c r="C303" s="94"/>
      <c r="D303" s="94"/>
      <c r="E303" s="94"/>
    </row>
    <row r="304" ht="22.5" customHeight="1">
      <c r="A304" s="92"/>
      <c r="B304" s="93"/>
      <c r="C304" s="94"/>
      <c r="D304" s="94"/>
      <c r="E304" s="94"/>
    </row>
    <row r="305" ht="22.5" customHeight="1">
      <c r="A305" s="92"/>
      <c r="B305" s="93"/>
      <c r="C305" s="94"/>
      <c r="D305" s="94"/>
      <c r="E305" s="94"/>
    </row>
    <row r="306" ht="22.5" customHeight="1">
      <c r="A306" s="92"/>
      <c r="B306" s="93"/>
      <c r="C306" s="94"/>
      <c r="D306" s="94"/>
      <c r="E306" s="94"/>
    </row>
    <row r="307" ht="22.5" customHeight="1">
      <c r="A307" s="92"/>
      <c r="B307" s="93"/>
      <c r="C307" s="94"/>
      <c r="D307" s="94"/>
      <c r="E307" s="94"/>
    </row>
    <row r="308" ht="22.5" customHeight="1">
      <c r="A308" s="92"/>
      <c r="B308" s="93"/>
      <c r="C308" s="94"/>
      <c r="D308" s="94"/>
      <c r="E308" s="94"/>
    </row>
    <row r="309" ht="22.5" customHeight="1">
      <c r="A309" s="96"/>
      <c r="B309" s="93"/>
      <c r="C309" s="94"/>
      <c r="D309" s="94"/>
      <c r="E309" s="94"/>
    </row>
    <row r="310" ht="22.5" customHeight="1">
      <c r="A310" s="96"/>
      <c r="B310" s="93"/>
      <c r="C310" s="94"/>
      <c r="D310" s="94"/>
      <c r="E310" s="94"/>
    </row>
    <row r="311" ht="22.5" customHeight="1">
      <c r="A311" s="92"/>
      <c r="B311" s="93"/>
      <c r="C311" s="94"/>
      <c r="D311" s="94"/>
      <c r="E311" s="94"/>
    </row>
    <row r="312" ht="22.5" customHeight="1">
      <c r="A312" s="92"/>
      <c r="B312" s="93"/>
      <c r="C312" s="94"/>
      <c r="D312" s="94"/>
      <c r="E312" s="94"/>
    </row>
    <row r="313" ht="22.5" customHeight="1">
      <c r="A313" s="92"/>
      <c r="B313" s="93"/>
      <c r="C313" s="94"/>
      <c r="D313" s="94"/>
      <c r="E313" s="94"/>
    </row>
    <row r="314" ht="22.5" customHeight="1">
      <c r="A314" s="92"/>
      <c r="B314" s="93"/>
      <c r="C314" s="94"/>
      <c r="D314" s="94"/>
      <c r="E314" s="94"/>
    </row>
    <row r="315" ht="22.5" customHeight="1">
      <c r="A315" s="96"/>
      <c r="B315" s="93"/>
      <c r="C315" s="94"/>
      <c r="D315" s="94"/>
      <c r="E315" s="94"/>
    </row>
    <row r="316" ht="22.5" customHeight="1">
      <c r="A316" s="92"/>
      <c r="B316" s="93"/>
      <c r="C316" s="94"/>
      <c r="D316" s="94"/>
      <c r="E316" s="94"/>
    </row>
    <row r="317" ht="22.5" customHeight="1">
      <c r="A317" s="96"/>
      <c r="B317" s="93"/>
      <c r="C317" s="94"/>
      <c r="D317" s="94"/>
      <c r="E317" s="94"/>
    </row>
    <row r="318" ht="22.5" customHeight="1">
      <c r="A318" s="92"/>
      <c r="B318" s="93"/>
      <c r="C318" s="94"/>
      <c r="D318" s="94"/>
      <c r="E318" s="94"/>
    </row>
    <row r="319" ht="22.5" customHeight="1">
      <c r="A319" s="92"/>
      <c r="B319" s="93"/>
      <c r="C319" s="94"/>
      <c r="D319" s="94"/>
      <c r="E319" s="94"/>
    </row>
    <row r="320" ht="22.5" customHeight="1">
      <c r="A320" s="96"/>
      <c r="B320" s="93"/>
      <c r="C320" s="94"/>
      <c r="D320" s="94"/>
      <c r="E320" s="94"/>
    </row>
    <row r="321" ht="22.5" customHeight="1">
      <c r="A321" s="96"/>
      <c r="B321" s="93"/>
      <c r="C321" s="94"/>
      <c r="D321" s="94"/>
      <c r="E321" s="94"/>
    </row>
    <row r="322" ht="22.5" customHeight="1">
      <c r="A322" s="92"/>
      <c r="B322" s="93"/>
      <c r="C322" s="94"/>
      <c r="D322" s="94"/>
      <c r="E322" s="94"/>
    </row>
    <row r="323" ht="22.5" customHeight="1">
      <c r="A323" s="92"/>
      <c r="B323" s="93"/>
      <c r="C323" s="94"/>
      <c r="D323" s="94"/>
      <c r="E323" s="94"/>
    </row>
    <row r="324" ht="22.5" customHeight="1">
      <c r="A324" s="92"/>
      <c r="B324" s="93"/>
      <c r="C324" s="94"/>
      <c r="D324" s="94"/>
      <c r="E324" s="94"/>
    </row>
    <row r="325" ht="22.5" customHeight="1">
      <c r="A325" s="96"/>
      <c r="B325" s="93"/>
      <c r="C325" s="94"/>
      <c r="D325" s="94"/>
      <c r="E325" s="94"/>
    </row>
    <row r="326" ht="22.5" customHeight="1">
      <c r="A326" s="92"/>
      <c r="B326" s="93"/>
      <c r="C326" s="94"/>
      <c r="D326" s="94"/>
      <c r="E326" s="94"/>
    </row>
    <row r="327" ht="22.5" customHeight="1">
      <c r="A327" s="92"/>
      <c r="B327" s="93"/>
      <c r="C327" s="94"/>
      <c r="D327" s="94"/>
      <c r="E327" s="94"/>
    </row>
    <row r="328" ht="22.5" customHeight="1">
      <c r="A328" s="96"/>
      <c r="B328" s="93"/>
      <c r="C328" s="94"/>
      <c r="D328" s="94"/>
      <c r="E328" s="94"/>
    </row>
    <row r="329" ht="22.5" customHeight="1">
      <c r="A329" s="92"/>
      <c r="B329" s="93"/>
      <c r="C329" s="94"/>
      <c r="D329" s="94"/>
      <c r="E329" s="94"/>
    </row>
    <row r="330" ht="22.5" customHeight="1">
      <c r="A330" s="92"/>
      <c r="B330" s="93"/>
      <c r="C330" s="94"/>
      <c r="D330" s="94"/>
      <c r="E330" s="94"/>
    </row>
    <row r="331" ht="22.5" customHeight="1">
      <c r="A331" s="92"/>
      <c r="B331" s="93"/>
      <c r="C331" s="94"/>
      <c r="D331" s="94"/>
      <c r="E331" s="94"/>
    </row>
    <row r="332" ht="22.5" customHeight="1">
      <c r="A332" s="92"/>
      <c r="B332" s="93"/>
      <c r="C332" s="94"/>
      <c r="D332" s="94"/>
      <c r="E332" s="94"/>
    </row>
    <row r="333" ht="22.5" customHeight="1">
      <c r="A333" s="92"/>
      <c r="B333" s="93"/>
      <c r="C333" s="94"/>
      <c r="D333" s="94"/>
      <c r="E333" s="94"/>
    </row>
    <row r="334" ht="22.5" customHeight="1">
      <c r="A334" s="92"/>
      <c r="B334" s="93"/>
      <c r="C334" s="94"/>
      <c r="D334" s="94"/>
      <c r="E334" s="94"/>
    </row>
    <row r="335" ht="22.5" customHeight="1">
      <c r="A335" s="109"/>
      <c r="B335" s="93"/>
      <c r="C335" s="94"/>
      <c r="D335" s="94"/>
      <c r="E335" s="94"/>
    </row>
    <row r="336" ht="22.5" customHeight="1">
      <c r="A336" s="109"/>
      <c r="B336" s="93"/>
      <c r="C336" s="94"/>
      <c r="D336" s="94"/>
      <c r="E336" s="94"/>
    </row>
    <row r="337" ht="22.5" customHeight="1">
      <c r="A337" s="109"/>
      <c r="B337" s="93"/>
      <c r="C337" s="94"/>
      <c r="D337" s="94"/>
      <c r="E337" s="94"/>
    </row>
    <row r="338" ht="22.5" customHeight="1">
      <c r="A338" s="109"/>
      <c r="B338" s="93"/>
      <c r="C338" s="94"/>
      <c r="D338" s="94"/>
      <c r="E338" s="94"/>
    </row>
    <row r="339" ht="22.5" customHeight="1">
      <c r="A339" s="109"/>
      <c r="B339" s="93"/>
      <c r="C339" s="94"/>
      <c r="D339" s="94"/>
      <c r="E339" s="94"/>
    </row>
    <row r="340" ht="22.5" customHeight="1">
      <c r="A340" s="109"/>
      <c r="B340" s="93"/>
      <c r="C340" s="94"/>
      <c r="D340" s="94"/>
      <c r="E340" s="94"/>
    </row>
    <row r="341" ht="22.5" customHeight="1">
      <c r="A341" s="110"/>
      <c r="B341" s="93"/>
      <c r="C341" s="94"/>
      <c r="D341" s="94"/>
      <c r="E341" s="94"/>
    </row>
    <row r="342" ht="22.5" customHeight="1">
      <c r="A342" s="111"/>
      <c r="B342" s="93"/>
      <c r="C342" s="94"/>
      <c r="D342" s="94"/>
      <c r="E342" s="94"/>
    </row>
    <row r="343" ht="22.5" customHeight="1">
      <c r="A343" s="97"/>
      <c r="B343" s="93"/>
      <c r="C343" s="94"/>
      <c r="D343" s="94"/>
      <c r="E343" s="94"/>
    </row>
    <row r="344" ht="22.5" customHeight="1">
      <c r="A344" s="111"/>
      <c r="B344" s="93"/>
      <c r="C344" s="94"/>
      <c r="D344" s="94"/>
      <c r="E344" s="94"/>
    </row>
    <row r="345" ht="22.5" customHeight="1">
      <c r="A345" s="97"/>
      <c r="B345" s="93"/>
      <c r="C345" s="94"/>
      <c r="D345" s="94"/>
      <c r="E345" s="94"/>
    </row>
    <row r="346" ht="22.5" customHeight="1">
      <c r="A346" s="111"/>
      <c r="B346" s="93"/>
      <c r="C346" s="94"/>
      <c r="D346" s="94"/>
      <c r="E346" s="94"/>
    </row>
    <row r="347" ht="22.5" customHeight="1">
      <c r="A347" s="97"/>
      <c r="B347" s="93"/>
      <c r="C347" s="94"/>
      <c r="D347" s="94"/>
      <c r="E347" s="94"/>
    </row>
    <row r="348" ht="22.5" customHeight="1">
      <c r="A348" s="111"/>
      <c r="B348" s="93"/>
      <c r="C348" s="94"/>
      <c r="D348" s="94"/>
      <c r="E348" s="94"/>
    </row>
    <row r="349" ht="22.5" customHeight="1">
      <c r="A349" s="97"/>
      <c r="B349" s="93"/>
      <c r="C349" s="94"/>
      <c r="D349" s="94"/>
      <c r="E349" s="94"/>
    </row>
    <row r="350" ht="22.5" customHeight="1">
      <c r="A350" s="111"/>
      <c r="B350" s="93"/>
      <c r="C350" s="94"/>
      <c r="D350" s="94"/>
      <c r="E350" s="94"/>
    </row>
    <row r="351" ht="22.5" customHeight="1">
      <c r="A351" s="97"/>
      <c r="B351" s="93"/>
      <c r="C351" s="94"/>
      <c r="D351" s="94"/>
      <c r="E351" s="94"/>
    </row>
    <row r="352" ht="22.5" customHeight="1">
      <c r="A352" s="111"/>
      <c r="B352" s="93"/>
      <c r="C352" s="94"/>
      <c r="D352" s="94"/>
      <c r="E352" s="94"/>
    </row>
    <row r="353" ht="22.5" customHeight="1">
      <c r="A353" s="97"/>
      <c r="B353" s="93"/>
      <c r="C353" s="94"/>
      <c r="D353" s="94"/>
      <c r="E353" s="94"/>
    </row>
    <row r="354" ht="22.5" customHeight="1">
      <c r="A354" s="111"/>
      <c r="B354" s="93"/>
      <c r="C354" s="94"/>
      <c r="D354" s="94"/>
      <c r="E354" s="94"/>
    </row>
    <row r="355" ht="22.5" customHeight="1">
      <c r="A355" s="97"/>
      <c r="B355" s="93"/>
      <c r="C355" s="94"/>
      <c r="D355" s="94"/>
      <c r="E355" s="94"/>
    </row>
    <row r="356" ht="22.5" customHeight="1">
      <c r="A356" s="111"/>
      <c r="B356" s="93"/>
      <c r="C356" s="94"/>
      <c r="D356" s="94"/>
      <c r="E356" s="94"/>
    </row>
    <row r="357" ht="22.5" customHeight="1">
      <c r="A357" s="97"/>
      <c r="B357" s="93"/>
      <c r="C357" s="94"/>
      <c r="D357" s="94"/>
      <c r="E357" s="94"/>
    </row>
    <row r="358" ht="22.5" customHeight="1">
      <c r="A358" s="111"/>
      <c r="B358" s="93"/>
      <c r="C358" s="94"/>
      <c r="D358" s="94"/>
      <c r="E358" s="94"/>
    </row>
    <row r="359" ht="22.5" customHeight="1">
      <c r="A359" s="97"/>
      <c r="B359" s="93"/>
      <c r="C359" s="94"/>
      <c r="D359" s="94"/>
      <c r="E359" s="94"/>
    </row>
    <row r="360" ht="22.5" customHeight="1">
      <c r="A360" s="111"/>
      <c r="B360" s="93"/>
      <c r="C360" s="94"/>
      <c r="D360" s="94"/>
      <c r="E360" s="94"/>
    </row>
    <row r="361" ht="22.5" customHeight="1">
      <c r="A361" s="97"/>
      <c r="B361" s="93"/>
      <c r="C361" s="94"/>
      <c r="D361" s="94"/>
      <c r="E361" s="94"/>
    </row>
    <row r="362" ht="22.5" customHeight="1">
      <c r="A362" s="111"/>
      <c r="B362" s="93"/>
      <c r="C362" s="94"/>
      <c r="D362" s="94"/>
      <c r="E362" s="94"/>
    </row>
    <row r="363" ht="22.5" customHeight="1">
      <c r="A363" s="97"/>
      <c r="B363" s="93"/>
      <c r="C363" s="94"/>
      <c r="D363" s="94"/>
      <c r="E363" s="94"/>
    </row>
    <row r="364" ht="22.5" customHeight="1">
      <c r="A364" s="111"/>
      <c r="B364" s="93"/>
      <c r="C364" s="94"/>
      <c r="D364" s="94"/>
      <c r="E364" s="94"/>
    </row>
    <row r="365" ht="22.5" customHeight="1">
      <c r="A365" s="97"/>
      <c r="B365" s="93"/>
      <c r="C365" s="94"/>
      <c r="D365" s="94"/>
      <c r="E365" s="94"/>
    </row>
    <row r="366" ht="22.5" customHeight="1">
      <c r="A366" s="111"/>
      <c r="B366" s="93"/>
      <c r="C366" s="94"/>
      <c r="D366" s="94"/>
      <c r="E366" s="94"/>
    </row>
    <row r="367" ht="22.5" customHeight="1">
      <c r="A367" s="97"/>
      <c r="B367" s="93"/>
      <c r="C367" s="94"/>
      <c r="D367" s="94"/>
      <c r="E367" s="94"/>
    </row>
    <row r="368" ht="22.5" customHeight="1">
      <c r="A368" s="111"/>
      <c r="B368" s="93"/>
      <c r="C368" s="94"/>
      <c r="D368" s="94"/>
      <c r="E368" s="94"/>
    </row>
    <row r="369" ht="22.5" customHeight="1">
      <c r="A369" s="97"/>
      <c r="B369" s="93"/>
      <c r="C369" s="94"/>
      <c r="D369" s="94"/>
      <c r="E369" s="94"/>
    </row>
    <row r="370" ht="22.5" customHeight="1">
      <c r="A370" s="111"/>
      <c r="B370" s="93"/>
      <c r="C370" s="94"/>
      <c r="D370" s="94"/>
      <c r="E370" s="94"/>
    </row>
    <row r="371" ht="22.5" customHeight="1">
      <c r="A371" s="92"/>
      <c r="B371" s="93"/>
      <c r="C371" s="94"/>
      <c r="D371" s="94"/>
      <c r="E371" s="94"/>
    </row>
    <row r="372" ht="22.5" customHeight="1">
      <c r="A372" s="112"/>
      <c r="B372" s="93"/>
      <c r="C372" s="94"/>
      <c r="D372" s="94"/>
      <c r="E372" s="94"/>
    </row>
    <row r="373" ht="22.5" customHeight="1">
      <c r="A373" s="92"/>
      <c r="B373" s="93"/>
      <c r="C373" s="94"/>
      <c r="D373" s="94"/>
      <c r="E373" s="94"/>
    </row>
    <row r="374" ht="22.5" customHeight="1">
      <c r="A374" s="112"/>
      <c r="B374" s="93"/>
      <c r="C374" s="94"/>
      <c r="D374" s="94"/>
      <c r="E374" s="94"/>
    </row>
    <row r="375" ht="22.5" customHeight="1">
      <c r="A375" s="92"/>
      <c r="B375" s="93"/>
      <c r="C375" s="94"/>
      <c r="D375" s="94"/>
      <c r="E375" s="94"/>
    </row>
    <row r="376" ht="22.5" customHeight="1">
      <c r="A376" s="112"/>
      <c r="B376" s="93"/>
      <c r="C376" s="94"/>
      <c r="D376" s="94"/>
      <c r="E376" s="94"/>
    </row>
    <row r="377" ht="22.5" customHeight="1">
      <c r="A377" s="92"/>
      <c r="B377" s="93"/>
      <c r="C377" s="94"/>
      <c r="D377" s="94"/>
      <c r="E377" s="94"/>
    </row>
    <row r="378" ht="22.5" customHeight="1">
      <c r="A378" s="112"/>
      <c r="B378" s="93"/>
      <c r="C378" s="94"/>
      <c r="D378" s="94"/>
      <c r="E378" s="94"/>
    </row>
    <row r="379" ht="22.5" customHeight="1">
      <c r="A379" s="92"/>
      <c r="B379" s="93"/>
      <c r="C379" s="94"/>
      <c r="D379" s="94"/>
      <c r="E379" s="94"/>
    </row>
    <row r="380" ht="22.5" customHeight="1">
      <c r="A380" s="112"/>
      <c r="B380" s="93"/>
      <c r="C380" s="94"/>
      <c r="D380" s="94"/>
      <c r="E380" s="94"/>
    </row>
    <row r="381" ht="22.5" customHeight="1">
      <c r="A381" s="92"/>
      <c r="B381" s="93"/>
      <c r="C381" s="94"/>
      <c r="D381" s="94"/>
      <c r="E381" s="94"/>
    </row>
    <row r="382" ht="22.5" customHeight="1">
      <c r="A382" s="112"/>
      <c r="B382" s="93"/>
      <c r="C382" s="94"/>
      <c r="D382" s="94"/>
      <c r="E382" s="94"/>
    </row>
    <row r="383" ht="22.5" customHeight="1">
      <c r="A383" s="92"/>
      <c r="B383" s="93"/>
      <c r="C383" s="94"/>
      <c r="D383" s="94"/>
      <c r="E383" s="94"/>
    </row>
    <row r="384" ht="22.5" customHeight="1">
      <c r="A384" s="112"/>
      <c r="B384" s="93"/>
      <c r="C384" s="94"/>
      <c r="D384" s="94"/>
      <c r="E384" s="94"/>
    </row>
    <row r="385" ht="22.5" customHeight="1">
      <c r="A385" s="92"/>
      <c r="B385" s="93"/>
      <c r="C385" s="94"/>
      <c r="D385" s="94"/>
      <c r="E385" s="94"/>
    </row>
    <row r="386" ht="22.5" customHeight="1">
      <c r="A386" s="112"/>
      <c r="B386" s="93"/>
      <c r="C386" s="94"/>
      <c r="D386" s="94"/>
      <c r="E386" s="94"/>
    </row>
    <row r="387" ht="22.5" customHeight="1">
      <c r="A387" s="92"/>
      <c r="B387" s="93"/>
      <c r="C387" s="94"/>
      <c r="D387" s="94"/>
      <c r="E387" s="94"/>
    </row>
    <row r="388" ht="22.5" customHeight="1">
      <c r="A388" s="111"/>
      <c r="B388" s="93"/>
      <c r="C388" s="94"/>
      <c r="D388" s="94"/>
      <c r="E388" s="94"/>
    </row>
    <row r="389" ht="22.5" customHeight="1">
      <c r="A389" s="92"/>
      <c r="B389" s="93"/>
      <c r="C389" s="94"/>
      <c r="D389" s="94"/>
      <c r="E389" s="94"/>
    </row>
    <row r="390" ht="22.5" customHeight="1">
      <c r="A390" s="112"/>
      <c r="B390" s="93"/>
      <c r="C390" s="94"/>
      <c r="D390" s="94"/>
      <c r="E390" s="94"/>
    </row>
    <row r="391" ht="22.5" customHeight="1">
      <c r="A391" s="97"/>
      <c r="B391" s="93"/>
      <c r="C391" s="94"/>
      <c r="D391" s="94"/>
      <c r="E391" s="94"/>
    </row>
    <row r="392" ht="22.5" customHeight="1">
      <c r="A392" s="111"/>
      <c r="B392" s="93"/>
      <c r="C392" s="94"/>
      <c r="D392" s="94"/>
      <c r="E392" s="94"/>
    </row>
    <row r="393" ht="22.5" customHeight="1">
      <c r="A393" s="97"/>
      <c r="B393" s="93"/>
      <c r="C393" s="94"/>
      <c r="D393" s="94"/>
      <c r="E393" s="94"/>
    </row>
    <row r="394" ht="22.5" customHeight="1">
      <c r="A394" s="111"/>
      <c r="B394" s="93"/>
      <c r="C394" s="94"/>
      <c r="D394" s="94"/>
      <c r="E394" s="94"/>
    </row>
    <row r="395" ht="22.5" customHeight="1">
      <c r="A395" s="113"/>
      <c r="B395" s="93"/>
      <c r="C395" s="94"/>
      <c r="D395" s="94"/>
      <c r="E395" s="94"/>
    </row>
    <row r="396" ht="22.5" customHeight="1">
      <c r="A396" s="111"/>
      <c r="B396" s="93"/>
      <c r="C396" s="94"/>
      <c r="D396" s="94"/>
      <c r="E396" s="94"/>
    </row>
    <row r="397" ht="22.5" customHeight="1">
      <c r="A397" s="92"/>
      <c r="B397" s="93"/>
      <c r="C397" s="94"/>
      <c r="D397" s="94"/>
      <c r="E397" s="94"/>
    </row>
    <row r="398" ht="22.5" customHeight="1">
      <c r="A398" s="92"/>
      <c r="B398" s="93"/>
      <c r="C398" s="94"/>
      <c r="D398" s="94"/>
      <c r="E398" s="94"/>
    </row>
    <row r="399" ht="22.5" customHeight="1">
      <c r="A399" s="109"/>
      <c r="B399" s="93"/>
      <c r="C399" s="94"/>
      <c r="D399" s="94"/>
      <c r="E399" s="94"/>
    </row>
    <row r="400" ht="22.5" customHeight="1">
      <c r="A400" s="109"/>
      <c r="B400" s="93"/>
      <c r="C400" s="94"/>
      <c r="D400" s="94"/>
      <c r="E400" s="94"/>
    </row>
    <row r="401" ht="22.5" customHeight="1">
      <c r="A401" s="109"/>
      <c r="B401" s="93"/>
      <c r="C401" s="94"/>
      <c r="D401" s="94"/>
      <c r="E401" s="94"/>
    </row>
    <row r="402" ht="22.5" customHeight="1">
      <c r="A402" s="109"/>
      <c r="B402" s="93"/>
      <c r="C402" s="94"/>
      <c r="D402" s="94"/>
      <c r="E402" s="94"/>
    </row>
    <row r="403" ht="22.5" customHeight="1">
      <c r="A403" s="109"/>
      <c r="B403" s="93"/>
      <c r="C403" s="94"/>
      <c r="D403" s="94"/>
      <c r="E403" s="94"/>
    </row>
    <row r="404" ht="22.5" customHeight="1">
      <c r="A404" s="109"/>
      <c r="B404" s="93"/>
      <c r="C404" s="94"/>
      <c r="D404" s="94"/>
      <c r="E404" s="94"/>
    </row>
    <row r="405" ht="22.5" customHeight="1">
      <c r="A405" s="109"/>
      <c r="B405" s="93"/>
      <c r="C405" s="94"/>
      <c r="D405" s="94"/>
      <c r="E405" s="94"/>
    </row>
    <row r="406" ht="22.5" customHeight="1">
      <c r="A406" s="109"/>
      <c r="B406" s="93"/>
      <c r="C406" s="94"/>
      <c r="D406" s="94"/>
      <c r="E406" s="94"/>
    </row>
    <row r="407" ht="22.5" customHeight="1">
      <c r="A407" s="109"/>
      <c r="B407" s="93"/>
      <c r="C407" s="94"/>
      <c r="D407" s="94"/>
      <c r="E407" s="94"/>
    </row>
    <row r="408" ht="22.5" customHeight="1">
      <c r="A408" s="109"/>
      <c r="B408" s="93"/>
      <c r="C408" s="94"/>
      <c r="D408" s="94"/>
      <c r="E408" s="94"/>
    </row>
    <row r="409" ht="22.5" customHeight="1">
      <c r="A409" s="109"/>
      <c r="B409" s="93"/>
      <c r="C409" s="94"/>
      <c r="D409" s="94"/>
      <c r="E409" s="94"/>
    </row>
    <row r="410" ht="22.5" customHeight="1">
      <c r="A410" s="109"/>
      <c r="B410" s="93"/>
      <c r="C410" s="94"/>
      <c r="D410" s="94"/>
      <c r="E410" s="94"/>
    </row>
    <row r="411" ht="22.5" customHeight="1">
      <c r="A411" s="109"/>
      <c r="B411" s="93"/>
      <c r="C411" s="94"/>
      <c r="D411" s="94"/>
      <c r="E411" s="94"/>
    </row>
    <row r="412" ht="22.5" customHeight="1">
      <c r="A412" s="109"/>
      <c r="B412" s="93"/>
      <c r="C412" s="94"/>
      <c r="D412" s="94"/>
      <c r="E412" s="94"/>
    </row>
    <row r="413" ht="22.5" customHeight="1">
      <c r="A413" s="109"/>
      <c r="B413" s="93"/>
      <c r="C413" s="94"/>
      <c r="D413" s="94"/>
      <c r="E413" s="94"/>
    </row>
    <row r="414" ht="22.5" customHeight="1">
      <c r="A414" s="109"/>
      <c r="B414" s="93"/>
      <c r="C414" s="94"/>
      <c r="D414" s="94"/>
      <c r="E414" s="94"/>
    </row>
    <row r="415" ht="22.5" customHeight="1">
      <c r="A415" s="109"/>
      <c r="B415" s="93"/>
      <c r="C415" s="94"/>
      <c r="D415" s="94"/>
      <c r="E415" s="94"/>
    </row>
    <row r="416" ht="22.5" customHeight="1">
      <c r="A416" s="109"/>
      <c r="B416" s="93"/>
      <c r="C416" s="94"/>
      <c r="D416" s="94"/>
      <c r="E416" s="94"/>
    </row>
    <row r="417" ht="22.5" customHeight="1">
      <c r="A417" s="109"/>
      <c r="B417" s="93"/>
      <c r="C417" s="94"/>
      <c r="D417" s="94"/>
      <c r="E417" s="94"/>
    </row>
    <row r="418" ht="22.5" customHeight="1">
      <c r="A418" s="109"/>
      <c r="B418" s="93"/>
      <c r="C418" s="94"/>
      <c r="D418" s="94"/>
      <c r="E418" s="94"/>
    </row>
    <row r="419" ht="22.5" customHeight="1">
      <c r="A419" s="109"/>
      <c r="B419" s="93"/>
      <c r="C419" s="94"/>
      <c r="D419" s="94"/>
      <c r="E419" s="94"/>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2" max="2" width="19.88"/>
    <col customWidth="1" min="3" max="3" width="11.75"/>
    <col customWidth="1" min="4" max="4" width="14.75"/>
    <col customWidth="1" min="5" max="5" width="29.75"/>
    <col customWidth="1" min="6" max="7" width="23.88"/>
  </cols>
  <sheetData>
    <row r="1" ht="22.5" customHeight="1">
      <c r="A1" s="114" t="s">
        <v>1580</v>
      </c>
      <c r="B1" s="114" t="s">
        <v>1</v>
      </c>
      <c r="C1" s="114" t="s">
        <v>3</v>
      </c>
      <c r="D1" s="114" t="s">
        <v>433</v>
      </c>
      <c r="E1" s="114" t="s">
        <v>1581</v>
      </c>
      <c r="F1" s="115" t="s">
        <v>1582</v>
      </c>
    </row>
    <row r="2" ht="22.5" customHeight="1">
      <c r="A2" s="116" t="str">
        <f>Actual_Data!C2</f>
        <v>Aachal Vinod Bhandari </v>
      </c>
      <c r="B2" s="117">
        <f>Actual_Data!B2</f>
        <v>1</v>
      </c>
      <c r="C2" s="117">
        <f>IFERROR(IF(VLOOKUP(B2,Aaradhak_Details!$E:$F,2,FALSE)&lt;&gt;"",VLOOKUP(B2,Aaradhak_Details!$E:$F,2,FALSE),Actual_Data!D2),Actual_Data!D2)</f>
        <v>15</v>
      </c>
      <c r="D2" s="116" t="str">
        <f>IFERROR(VLOOKUP(B2,Aaradhak_Details!$E:$G,3,FALSE),"")</f>
        <v>B +ve</v>
      </c>
      <c r="E2" s="117">
        <f>IFERROR(IF(VLOOKUP(B2,Aaradhak_Details!$E:$I,5,FALSE)&lt;&gt;"",VLOOKUP(B2,Aaradhak_Details!$E:$I,5,FALSE),Actual_Data!E2),Actual_Data!E2)</f>
        <v>7720064326</v>
      </c>
      <c r="F2" s="118" t="str">
        <f t="array" ref="F2">IFERROR(
  INDEX(Aaradhak_Details!J:J, MATCH(B2, Aaradhak_Details!E:E, 0)),
  ""
)
</f>
        <v>https://drive.google.com/open?id=1leNh8vUSl2fpXLM86_zlju7kpjzTXg5j</v>
      </c>
      <c r="G2" s="119" t="str">
        <f t="array" ref="G2">IFERROR(
  XLOOKUP(A2, Aardhak_Details!B:B, Aardhak_Details!H:H),
  ""
)
</f>
        <v/>
      </c>
    </row>
    <row r="3" ht="22.5" customHeight="1">
      <c r="A3" s="116" t="str">
        <f>Actual_Data!C3</f>
        <v>Aanchal jain </v>
      </c>
      <c r="B3" s="117">
        <f>Actual_Data!B3</f>
        <v>2</v>
      </c>
      <c r="C3" s="117">
        <f>IFERROR(IF(VLOOKUP(B3,Aaradhak_Details!$E:$F,2,FALSE)&lt;&gt;"",VLOOKUP(B3,Aaradhak_Details!$E:$F,2,FALSE),Actual_Data!D3),Actual_Data!D3)</f>
        <v>26</v>
      </c>
      <c r="D3" s="116" t="str">
        <f>IFERROR(VLOOKUP(B3,Aaradhak_Details!$E:$G,3,FALSE),"")</f>
        <v>B +ve</v>
      </c>
      <c r="E3" s="117">
        <f>IFERROR(IF(VLOOKUP(B3,Aaradhak_Details!$E:$I,5,FALSE)&lt;&gt;"",VLOOKUP(B3,Aaradhak_Details!$E:$I,5,FALSE),Actual_Data!E3),Actual_Data!E3)</f>
        <v>9826990266</v>
      </c>
      <c r="F3" s="118" t="str">
        <f t="array" ref="F3">IFERROR(
  INDEX(Aaradhak_Details!J:J, MATCH(B3, Aaradhak_Details!E:E, 0)),
  ""
)
</f>
        <v>https://drive.google.com/open?id=1Pk-gWVTSSBzWIgAzVdacMhc8fBVmB7V4</v>
      </c>
    </row>
    <row r="4" ht="22.5" customHeight="1">
      <c r="A4" s="116" t="str">
        <f>Actual_Data!C4</f>
        <v>Aangi</v>
      </c>
      <c r="B4" s="117">
        <f>Actual_Data!B4</f>
        <v>3</v>
      </c>
      <c r="C4" s="117">
        <f>IFERROR(IF(VLOOKUP(B4,Aaradhak_Details!$E:$F,2,FALSE)&lt;&gt;"",VLOOKUP(B4,Aaradhak_Details!$E:$F,2,FALSE),Actual_Data!D4),Actual_Data!D4)</f>
        <v>20</v>
      </c>
      <c r="D4" s="116" t="str">
        <f>IFERROR(VLOOKUP(B4,Aaradhak_Details!$E:$G,3,FALSE),"")</f>
        <v>O +ve</v>
      </c>
      <c r="E4" s="117">
        <f>IFERROR(IF(VLOOKUP(B4,Aaradhak_Details!$E:$I,5,FALSE)&lt;&gt;"",VLOOKUP(B4,Aaradhak_Details!$E:$I,5,FALSE),Actual_Data!E4),Actual_Data!E4)</f>
        <v>9825529797</v>
      </c>
      <c r="F4" s="118" t="str">
        <f t="array" ref="F4">IFERROR(
  INDEX(Aaradhak_Details!J:J, MATCH(B4, Aaradhak_Details!E:E, 0)),
  ""
)
</f>
        <v>https://drive.google.com/open?id=1xEgnxvO9TrHNEbL4s0w-tubtN8yBsdmP</v>
      </c>
    </row>
    <row r="5" ht="22.5" customHeight="1">
      <c r="A5" s="116" t="str">
        <f>Actual_Data!C5</f>
        <v>Aarna</v>
      </c>
      <c r="B5" s="117">
        <f>Actual_Data!B5</f>
        <v>4</v>
      </c>
      <c r="C5" s="117">
        <f>IFERROR(IF(VLOOKUP(B5,Aaradhak_Details!$E:$F,2,FALSE)&lt;&gt;"",VLOOKUP(B5,Aaradhak_Details!$E:$F,2,FALSE),Actual_Data!D5),Actual_Data!D5)</f>
        <v>13</v>
      </c>
      <c r="D5" s="116" t="str">
        <f>IFERROR(VLOOKUP(B5,Aaradhak_Details!$E:$G,3,FALSE),"")</f>
        <v>A +ve</v>
      </c>
      <c r="E5" s="117">
        <f>IFERROR(IF(VLOOKUP(B5,Aaradhak_Details!$E:$I,5,FALSE)&lt;&gt;"",VLOOKUP(B5,Aaradhak_Details!$E:$I,5,FALSE),Actual_Data!E5),Actual_Data!E5)</f>
        <v>9904082060</v>
      </c>
      <c r="F5" s="118" t="str">
        <f t="array" ref="F5">IFERROR(
  INDEX(Aaradhak_Details!J:J, MATCH(B5, Aaradhak_Details!E:E, 0)),
  ""
)
</f>
        <v>https://drive.google.com/open?id=1HCpgRtQSMj4AUEuv7jvRMQbRRajWdQZ4</v>
      </c>
    </row>
    <row r="6" ht="22.5" customHeight="1">
      <c r="A6" s="116" t="str">
        <f>Actual_Data!C6</f>
        <v>Aarushi Bhandari </v>
      </c>
      <c r="B6" s="117">
        <f>Actual_Data!B6</f>
        <v>5</v>
      </c>
      <c r="C6" s="117">
        <f>IFERROR(IF(VLOOKUP(B6,Aaradhak_Details!$E:$F,2,FALSE)&lt;&gt;"",VLOOKUP(B6,Aaradhak_Details!$E:$F,2,FALSE),Actual_Data!D6),Actual_Data!D6)</f>
        <v>21</v>
      </c>
      <c r="D6" s="116" t="str">
        <f>IFERROR(VLOOKUP(B6,Aaradhak_Details!$E:$G,3,FALSE),"")</f>
        <v>B +ve</v>
      </c>
      <c r="E6" s="117">
        <f>IFERROR(IF(VLOOKUP(B6,Aaradhak_Details!$E:$I,5,FALSE)&lt;&gt;"",VLOOKUP(B6,Aaradhak_Details!$E:$I,5,FALSE),Actual_Data!E6),Actual_Data!E6)</f>
        <v>7898954083</v>
      </c>
      <c r="F6" s="118" t="str">
        <f t="array" ref="F6">IFERROR(
  INDEX(Aaradhak_Details!J:J, MATCH(B6, Aaradhak_Details!E:E, 0)),
  ""
)
</f>
        <v>https://drive.google.com/open?id=1GNICRNBvoOyF2dC_2G-aSg9ISikON033</v>
      </c>
    </row>
    <row r="7" ht="22.5" customHeight="1">
      <c r="A7" s="116" t="str">
        <f>Actual_Data!C7</f>
        <v>Aashvi chhajed</v>
      </c>
      <c r="B7" s="117">
        <f>Actual_Data!B7</f>
        <v>6</v>
      </c>
      <c r="C7" s="117">
        <f>IFERROR(IF(VLOOKUP(B7,Aaradhak_Details!$E:$F,2,FALSE)&lt;&gt;"",VLOOKUP(B7,Aaradhak_Details!$E:$F,2,FALSE),Actual_Data!D7),Actual_Data!D7)</f>
        <v>15</v>
      </c>
      <c r="D7" s="116" t="str">
        <f>IFERROR(VLOOKUP(B7,Aaradhak_Details!$E:$G,3,FALSE),"")</f>
        <v>B +ve</v>
      </c>
      <c r="E7" s="117">
        <f>IFERROR(IF(VLOOKUP(B7,Aaradhak_Details!$E:$I,5,FALSE)&lt;&gt;"",VLOOKUP(B7,Aaradhak_Details!$E:$I,5,FALSE),Actual_Data!E7),Actual_Data!E7)</f>
        <v>7000496236</v>
      </c>
      <c r="F7" s="118" t="str">
        <f t="array" ref="F7">IFERROR(
  INDEX(Aaradhak_Details!J:J, MATCH(B7, Aaradhak_Details!E:E, 0)),
  ""
)
</f>
        <v>https://drive.google.com/open?id=1ZoOhSBD3jdBKwbTbNeaFuNmZNrLi4cJy</v>
      </c>
    </row>
    <row r="8" ht="22.5" customHeight="1">
      <c r="A8" s="116" t="str">
        <f>Actual_Data!C8</f>
        <v>Aayushi Jain</v>
      </c>
      <c r="B8" s="117">
        <f>Actual_Data!B8</f>
        <v>7</v>
      </c>
      <c r="C8" s="117">
        <f>IFERROR(IF(VLOOKUP(B8,Aaradhak_Details!$E:$F,2,FALSE)&lt;&gt;"",VLOOKUP(B8,Aaradhak_Details!$E:$F,2,FALSE),Actual_Data!D8),Actual_Data!D8)</f>
        <v>19</v>
      </c>
      <c r="D8" s="116" t="str">
        <f>IFERROR(VLOOKUP(B8,Aaradhak_Details!$E:$G,3,FALSE),"")</f>
        <v>AB +ve</v>
      </c>
      <c r="E8" s="117">
        <f>IFERROR(IF(VLOOKUP(B8,Aaradhak_Details!$E:$I,5,FALSE)&lt;&gt;"",VLOOKUP(B8,Aaradhak_Details!$E:$I,5,FALSE),Actual_Data!E8),Actual_Data!E8)</f>
        <v>6261707675</v>
      </c>
      <c r="F8" s="118" t="str">
        <f t="array" ref="F8">IFERROR(
  INDEX(Aaradhak_Details!J:J, MATCH(B8, Aaradhak_Details!E:E, 0)),
  ""
)
</f>
        <v>https://drive.google.com/open?id=1yG_q-4vKPmnndSeO_MOv-hjSY8KdkWAx</v>
      </c>
    </row>
    <row r="9" ht="22.5" customHeight="1">
      <c r="A9" s="116" t="str">
        <f>Actual_Data!C9</f>
        <v>Aayushi shah</v>
      </c>
      <c r="B9" s="117">
        <f>Actual_Data!B9</f>
        <v>8</v>
      </c>
      <c r="C9" s="117">
        <f>IFERROR(IF(VLOOKUP(B9,Aaradhak_Details!$E:$F,2,FALSE)&lt;&gt;"",VLOOKUP(B9,Aaradhak_Details!$E:$F,2,FALSE),Actual_Data!D9),Actual_Data!D9)</f>
        <v>25</v>
      </c>
      <c r="D9" s="116" t="str">
        <f>IFERROR(VLOOKUP(B9,Aaradhak_Details!$E:$G,3,FALSE),"")</f>
        <v>B -ve</v>
      </c>
      <c r="E9" s="117">
        <f>IFERROR(IF(VLOOKUP(B9,Aaradhak_Details!$E:$I,5,FALSE)&lt;&gt;"",VLOOKUP(B9,Aaradhak_Details!$E:$I,5,FALSE),Actual_Data!E9),Actual_Data!E9)</f>
        <v>9224190392</v>
      </c>
      <c r="F9" s="118" t="str">
        <f t="array" ref="F9">IFERROR(
  INDEX(Aaradhak_Details!J:J, MATCH(B9, Aaradhak_Details!E:E, 0)),
  ""
)
</f>
        <v>https://drive.google.com/open?id=1IsNNNfO3tG--Fg0fxMigbPaSt4Ess-l-</v>
      </c>
    </row>
    <row r="10" ht="22.5" customHeight="1">
      <c r="A10" s="116" t="str">
        <f>Actual_Data!C10</f>
        <v>Abhilasha Jain</v>
      </c>
      <c r="B10" s="117">
        <f>Actual_Data!B10</f>
        <v>9</v>
      </c>
      <c r="C10" s="117">
        <f>IFERROR(IF(VLOOKUP(B10,Aaradhak_Details!$E:$F,2,FALSE)&lt;&gt;"",VLOOKUP(B10,Aaradhak_Details!$E:$F,2,FALSE),Actual_Data!D10),Actual_Data!D10)</f>
        <v>34</v>
      </c>
      <c r="D10" s="116" t="str">
        <f>IFERROR(VLOOKUP(B10,Aaradhak_Details!$E:$G,3,FALSE),"")</f>
        <v>AB +ve</v>
      </c>
      <c r="E10" s="117">
        <f>IFERROR(IF(VLOOKUP(B10,Aaradhak_Details!$E:$I,5,FALSE)&lt;&gt;"",VLOOKUP(B10,Aaradhak_Details!$E:$I,5,FALSE),Actual_Data!E10),Actual_Data!E10)</f>
        <v>9926124861</v>
      </c>
      <c r="F10" s="118" t="str">
        <f t="array" ref="F10">IFERROR(
  INDEX(Aaradhak_Details!J:J, MATCH(B10, Aaradhak_Details!E:E, 0)),
  ""
)
</f>
        <v>https://drive.google.com/open?id=1qr6viFOCwyAc02DBZ-C-fqLj0AzakiDq</v>
      </c>
    </row>
    <row r="11" ht="22.5" customHeight="1">
      <c r="A11" s="116" t="str">
        <f>Actual_Data!C11</f>
        <v>Additi Solanki</v>
      </c>
      <c r="B11" s="117">
        <f>Actual_Data!B11</f>
        <v>10</v>
      </c>
      <c r="C11" s="117">
        <f>IFERROR(IF(VLOOKUP(B11,Aaradhak_Details!$E:$F,2,FALSE)&lt;&gt;"",VLOOKUP(B11,Aaradhak_Details!$E:$F,2,FALSE),Actual_Data!D11),Actual_Data!D11)</f>
        <v>23</v>
      </c>
      <c r="D11" s="116" t="str">
        <f>IFERROR(VLOOKUP(B11,Aaradhak_Details!$E:$G,3,FALSE),"")</f>
        <v>B +ve</v>
      </c>
      <c r="E11" s="117">
        <f>IFERROR(IF(VLOOKUP(B11,Aaradhak_Details!$E:$I,5,FALSE)&lt;&gt;"",VLOOKUP(B11,Aaradhak_Details!$E:$I,5,FALSE),Actual_Data!E11),Actual_Data!E11)</f>
        <v>9940478564</v>
      </c>
      <c r="F11" s="118" t="str">
        <f t="array" ref="F11">IFERROR(
  INDEX(Aaradhak_Details!J:J, MATCH(B11, Aaradhak_Details!E:E, 0)),
  ""
)
</f>
        <v>https://drive.google.com/open?id=1IVxjVwg4NlNzLptTJIjS-xDskZWlRg6t</v>
      </c>
    </row>
    <row r="12" ht="22.5" customHeight="1">
      <c r="A12" s="116" t="str">
        <f>Actual_Data!C12</f>
        <v>Aditi</v>
      </c>
      <c r="B12" s="117">
        <f>Actual_Data!B12</f>
        <v>11</v>
      </c>
      <c r="C12" s="117">
        <f>IFERROR(IF(VLOOKUP(B12,Aaradhak_Details!$E:$F,2,FALSE)&lt;&gt;"",VLOOKUP(B12,Aaradhak_Details!$E:$F,2,FALSE),Actual_Data!D12),Actual_Data!D12)</f>
        <v>23</v>
      </c>
      <c r="D12" s="116" t="str">
        <f>IFERROR(VLOOKUP(B12,Aaradhak_Details!$E:$G,3,FALSE),"")</f>
        <v>A +ve</v>
      </c>
      <c r="E12" s="117">
        <f>IFERROR(IF(VLOOKUP(B12,Aaradhak_Details!$E:$I,5,FALSE)&lt;&gt;"",VLOOKUP(B12,Aaradhak_Details!$E:$I,5,FALSE),Actual_Data!E12),Actual_Data!E12)</f>
        <v>9324746678</v>
      </c>
      <c r="F12" s="118" t="str">
        <f t="array" ref="F12">IFERROR(
  INDEX(Aaradhak_Details!J:J, MATCH(B12, Aaradhak_Details!E:E, 0)),
  ""
)
</f>
        <v>https://drive.google.com/open?id=1EAB3FQz0Korngl0ssBPI_hipMXlbCNgh</v>
      </c>
    </row>
    <row r="13" ht="22.5" customHeight="1">
      <c r="A13" s="116" t="str">
        <f>Actual_Data!C13</f>
        <v>Aditi Bhandari</v>
      </c>
      <c r="B13" s="117">
        <f>Actual_Data!B13</f>
        <v>12</v>
      </c>
      <c r="C13" s="117">
        <f>IFERROR(IF(VLOOKUP(B13,Aaradhak_Details!$E:$F,2,FALSE)&lt;&gt;"",VLOOKUP(B13,Aaradhak_Details!$E:$F,2,FALSE),Actual_Data!D13),Actual_Data!D13)</f>
        <v>21</v>
      </c>
      <c r="D13" s="116" t="str">
        <f>IFERROR(VLOOKUP(B13,Aaradhak_Details!$E:$G,3,FALSE),"")</f>
        <v>O +ve</v>
      </c>
      <c r="E13" s="117">
        <f>IFERROR(IF(VLOOKUP(B13,Aaradhak_Details!$E:$I,5,FALSE)&lt;&gt;"",VLOOKUP(B13,Aaradhak_Details!$E:$I,5,FALSE),Actual_Data!E13),Actual_Data!E13)</f>
        <v>6260662123</v>
      </c>
      <c r="F13" s="118" t="str">
        <f t="array" ref="F13">IFERROR(
  INDEX(Aaradhak_Details!J:J, MATCH(B13, Aaradhak_Details!E:E, 0)),
  ""
)
</f>
        <v>https://drive.google.com/open?id=1oXPy6Zm6GhoIYSzNkxKURVQ7djkjD5og</v>
      </c>
    </row>
    <row r="14" ht="22.5" customHeight="1">
      <c r="A14" s="116" t="str">
        <f>Actual_Data!C14</f>
        <v>Aditi jain</v>
      </c>
      <c r="B14" s="117">
        <f>Actual_Data!B14</f>
        <v>13</v>
      </c>
      <c r="C14" s="117">
        <f>IFERROR(IF(VLOOKUP(B14,Aaradhak_Details!$E:$F,2,FALSE)&lt;&gt;"",VLOOKUP(B14,Aaradhak_Details!$E:$F,2,FALSE),Actual_Data!D14),Actual_Data!D14)</f>
        <v>22</v>
      </c>
      <c r="D14" s="116" t="str">
        <f>IFERROR(VLOOKUP(B14,Aaradhak_Details!$E:$G,3,FALSE),"")</f>
        <v>A +ve</v>
      </c>
      <c r="E14" s="117">
        <f>IFERROR(IF(VLOOKUP(B14,Aaradhak_Details!$E:$I,5,FALSE)&lt;&gt;"",VLOOKUP(B14,Aaradhak_Details!$E:$I,5,FALSE),Actual_Data!E14),Actual_Data!E14)</f>
        <v>8435695030</v>
      </c>
      <c r="F14" s="118" t="str">
        <f t="array" ref="F14">IFERROR(
  INDEX(Aaradhak_Details!J:J, MATCH(B14, Aaradhak_Details!E:E, 0)),
  ""
)
</f>
        <v>https://drive.google.com/open?id=1fsYeyvPM0MDktd5Fgn3GWHAhAUF-pmPW</v>
      </c>
    </row>
    <row r="15" ht="22.5" customHeight="1">
      <c r="A15" s="116" t="str">
        <f>Actual_Data!C15</f>
        <v>Aishvi jain</v>
      </c>
      <c r="B15" s="117">
        <f>Actual_Data!B15</f>
        <v>14</v>
      </c>
      <c r="C15" s="117">
        <f>IFERROR(IF(VLOOKUP(B15,Aaradhak_Details!$E:$F,2,FALSE)&lt;&gt;"",VLOOKUP(B15,Aaradhak_Details!$E:$F,2,FALSE),Actual_Data!D15),Actual_Data!D15)</f>
        <v>26</v>
      </c>
      <c r="D15" s="116" t="str">
        <f>IFERROR(VLOOKUP(B15,Aaradhak_Details!$E:$G,3,FALSE),"")</f>
        <v>B +ve</v>
      </c>
      <c r="E15" s="117">
        <f>IFERROR(IF(VLOOKUP(B15,Aaradhak_Details!$E:$I,5,FALSE)&lt;&gt;"",VLOOKUP(B15,Aaradhak_Details!$E:$I,5,FALSE),Actual_Data!E15),Actual_Data!E15)</f>
        <v>9893618270</v>
      </c>
      <c r="F15" s="118" t="str">
        <f t="array" ref="F15">IFERROR(
  INDEX(Aaradhak_Details!J:J, MATCH(B15, Aaradhak_Details!E:E, 0)),
  ""
)
</f>
        <v>https://drive.google.com/open?id=11HDfHGWyVyRZ6cfWoSFilBJQ_vpyMVF8</v>
      </c>
    </row>
    <row r="16" ht="22.5" customHeight="1">
      <c r="A16" s="116" t="str">
        <f>Actual_Data!C16</f>
        <v>Akshara Jain</v>
      </c>
      <c r="B16" s="117">
        <f>Actual_Data!B16</f>
        <v>15</v>
      </c>
      <c r="C16" s="117">
        <f>IFERROR(IF(VLOOKUP(B16,Aaradhak_Details!$E:$F,2,FALSE)&lt;&gt;"",VLOOKUP(B16,Aaradhak_Details!$E:$F,2,FALSE),Actual_Data!D16),Actual_Data!D16)</f>
        <v>16</v>
      </c>
      <c r="D16" s="116" t="str">
        <f>IFERROR(VLOOKUP(B16,Aaradhak_Details!$E:$G,3,FALSE),"")</f>
        <v/>
      </c>
      <c r="E16" s="117">
        <f>IFERROR(IF(VLOOKUP(B16,Aaradhak_Details!$E:$I,5,FALSE)&lt;&gt;"",VLOOKUP(B16,Aaradhak_Details!$E:$I,5,FALSE),Actual_Data!E16),Actual_Data!E16)</f>
        <v>9584175407</v>
      </c>
      <c r="F16" s="94" t="str">
        <f t="array" ref="F16">IFERROR(
  INDEX(Aaradhak_Details!J:J, MATCH(B16, Aaradhak_Details!E:E, 0)),
  ""
)
</f>
        <v/>
      </c>
    </row>
    <row r="17" ht="22.5" customHeight="1">
      <c r="A17" s="116" t="str">
        <f>Actual_Data!C17</f>
        <v>Aksharachopra</v>
      </c>
      <c r="B17" s="117">
        <f>Actual_Data!B17</f>
        <v>16</v>
      </c>
      <c r="C17" s="117">
        <f>IFERROR(IF(VLOOKUP(B17,Aaradhak_Details!$E:$F,2,FALSE)&lt;&gt;"",VLOOKUP(B17,Aaradhak_Details!$E:$F,2,FALSE),Actual_Data!D17),Actual_Data!D17)</f>
        <v>17</v>
      </c>
      <c r="D17" s="116" t="str">
        <f>IFERROR(VLOOKUP(B17,Aaradhak_Details!$E:$G,3,FALSE),"")</f>
        <v>O +ve</v>
      </c>
      <c r="E17" s="117">
        <f>IFERROR(IF(VLOOKUP(B17,Aaradhak_Details!$E:$I,5,FALSE)&lt;&gt;"",VLOOKUP(B17,Aaradhak_Details!$E:$I,5,FALSE),Actual_Data!E17),Actual_Data!E17)</f>
        <v>9300638289</v>
      </c>
      <c r="F17" s="118" t="str">
        <f t="array" ref="F17">IFERROR(
  INDEX(Aaradhak_Details!J:J, MATCH(B17, Aaradhak_Details!E:E, 0)),
  ""
)
</f>
        <v>https://drive.google.com/open?id=1qjGe0s8uGO2FjUCr_Ae2YluvlxGU-yoO</v>
      </c>
    </row>
    <row r="18" ht="22.5" customHeight="1">
      <c r="A18" s="116" t="str">
        <f>Actual_Data!C18</f>
        <v>Amisha Saklecha</v>
      </c>
      <c r="B18" s="117">
        <f>Actual_Data!B18</f>
        <v>18</v>
      </c>
      <c r="C18" s="117">
        <f>IFERROR(IF(VLOOKUP(B18,Aaradhak_Details!$E:$F,2,FALSE)&lt;&gt;"",VLOOKUP(B18,Aaradhak_Details!$E:$F,2,FALSE),Actual_Data!D18),Actual_Data!D18)</f>
        <v>25</v>
      </c>
      <c r="D18" s="116" t="str">
        <f>IFERROR(VLOOKUP(B18,Aaradhak_Details!$E:$G,3,FALSE),"")</f>
        <v>A +ve</v>
      </c>
      <c r="E18" s="117">
        <f>IFERROR(IF(VLOOKUP(B18,Aaradhak_Details!$E:$I,5,FALSE)&lt;&gt;"",VLOOKUP(B18,Aaradhak_Details!$E:$I,5,FALSE),Actual_Data!E18),Actual_Data!E18)</f>
        <v>9713410009</v>
      </c>
      <c r="F18" s="118" t="str">
        <f t="array" ref="F18">IFERROR(
  INDEX(Aaradhak_Details!J:J, MATCH(B18, Aaradhak_Details!E:E, 0)),
  ""
)
</f>
        <v>https://drive.google.com/open?id=1pGnRcx4f1hPxHK0dkzJrs7ghuXPZyB11</v>
      </c>
    </row>
    <row r="19" ht="22.5" customHeight="1">
      <c r="A19" s="116" t="str">
        <f>Actual_Data!C19</f>
        <v>Amita Mangesh Bora</v>
      </c>
      <c r="B19" s="117">
        <f>Actual_Data!B19</f>
        <v>19</v>
      </c>
      <c r="C19" s="117">
        <f>IFERROR(IF(VLOOKUP(B19,Aaradhak_Details!$E:$F,2,FALSE)&lt;&gt;"",VLOOKUP(B19,Aaradhak_Details!$E:$F,2,FALSE),Actual_Data!D19),Actual_Data!D19)</f>
        <v>32</v>
      </c>
      <c r="D19" s="116" t="str">
        <f>IFERROR(VLOOKUP(B19,Aaradhak_Details!$E:$G,3,FALSE),"")</f>
        <v>B +ve</v>
      </c>
      <c r="E19" s="117">
        <f>IFERROR(IF(VLOOKUP(B19,Aaradhak_Details!$E:$I,5,FALSE)&lt;&gt;"",VLOOKUP(B19,Aaradhak_Details!$E:$I,5,FALSE),Actual_Data!E19),Actual_Data!E19)</f>
        <v>9762808997</v>
      </c>
      <c r="F19" s="118" t="str">
        <f t="array" ref="F19">IFERROR(
  INDEX(Aaradhak_Details!J:J, MATCH(B19, Aaradhak_Details!E:E, 0)),
  ""
)
</f>
        <v>https://drive.google.com/open?id=1B7c4IO8U5tRyLDWb746lfEgxoK-jDl4V</v>
      </c>
    </row>
    <row r="20" ht="22.5" customHeight="1">
      <c r="A20" s="116" t="str">
        <f>Actual_Data!C20</f>
        <v>Aneriben Manoj Kumar Shah </v>
      </c>
      <c r="B20" s="117">
        <f>Actual_Data!B20</f>
        <v>20</v>
      </c>
      <c r="C20" s="117">
        <f>IFERROR(IF(VLOOKUP(B20,Aaradhak_Details!$E:$F,2,FALSE)&lt;&gt;"",VLOOKUP(B20,Aaradhak_Details!$E:$F,2,FALSE),Actual_Data!D20),Actual_Data!D20)</f>
        <v>20</v>
      </c>
      <c r="D20" s="116" t="str">
        <f>IFERROR(VLOOKUP(B20,Aaradhak_Details!$E:$G,3,FALSE),"")</f>
        <v>A +ve</v>
      </c>
      <c r="E20" s="117">
        <f>IFERROR(IF(VLOOKUP(B20,Aaradhak_Details!$E:$I,5,FALSE)&lt;&gt;"",VLOOKUP(B20,Aaradhak_Details!$E:$I,5,FALSE),Actual_Data!E20),Actual_Data!E20)</f>
        <v>6380334389</v>
      </c>
      <c r="F20" s="118" t="str">
        <f t="array" ref="F20">IFERROR(
  INDEX(Aaradhak_Details!J:J, MATCH(B20, Aaradhak_Details!E:E, 0)),
  ""
)
</f>
        <v>https://drive.google.com/open?id=1Ke70RV3FarPfXPW4PmWACWj_CoIA8i4N</v>
      </c>
    </row>
    <row r="21" ht="22.5" customHeight="1">
      <c r="A21" s="116" t="str">
        <f>Actual_Data!C21</f>
        <v>Anuja Romil Shah</v>
      </c>
      <c r="B21" s="117">
        <f>Actual_Data!B21</f>
        <v>21</v>
      </c>
      <c r="C21" s="117">
        <f>IFERROR(IF(VLOOKUP(B21,Aaradhak_Details!$E:$F,2,FALSE)&lt;&gt;"",VLOOKUP(B21,Aaradhak_Details!$E:$F,2,FALSE),Actual_Data!D21),Actual_Data!D21)</f>
        <v>42</v>
      </c>
      <c r="D21" s="116" t="str">
        <f>IFERROR(VLOOKUP(B21,Aaradhak_Details!$E:$G,3,FALSE),"")</f>
        <v>B +ve</v>
      </c>
      <c r="E21" s="117">
        <f>IFERROR(IF(VLOOKUP(B21,Aaradhak_Details!$E:$I,5,FALSE)&lt;&gt;"",VLOOKUP(B21,Aaradhak_Details!$E:$I,5,FALSE),Actual_Data!E21),Actual_Data!E21)</f>
        <v>9825011862</v>
      </c>
      <c r="F21" s="118" t="str">
        <f t="array" ref="F21">IFERROR(
  INDEX(Aaradhak_Details!J:J, MATCH(B21, Aaradhak_Details!E:E, 0)),
  ""
)
</f>
        <v>https://drive.google.com/open?id=1ZPhSG_D5BL8eN1rbI3-IUd-dpGn8tdgO</v>
      </c>
    </row>
    <row r="22" ht="22.5" customHeight="1">
      <c r="A22" s="116" t="str">
        <f>Actual_Data!C22</f>
        <v>Anushi Jain</v>
      </c>
      <c r="B22" s="117">
        <f>Actual_Data!B22</f>
        <v>22</v>
      </c>
      <c r="C22" s="117">
        <f>IFERROR(IF(VLOOKUP(B22,Aaradhak_Details!$E:$F,2,FALSE)&lt;&gt;"",VLOOKUP(B22,Aaradhak_Details!$E:$F,2,FALSE),Actual_Data!D22),Actual_Data!D22)</f>
        <v>24</v>
      </c>
      <c r="D22" s="116" t="str">
        <f>IFERROR(VLOOKUP(B22,Aaradhak_Details!$E:$G,3,FALSE),"")</f>
        <v>O +ve</v>
      </c>
      <c r="E22" s="117">
        <f>IFERROR(IF(VLOOKUP(B22,Aaradhak_Details!$E:$I,5,FALSE)&lt;&gt;"",VLOOKUP(B22,Aaradhak_Details!$E:$I,5,FALSE),Actual_Data!E22),Actual_Data!E22)</f>
        <v>9827071761</v>
      </c>
      <c r="F22" s="118" t="str">
        <f t="array" ref="F22">IFERROR(
  INDEX(Aaradhak_Details!J:J, MATCH(B22, Aaradhak_Details!E:E, 0)),
  ""
)
</f>
        <v>https://drive.google.com/open?id=1-dKLRDOlrHDu6S5FwVi65ajMnEUFQxXk</v>
      </c>
    </row>
    <row r="23" ht="22.5" customHeight="1">
      <c r="A23" s="116" t="str">
        <f>Actual_Data!C23</f>
        <v>Anushka Kataria</v>
      </c>
      <c r="B23" s="117">
        <f>Actual_Data!B23</f>
        <v>23</v>
      </c>
      <c r="C23" s="117">
        <f>IFERROR(IF(VLOOKUP(B23,Aaradhak_Details!$E:$F,2,FALSE)&lt;&gt;"",VLOOKUP(B23,Aaradhak_Details!$E:$F,2,FALSE),Actual_Data!D23),Actual_Data!D23)</f>
        <v>21</v>
      </c>
      <c r="D23" s="116" t="str">
        <f>IFERROR(VLOOKUP(B23,Aaradhak_Details!$E:$G,3,FALSE),"")</f>
        <v>B +ve</v>
      </c>
      <c r="E23" s="117">
        <f>IFERROR(IF(VLOOKUP(B23,Aaradhak_Details!$E:$I,5,FALSE)&lt;&gt;"",VLOOKUP(B23,Aaradhak_Details!$E:$I,5,FALSE),Actual_Data!E23),Actual_Data!E23)</f>
        <v>9425104131</v>
      </c>
      <c r="F23" s="118" t="str">
        <f t="array" ref="F23">IFERROR(
  INDEX(Aaradhak_Details!J:J, MATCH(B23, Aaradhak_Details!E:E, 0)),
  ""
)
</f>
        <v>https://drive.google.com/open?id=1MW-FmSb1BED-BzTiAKYND3h78d9UzyCi</v>
      </c>
    </row>
    <row r="24" ht="22.5" customHeight="1">
      <c r="A24" s="116" t="str">
        <f>Actual_Data!C24</f>
        <v>Aradhana jain</v>
      </c>
      <c r="B24" s="117">
        <f>Actual_Data!B24</f>
        <v>25</v>
      </c>
      <c r="C24" s="117">
        <f>IFERROR(IF(VLOOKUP(B24,Aaradhak_Details!$E:$F,2,FALSE)&lt;&gt;"",VLOOKUP(B24,Aaradhak_Details!$E:$F,2,FALSE),Actual_Data!D24),Actual_Data!D24)</f>
        <v>31</v>
      </c>
      <c r="D24" s="116" t="str">
        <f>IFERROR(VLOOKUP(B24,Aaradhak_Details!$E:$G,3,FALSE),"")</f>
        <v>B +ve</v>
      </c>
      <c r="E24" s="117">
        <f>IFERROR(IF(VLOOKUP(B24,Aaradhak_Details!$E:$I,5,FALSE)&lt;&gt;"",VLOOKUP(B24,Aaradhak_Details!$E:$I,5,FALSE),Actual_Data!E24),Actual_Data!E24)</f>
        <v>7999992925</v>
      </c>
      <c r="F24" s="118" t="str">
        <f t="array" ref="F24">IFERROR(
  INDEX(Aaradhak_Details!J:J, MATCH(B24, Aaradhak_Details!E:E, 0)),
  ""
)
</f>
        <v>https://drive.google.com/open?id=1RUTBG-dunzR_1ITec3zSOmHz3rrl50QJ</v>
      </c>
    </row>
    <row r="25" ht="22.5" customHeight="1">
      <c r="A25" s="116" t="str">
        <f>Actual_Data!C25</f>
        <v>Ariha Deep Shah</v>
      </c>
      <c r="B25" s="117">
        <f>Actual_Data!B25</f>
        <v>26</v>
      </c>
      <c r="C25" s="117">
        <f>IFERROR(IF(VLOOKUP(B25,Aaradhak_Details!$E:$F,2,FALSE)&lt;&gt;"",VLOOKUP(B25,Aaradhak_Details!$E:$F,2,FALSE),Actual_Data!D25),Actual_Data!D25)</f>
        <v>26</v>
      </c>
      <c r="D25" s="116" t="str">
        <f>IFERROR(VLOOKUP(B25,Aaradhak_Details!$E:$G,3,FALSE),"")</f>
        <v>A +ve</v>
      </c>
      <c r="E25" s="117">
        <f>IFERROR(IF(VLOOKUP(B25,Aaradhak_Details!$E:$I,5,FALSE)&lt;&gt;"",VLOOKUP(B25,Aaradhak_Details!$E:$I,5,FALSE),Actual_Data!E25),Actual_Data!E25)</f>
        <v>9011096550</v>
      </c>
      <c r="F25" s="118" t="str">
        <f t="array" ref="F25">IFERROR(
  INDEX(Aaradhak_Details!J:J, MATCH(B25, Aaradhak_Details!E:E, 0)),
  ""
)
</f>
        <v>https://drive.google.com/open?id=1UoCU_mvxPdga2KKiJOjJ6nmOWArJqR10</v>
      </c>
    </row>
    <row r="26" ht="22.5" customHeight="1">
      <c r="A26" s="116" t="str">
        <f>Actual_Data!C26</f>
        <v>Arpita Jain</v>
      </c>
      <c r="B26" s="117">
        <f>Actual_Data!B26</f>
        <v>27</v>
      </c>
      <c r="C26" s="117">
        <f>IFERROR(IF(VLOOKUP(B26,Aaradhak_Details!$E:$F,2,FALSE)&lt;&gt;"",VLOOKUP(B26,Aaradhak_Details!$E:$F,2,FALSE),Actual_Data!D26),Actual_Data!D26)</f>
        <v>23</v>
      </c>
      <c r="D26" s="116" t="str">
        <f>IFERROR(VLOOKUP(B26,Aaradhak_Details!$E:$G,3,FALSE),"")</f>
        <v>O +ve</v>
      </c>
      <c r="E26" s="117">
        <f>IFERROR(IF(VLOOKUP(B26,Aaradhak_Details!$E:$I,5,FALSE)&lt;&gt;"",VLOOKUP(B26,Aaradhak_Details!$E:$I,5,FALSE),Actual_Data!E26),Actual_Data!E26)</f>
        <v>9179352310</v>
      </c>
      <c r="F26" s="118" t="str">
        <f t="array" ref="F26">IFERROR(
  INDEX(Aaradhak_Details!J:J, MATCH(B26, Aaradhak_Details!E:E, 0)),
  ""
)
</f>
        <v>https://drive.google.com/open?id=14YwRH3CbaEyOm0I6W_0vyT-FDwqzBGoA</v>
      </c>
    </row>
    <row r="27" ht="22.5" customHeight="1">
      <c r="A27" s="116" t="str">
        <f>Actual_Data!C27</f>
        <v>Arpita vanvat</v>
      </c>
      <c r="B27" s="117">
        <f>Actual_Data!B27</f>
        <v>28</v>
      </c>
      <c r="C27" s="117">
        <f>IFERROR(IF(VLOOKUP(B27,Aaradhak_Details!$E:$F,2,FALSE)&lt;&gt;"",VLOOKUP(B27,Aaradhak_Details!$E:$F,2,FALSE),Actual_Data!D27),Actual_Data!D27)</f>
        <v>36</v>
      </c>
      <c r="D27" s="116" t="str">
        <f>IFERROR(VLOOKUP(B27,Aaradhak_Details!$E:$G,3,FALSE),"")</f>
        <v>O +ve</v>
      </c>
      <c r="E27" s="117">
        <f>IFERROR(IF(VLOOKUP(B27,Aaradhak_Details!$E:$I,5,FALSE)&lt;&gt;"",VLOOKUP(B27,Aaradhak_Details!$E:$I,5,FALSE),Actual_Data!E27),Actual_Data!E27)</f>
        <v>8770483294</v>
      </c>
      <c r="F27" s="118" t="str">
        <f t="array" ref="F27">IFERROR(
  INDEX(Aaradhak_Details!J:J, MATCH(B27, Aaradhak_Details!E:E, 0)),
  ""
)
</f>
        <v>https://drive.google.com/open?id=1WzoZcztCOECOdvrMIj6CdHBUMzOvXd5H</v>
      </c>
    </row>
    <row r="28" ht="22.5" customHeight="1">
      <c r="A28" s="116" t="str">
        <f>Actual_Data!C28</f>
        <v>Ashvi Jain </v>
      </c>
      <c r="B28" s="117">
        <f>Actual_Data!B28</f>
        <v>29</v>
      </c>
      <c r="C28" s="117">
        <f>IFERROR(IF(VLOOKUP(B28,Aaradhak_Details!$E:$F,2,FALSE)&lt;&gt;"",VLOOKUP(B28,Aaradhak_Details!$E:$F,2,FALSE),Actual_Data!D28),Actual_Data!D28)</f>
        <v>18</v>
      </c>
      <c r="D28" s="116" t="str">
        <f>IFERROR(VLOOKUP(B28,Aaradhak_Details!$E:$G,3,FALSE),"")</f>
        <v>AB +ve</v>
      </c>
      <c r="E28" s="117">
        <f>IFERROR(IF(VLOOKUP(B28,Aaradhak_Details!$E:$I,5,FALSE)&lt;&gt;"",VLOOKUP(B28,Aaradhak_Details!$E:$I,5,FALSE),Actual_Data!E28),Actual_Data!E28)</f>
        <v>9425068194</v>
      </c>
      <c r="F28" s="118" t="str">
        <f t="array" ref="F28">IFERROR(
  INDEX(Aaradhak_Details!J:J, MATCH(B28, Aaradhak_Details!E:E, 0)),
  ""
)
</f>
        <v>https://drive.google.com/open?id=1Gzr-eY1XG6Yh53-0x80OZ0hCCHuTviea</v>
      </c>
    </row>
    <row r="29" ht="22.5" customHeight="1">
      <c r="A29" s="116" t="str">
        <f>Actual_Data!C29</f>
        <v>Avani Lodha </v>
      </c>
      <c r="B29" s="117">
        <f>Actual_Data!B29</f>
        <v>30</v>
      </c>
      <c r="C29" s="117">
        <f>IFERROR(IF(VLOOKUP(B29,Aaradhak_Details!$E:$F,2,FALSE)&lt;&gt;"",VLOOKUP(B29,Aaradhak_Details!$E:$F,2,FALSE),Actual_Data!D29),Actual_Data!D29)</f>
        <v>19</v>
      </c>
      <c r="D29" s="116" t="str">
        <f>IFERROR(VLOOKUP(B29,Aaradhak_Details!$E:$G,3,FALSE),"")</f>
        <v/>
      </c>
      <c r="E29" s="117">
        <f>IFERROR(IF(VLOOKUP(B29,Aaradhak_Details!$E:$I,5,FALSE)&lt;&gt;"",VLOOKUP(B29,Aaradhak_Details!$E:$I,5,FALSE),Actual_Data!E29),Actual_Data!E29)</f>
        <v>9424044167</v>
      </c>
      <c r="F29" s="94" t="str">
        <f t="array" ref="F29">IFERROR(
  INDEX(Aaradhak_Details!J:J, MATCH(B29, Aaradhak_Details!E:E, 0)),
  ""
)
</f>
        <v/>
      </c>
    </row>
    <row r="30" ht="22.5" customHeight="1">
      <c r="A30" s="116" t="str">
        <f>Actual_Data!C30</f>
        <v>Avni jain </v>
      </c>
      <c r="B30" s="117">
        <f>Actual_Data!B30</f>
        <v>32</v>
      </c>
      <c r="C30" s="117">
        <f>IFERROR(IF(VLOOKUP(B30,Aaradhak_Details!$E:$F,2,FALSE)&lt;&gt;"",VLOOKUP(B30,Aaradhak_Details!$E:$F,2,FALSE),Actual_Data!D30),Actual_Data!D30)</f>
        <v>27</v>
      </c>
      <c r="D30" s="116" t="str">
        <f>IFERROR(VLOOKUP(B30,Aaradhak_Details!$E:$G,3,FALSE),"")</f>
        <v>B +ve</v>
      </c>
      <c r="E30" s="117">
        <f>IFERROR(IF(VLOOKUP(B30,Aaradhak_Details!$E:$I,5,FALSE)&lt;&gt;"",VLOOKUP(B30,Aaradhak_Details!$E:$I,5,FALSE),Actual_Data!E30),Actual_Data!E30)</f>
        <v>7771906579</v>
      </c>
      <c r="F30" s="118" t="str">
        <f t="array" ref="F30">IFERROR(
  INDEX(Aaradhak_Details!J:J, MATCH(B30, Aaradhak_Details!E:E, 0)),
  ""
)
</f>
        <v>https://drive.google.com/open?id=1EI6cBj0MJs2Z2a84cigzSX7mh8TzeshT</v>
      </c>
    </row>
    <row r="31" ht="22.5" customHeight="1">
      <c r="A31" s="116" t="str">
        <f>Actual_Data!C31</f>
        <v>Ayushi chopra</v>
      </c>
      <c r="B31" s="117">
        <f>Actual_Data!B31</f>
        <v>33</v>
      </c>
      <c r="C31" s="117">
        <f>IFERROR(IF(VLOOKUP(B31,Aaradhak_Details!$E:$F,2,FALSE)&lt;&gt;"",VLOOKUP(B31,Aaradhak_Details!$E:$F,2,FALSE),Actual_Data!D31),Actual_Data!D31)</f>
        <v>24</v>
      </c>
      <c r="D31" s="116" t="str">
        <f>IFERROR(VLOOKUP(B31,Aaradhak_Details!$E:$G,3,FALSE),"")</f>
        <v>O +ve</v>
      </c>
      <c r="E31" s="117">
        <f>IFERROR(IF(VLOOKUP(B31,Aaradhak_Details!$E:$I,5,FALSE)&lt;&gt;"",VLOOKUP(B31,Aaradhak_Details!$E:$I,5,FALSE),Actual_Data!E31),Actual_Data!E31)</f>
        <v>7354054343</v>
      </c>
      <c r="F31" s="118" t="str">
        <f t="array" ref="F31">IFERROR(
  INDEX(Aaradhak_Details!J:J, MATCH(B31, Aaradhak_Details!E:E, 0)),
  ""
)
</f>
        <v>https://drive.google.com/open?id=14wcqcgIGR0Ogh4UE59Vti2Yb5PU8SOPF</v>
      </c>
    </row>
    <row r="32" ht="22.5" customHeight="1">
      <c r="A32" s="116" t="str">
        <f>Actual_Data!C32</f>
        <v>B Ritu kothari</v>
      </c>
      <c r="B32" s="117">
        <f>Actual_Data!B32</f>
        <v>34</v>
      </c>
      <c r="C32" s="117">
        <f>IFERROR(IF(VLOOKUP(B32,Aaradhak_Details!$E:$F,2,FALSE)&lt;&gt;"",VLOOKUP(B32,Aaradhak_Details!$E:$F,2,FALSE),Actual_Data!D32),Actual_Data!D32)</f>
        <v>28</v>
      </c>
      <c r="D32" s="116" t="str">
        <f>IFERROR(VLOOKUP(B32,Aaradhak_Details!$E:$G,3,FALSE),"")</f>
        <v>O +ve</v>
      </c>
      <c r="E32" s="117">
        <f>IFERROR(IF(VLOOKUP(B32,Aaradhak_Details!$E:$I,5,FALSE)&lt;&gt;"",VLOOKUP(B32,Aaradhak_Details!$E:$I,5,FALSE),Actual_Data!E32),Actual_Data!E32)</f>
        <v>9381015186</v>
      </c>
      <c r="F32" s="118" t="str">
        <f t="array" ref="F32">IFERROR(
  INDEX(Aaradhak_Details!J:J, MATCH(B32, Aaradhak_Details!E:E, 0)),
  ""
)
</f>
        <v>https://drive.google.com/open?id=1mbUKXlvn8WyYxBGBy83PxmjJXvIOtb_Y</v>
      </c>
    </row>
    <row r="33" ht="22.5" customHeight="1">
      <c r="A33" s="116" t="str">
        <f>Actual_Data!C33</f>
        <v>Bhaavee Chirag Doshi</v>
      </c>
      <c r="B33" s="117">
        <f>Actual_Data!B33</f>
        <v>35</v>
      </c>
      <c r="C33" s="117">
        <f>IFERROR(IF(VLOOKUP(B33,Aaradhak_Details!$E:$F,2,FALSE)&lt;&gt;"",VLOOKUP(B33,Aaradhak_Details!$E:$F,2,FALSE),Actual_Data!D33),Actual_Data!D33)</f>
        <v>13</v>
      </c>
      <c r="D33" s="116" t="str">
        <f>IFERROR(VLOOKUP(B33,Aaradhak_Details!$E:$G,3,FALSE),"")</f>
        <v>O +ve</v>
      </c>
      <c r="E33" s="117">
        <f>IFERROR(IF(VLOOKUP(B33,Aaradhak_Details!$E:$I,5,FALSE)&lt;&gt;"",VLOOKUP(B33,Aaradhak_Details!$E:$I,5,FALSE),Actual_Data!E33),Actual_Data!E33)</f>
        <v>9552278383</v>
      </c>
      <c r="F33" s="118" t="str">
        <f t="array" ref="F33">IFERROR(
  INDEX(Aaradhak_Details!J:J, MATCH(B33, Aaradhak_Details!E:E, 0)),
  ""
)
</f>
        <v>https://drive.google.com/open?id=1de-zzjrMLpbRjC3DgCls3MbFVoq8eB3U</v>
      </c>
    </row>
    <row r="34" ht="22.5" customHeight="1">
      <c r="A34" s="116" t="str">
        <f>Actual_Data!C34</f>
        <v>Bhakti Jhaveri </v>
      </c>
      <c r="B34" s="117">
        <f>Actual_Data!B34</f>
        <v>36</v>
      </c>
      <c r="C34" s="117">
        <f>IFERROR(IF(VLOOKUP(B34,Aaradhak_Details!$E:$F,2,FALSE)&lt;&gt;"",VLOOKUP(B34,Aaradhak_Details!$E:$F,2,FALSE),Actual_Data!D34),Actual_Data!D34)</f>
        <v>40</v>
      </c>
      <c r="D34" s="116" t="str">
        <f>IFERROR(VLOOKUP(B34,Aaradhak_Details!$E:$G,3,FALSE),"")</f>
        <v>B +ve</v>
      </c>
      <c r="E34" s="117">
        <f>IFERROR(IF(VLOOKUP(B34,Aaradhak_Details!$E:$I,5,FALSE)&lt;&gt;"",VLOOKUP(B34,Aaradhak_Details!$E:$I,5,FALSE),Actual_Data!E34),Actual_Data!E34)</f>
        <v>8369232493</v>
      </c>
      <c r="F34" s="118" t="str">
        <f t="array" ref="F34">IFERROR(
  INDEX(Aaradhak_Details!J:J, MATCH(B34, Aaradhak_Details!E:E, 0)),
  ""
)
</f>
        <v>https://drive.google.com/open?id=1SXjn-AFGny_IPMt32vvw6rwfUNYXdhhg</v>
      </c>
    </row>
    <row r="35" ht="22.5" customHeight="1">
      <c r="A35" s="116" t="str">
        <f>Actual_Data!C35</f>
        <v>Bhavana </v>
      </c>
      <c r="B35" s="117">
        <f>Actual_Data!B35</f>
        <v>37</v>
      </c>
      <c r="C35" s="117">
        <f>IFERROR(IF(VLOOKUP(B35,Aaradhak_Details!$E:$F,2,FALSE)&lt;&gt;"",VLOOKUP(B35,Aaradhak_Details!$E:$F,2,FALSE),Actual_Data!D35),Actual_Data!D35)</f>
        <v>33</v>
      </c>
      <c r="D35" s="116" t="str">
        <f>IFERROR(VLOOKUP(B35,Aaradhak_Details!$E:$G,3,FALSE),"")</f>
        <v/>
      </c>
      <c r="E35" s="117">
        <f>IFERROR(IF(VLOOKUP(B35,Aaradhak_Details!$E:$I,5,FALSE)&lt;&gt;"",VLOOKUP(B35,Aaradhak_Details!$E:$I,5,FALSE),Actual_Data!E35),Actual_Data!E35)</f>
        <v>7667643221</v>
      </c>
      <c r="F35" s="94" t="str">
        <f t="array" ref="F35">IFERROR(
  INDEX(Aaradhak_Details!J:J, MATCH(B35, Aaradhak_Details!E:E, 0)),
  ""
)
</f>
        <v/>
      </c>
    </row>
    <row r="36" ht="22.5" customHeight="1">
      <c r="A36" s="116" t="str">
        <f>Actual_Data!C36</f>
        <v>Bhavya</v>
      </c>
      <c r="B36" s="117">
        <f>Actual_Data!B36</f>
        <v>38</v>
      </c>
      <c r="C36" s="117">
        <f>IFERROR(IF(VLOOKUP(B36,Aaradhak_Details!$E:$F,2,FALSE)&lt;&gt;"",VLOOKUP(B36,Aaradhak_Details!$E:$F,2,FALSE),Actual_Data!D36),Actual_Data!D36)</f>
        <v>20</v>
      </c>
      <c r="D36" s="116" t="str">
        <f>IFERROR(VLOOKUP(B36,Aaradhak_Details!$E:$G,3,FALSE),"")</f>
        <v>AB +ve</v>
      </c>
      <c r="E36" s="117">
        <f>IFERROR(IF(VLOOKUP(B36,Aaradhak_Details!$E:$I,5,FALSE)&lt;&gt;"",VLOOKUP(B36,Aaradhak_Details!$E:$I,5,FALSE),Actual_Data!E36),Actual_Data!E36)</f>
        <v>8015363385</v>
      </c>
      <c r="F36" s="118" t="str">
        <f t="array" ref="F36">IFERROR(
  INDEX(Aaradhak_Details!J:J, MATCH(B36, Aaradhak_Details!E:E, 0)),
  ""
)
</f>
        <v>https://drive.google.com/open?id=1aL6Yy6KD89Xfd5SLbmR6vYWzzw1xmRwi</v>
      </c>
    </row>
    <row r="37" ht="22.5" customHeight="1">
      <c r="A37" s="116" t="str">
        <f>Actual_Data!C37</f>
        <v>Bhumi chatter</v>
      </c>
      <c r="B37" s="117">
        <f>Actual_Data!B37</f>
        <v>39</v>
      </c>
      <c r="C37" s="117">
        <f>IFERROR(IF(VLOOKUP(B37,Aaradhak_Details!$E:$F,2,FALSE)&lt;&gt;"",VLOOKUP(B37,Aaradhak_Details!$E:$F,2,FALSE),Actual_Data!D37),Actual_Data!D37)</f>
        <v>15</v>
      </c>
      <c r="D37" s="116" t="str">
        <f>IFERROR(VLOOKUP(B37,Aaradhak_Details!$E:$G,3,FALSE),"")</f>
        <v>O +ve</v>
      </c>
      <c r="E37" s="117">
        <f>IFERROR(IF(VLOOKUP(B37,Aaradhak_Details!$E:$I,5,FALSE)&lt;&gt;"",VLOOKUP(B37,Aaradhak_Details!$E:$I,5,FALSE),Actual_Data!E37),Actual_Data!E37)</f>
        <v>9584231441</v>
      </c>
      <c r="F37" s="118" t="str">
        <f t="array" ref="F37">IFERROR(
  INDEX(Aaradhak_Details!J:J, MATCH(B37, Aaradhak_Details!E:E, 0)),
  ""
)
</f>
        <v>https://drive.google.com/open?id=1Tol_266Slvk5pQKYAQgq1DQN5voYwq71</v>
      </c>
    </row>
    <row r="38" ht="22.5" customHeight="1">
      <c r="A38" s="116" t="str">
        <f>Actual_Data!C38</f>
        <v>Bhumi Umesh Gadiya</v>
      </c>
      <c r="B38" s="117">
        <f>Actual_Data!B38</f>
        <v>40</v>
      </c>
      <c r="C38" s="117">
        <f>IFERROR(IF(VLOOKUP(B38,Aaradhak_Details!$E:$F,2,FALSE)&lt;&gt;"",VLOOKUP(B38,Aaradhak_Details!$E:$F,2,FALSE),Actual_Data!D38),Actual_Data!D38)</f>
        <v>18</v>
      </c>
      <c r="D38" s="116" t="str">
        <f>IFERROR(VLOOKUP(B38,Aaradhak_Details!$E:$G,3,FALSE),"")</f>
        <v>O +ve</v>
      </c>
      <c r="E38" s="117">
        <f>IFERROR(IF(VLOOKUP(B38,Aaradhak_Details!$E:$I,5,FALSE)&lt;&gt;"",VLOOKUP(B38,Aaradhak_Details!$E:$I,5,FALSE),Actual_Data!E38),Actual_Data!E38)</f>
        <v>7620396824</v>
      </c>
      <c r="F38" s="118" t="str">
        <f t="array" ref="F38">IFERROR(
  INDEX(Aaradhak_Details!J:J, MATCH(B38, Aaradhak_Details!E:E, 0)),
  ""
)
</f>
        <v>https://drive.google.com/open?id=1J0MuRe-MCw3zgySp4uabWGaqNVhg3J4r</v>
      </c>
    </row>
    <row r="39" ht="22.5" customHeight="1">
      <c r="A39" s="116" t="str">
        <f>Actual_Data!C39</f>
        <v>Bhumika</v>
      </c>
      <c r="B39" s="117">
        <f>Actual_Data!B39</f>
        <v>41</v>
      </c>
      <c r="C39" s="117">
        <f>IFERROR(IF(VLOOKUP(B39,Aaradhak_Details!$E:$F,2,FALSE)&lt;&gt;"",VLOOKUP(B39,Aaradhak_Details!$E:$F,2,FALSE),Actual_Data!D39),Actual_Data!D39)</f>
        <v>30</v>
      </c>
      <c r="D39" s="116" t="str">
        <f>IFERROR(VLOOKUP(B39,Aaradhak_Details!$E:$G,3,FALSE),"")</f>
        <v>A +ve</v>
      </c>
      <c r="E39" s="117">
        <f>IFERROR(IF(VLOOKUP(B39,Aaradhak_Details!$E:$I,5,FALSE)&lt;&gt;"",VLOOKUP(B39,Aaradhak_Details!$E:$I,5,FALSE),Actual_Data!E39),Actual_Data!E39)</f>
        <v>9561195563</v>
      </c>
      <c r="F39" s="118" t="str">
        <f t="array" ref="F39">IFERROR(
  INDEX(Aaradhak_Details!J:J, MATCH(B39, Aaradhak_Details!E:E, 0)),
  ""
)
</f>
        <v>https://drive.google.com/open?id=1ZlV2rkyubIs24FgJ2LMa0EqS4iFsfWOw</v>
      </c>
    </row>
    <row r="40" ht="22.5" customHeight="1">
      <c r="A40" s="116" t="str">
        <f>Actual_Data!C40</f>
        <v>CHAITRALI YUVRAJ MEHTA </v>
      </c>
      <c r="B40" s="117">
        <f>Actual_Data!B40</f>
        <v>42</v>
      </c>
      <c r="C40" s="117">
        <f>IFERROR(IF(VLOOKUP(B40,Aaradhak_Details!$E:$F,2,FALSE)&lt;&gt;"",VLOOKUP(B40,Aaradhak_Details!$E:$F,2,FALSE),Actual_Data!D40),Actual_Data!D40)</f>
        <v>19</v>
      </c>
      <c r="D40" s="116" t="str">
        <f>IFERROR(VLOOKUP(B40,Aaradhak_Details!$E:$G,3,FALSE),"")</f>
        <v/>
      </c>
      <c r="E40" s="117">
        <f>IFERROR(IF(VLOOKUP(B40,Aaradhak_Details!$E:$I,5,FALSE)&lt;&gt;"",VLOOKUP(B40,Aaradhak_Details!$E:$I,5,FALSE),Actual_Data!E40),Actual_Data!E40)</f>
        <v>9404825525</v>
      </c>
      <c r="F40" s="94" t="str">
        <f t="array" ref="F40">IFERROR(
  INDEX(Aaradhak_Details!J:J, MATCH(B40, Aaradhak_Details!E:E, 0)),
  ""
)
</f>
        <v/>
      </c>
    </row>
    <row r="41" ht="22.5" customHeight="1">
      <c r="A41" s="116" t="str">
        <f>Actual_Data!C41</f>
        <v>Charmi Dhariwal</v>
      </c>
      <c r="B41" s="117">
        <f>Actual_Data!B41</f>
        <v>44</v>
      </c>
      <c r="C41" s="117">
        <f>IFERROR(IF(VLOOKUP(B41,Aaradhak_Details!$E:$F,2,FALSE)&lt;&gt;"",VLOOKUP(B41,Aaradhak_Details!$E:$F,2,FALSE),Actual_Data!D41),Actual_Data!D41)</f>
        <v>19</v>
      </c>
      <c r="D41" s="116" t="str">
        <f>IFERROR(VLOOKUP(B41,Aaradhak_Details!$E:$G,3,FALSE),"")</f>
        <v>O +ve</v>
      </c>
      <c r="E41" s="117">
        <f>IFERROR(IF(VLOOKUP(B41,Aaradhak_Details!$E:$I,5,FALSE)&lt;&gt;"",VLOOKUP(B41,Aaradhak_Details!$E:$I,5,FALSE),Actual_Data!E41),Actual_Data!E41)</f>
        <v>9406635227</v>
      </c>
      <c r="F41" s="118" t="str">
        <f t="array" ref="F41">IFERROR(
  INDEX(Aaradhak_Details!J:J, MATCH(B41, Aaradhak_Details!E:E, 0)),
  ""
)
</f>
        <v>https://drive.google.com/open?id=1qWAoAxTtrKOuAgyPh8T1YVYXujFWnXen</v>
      </c>
    </row>
    <row r="42" ht="22.5" customHeight="1">
      <c r="A42" s="116" t="str">
        <f>Actual_Data!C42</f>
        <v>Charmi Doshi</v>
      </c>
      <c r="B42" s="117">
        <f>Actual_Data!B42</f>
        <v>45</v>
      </c>
      <c r="C42" s="117">
        <f>IFERROR(IF(VLOOKUP(B42,Aaradhak_Details!$E:$F,2,FALSE)&lt;&gt;"",VLOOKUP(B42,Aaradhak_Details!$E:$F,2,FALSE),Actual_Data!D42),Actual_Data!D42)</f>
        <v>35</v>
      </c>
      <c r="D42" s="116" t="str">
        <f>IFERROR(VLOOKUP(B42,Aaradhak_Details!$E:$G,3,FALSE),"")</f>
        <v>O -ve</v>
      </c>
      <c r="E42" s="117">
        <f>IFERROR(IF(VLOOKUP(B42,Aaradhak_Details!$E:$I,5,FALSE)&lt;&gt;"",VLOOKUP(B42,Aaradhak_Details!$E:$I,5,FALSE),Actual_Data!E42),Actual_Data!E42)</f>
        <v>9821127986</v>
      </c>
      <c r="F42" s="118" t="str">
        <f t="array" ref="F42">IFERROR(
  INDEX(Aaradhak_Details!J:J, MATCH(B42, Aaradhak_Details!E:E, 0)),
  ""
)
</f>
        <v>https://drive.google.com/open?id=1X6ZDOyiEmRJJcVto0apgHH0zVSr_gYe0</v>
      </c>
    </row>
    <row r="43" ht="22.5" customHeight="1">
      <c r="A43" s="116" t="str">
        <f>Actual_Data!C43</f>
        <v>Darshita Kakaria</v>
      </c>
      <c r="B43" s="117">
        <f>Actual_Data!B43</f>
        <v>48</v>
      </c>
      <c r="C43" s="117">
        <f>IFERROR(IF(VLOOKUP(B43,Aaradhak_Details!$E:$F,2,FALSE)&lt;&gt;"",VLOOKUP(B43,Aaradhak_Details!$E:$F,2,FALSE),Actual_Data!D43),Actual_Data!D43)</f>
        <v>18</v>
      </c>
      <c r="D43" s="116" t="str">
        <f>IFERROR(VLOOKUP(B43,Aaradhak_Details!$E:$G,3,FALSE),"")</f>
        <v>O +ve</v>
      </c>
      <c r="E43" s="117">
        <f>IFERROR(IF(VLOOKUP(B43,Aaradhak_Details!$E:$I,5,FALSE)&lt;&gt;"",VLOOKUP(B43,Aaradhak_Details!$E:$I,5,FALSE),Actual_Data!E43),Actual_Data!E43)</f>
        <v>9824379449</v>
      </c>
      <c r="F43" s="118" t="str">
        <f t="array" ref="F43">IFERROR(
  INDEX(Aaradhak_Details!J:J, MATCH(B43, Aaradhak_Details!E:E, 0)),
  ""
)
</f>
        <v>https://drive.google.com/open?id=1LERyVdrsNRcea756dLvydNwVbFqPeLat</v>
      </c>
    </row>
    <row r="44" ht="22.5" customHeight="1">
      <c r="A44" s="116" t="str">
        <f>Actual_Data!C44</f>
        <v>Deepali Shah</v>
      </c>
      <c r="B44" s="117">
        <f>Actual_Data!B44</f>
        <v>49</v>
      </c>
      <c r="C44" s="117">
        <f>IFERROR(IF(VLOOKUP(B44,Aaradhak_Details!$E:$F,2,FALSE)&lt;&gt;"",VLOOKUP(B44,Aaradhak_Details!$E:$F,2,FALSE),Actual_Data!D44),Actual_Data!D44)</f>
        <v>43</v>
      </c>
      <c r="D44" s="116" t="str">
        <f>IFERROR(VLOOKUP(B44,Aaradhak_Details!$E:$G,3,FALSE),"")</f>
        <v>B +ve</v>
      </c>
      <c r="E44" s="117">
        <f>IFERROR(IF(VLOOKUP(B44,Aaradhak_Details!$E:$I,5,FALSE)&lt;&gt;"",VLOOKUP(B44,Aaradhak_Details!$E:$I,5,FALSE),Actual_Data!E44),Actual_Data!E44)</f>
        <v>9819992095</v>
      </c>
      <c r="F44" s="118" t="str">
        <f t="array" ref="F44">IFERROR(
  INDEX(Aaradhak_Details!J:J, MATCH(B44, Aaradhak_Details!E:E, 0)),
  ""
)
</f>
        <v>https://drive.google.com/open?id=1fKI-UYpjxxnDnVF5I8RdkRSfobns_zTu</v>
      </c>
    </row>
    <row r="45" ht="22.5" customHeight="1">
      <c r="A45" s="116" t="str">
        <f>Actual_Data!C45</f>
        <v>Deshana Kuldip Shah</v>
      </c>
      <c r="B45" s="117">
        <f>Actual_Data!B45</f>
        <v>50</v>
      </c>
      <c r="C45" s="117">
        <f>IFERROR(IF(VLOOKUP(B45,Aaradhak_Details!$E:$F,2,FALSE)&lt;&gt;"",VLOOKUP(B45,Aaradhak_Details!$E:$F,2,FALSE),Actual_Data!D45),Actual_Data!D45)</f>
        <v>20</v>
      </c>
      <c r="D45" s="116" t="str">
        <f>IFERROR(VLOOKUP(B45,Aaradhak_Details!$E:$G,3,FALSE),"")</f>
        <v/>
      </c>
      <c r="E45" s="117">
        <f>IFERROR(IF(VLOOKUP(B45,Aaradhak_Details!$E:$I,5,FALSE)&lt;&gt;"",VLOOKUP(B45,Aaradhak_Details!$E:$I,5,FALSE),Actual_Data!E45),Actual_Data!E45)</f>
        <v>8980189111</v>
      </c>
      <c r="F45" s="94" t="str">
        <f t="array" ref="F45">IFERROR(
  INDEX(Aaradhak_Details!J:J, MATCH(B45, Aaradhak_Details!E:E, 0)),
  ""
)
</f>
        <v/>
      </c>
    </row>
    <row r="46" ht="22.5" customHeight="1">
      <c r="A46" s="116" t="str">
        <f>Actual_Data!C46</f>
        <v>Devanshi hiran Mehta </v>
      </c>
      <c r="B46" s="117">
        <f>Actual_Data!B46</f>
        <v>52</v>
      </c>
      <c r="C46" s="117">
        <f>IFERROR(IF(VLOOKUP(B46,Aaradhak_Details!$E:$F,2,FALSE)&lt;&gt;"",VLOOKUP(B46,Aaradhak_Details!$E:$F,2,FALSE),Actual_Data!D46),Actual_Data!D46)</f>
        <v>28</v>
      </c>
      <c r="D46" s="116" t="str">
        <f>IFERROR(VLOOKUP(B46,Aaradhak_Details!$E:$G,3,FALSE),"")</f>
        <v>O +ve</v>
      </c>
      <c r="E46" s="117">
        <f>IFERROR(IF(VLOOKUP(B46,Aaradhak_Details!$E:$I,5,FALSE)&lt;&gt;"",VLOOKUP(B46,Aaradhak_Details!$E:$I,5,FALSE),Actual_Data!E46),Actual_Data!E46)</f>
        <v>7760976547</v>
      </c>
      <c r="F46" s="118" t="str">
        <f t="array" ref="F46">IFERROR(
  INDEX(Aaradhak_Details!J:J, MATCH(B46, Aaradhak_Details!E:E, 0)),
  ""
)
</f>
        <v>https://drive.google.com/open?id=17sDUpo9LFhvSFcwgt2oKHEYWERwYfxdm</v>
      </c>
    </row>
    <row r="47" ht="22.5" customHeight="1">
      <c r="A47" s="116" t="str">
        <f>Actual_Data!C47</f>
        <v>Dharmi Malde</v>
      </c>
      <c r="B47" s="117">
        <f>Actual_Data!B47</f>
        <v>53</v>
      </c>
      <c r="C47" s="117">
        <f>IFERROR(IF(VLOOKUP(B47,Aaradhak_Details!$E:$F,2,FALSE)&lt;&gt;"",VLOOKUP(B47,Aaradhak_Details!$E:$F,2,FALSE),Actual_Data!D47),Actual_Data!D47)</f>
        <v>21</v>
      </c>
      <c r="D47" s="116" t="str">
        <f>IFERROR(VLOOKUP(B47,Aaradhak_Details!$E:$G,3,FALSE),"")</f>
        <v>B +ve</v>
      </c>
      <c r="E47" s="117">
        <f>IFERROR(IF(VLOOKUP(B47,Aaradhak_Details!$E:$I,5,FALSE)&lt;&gt;"",VLOOKUP(B47,Aaradhak_Details!$E:$I,5,FALSE),Actual_Data!E47),Actual_Data!E47)</f>
        <v>9324004930</v>
      </c>
      <c r="F47" s="118" t="str">
        <f t="array" ref="F47">IFERROR(
  INDEX(Aaradhak_Details!J:J, MATCH(B47, Aaradhak_Details!E:E, 0)),
  ""
)
</f>
        <v>https://drive.google.com/open?id=1AJxaIMcW9P3eCMgKHZQAQPrjv59uRqR-</v>
      </c>
    </row>
    <row r="48" ht="22.5" customHeight="1">
      <c r="A48" s="116" t="str">
        <f>Actual_Data!C48</f>
        <v>Dhriti</v>
      </c>
      <c r="B48" s="117">
        <f>Actual_Data!B48</f>
        <v>54</v>
      </c>
      <c r="C48" s="117">
        <f>IFERROR(IF(VLOOKUP(B48,Aaradhak_Details!$E:$F,2,FALSE)&lt;&gt;"",VLOOKUP(B48,Aaradhak_Details!$E:$F,2,FALSE),Actual_Data!D48),Actual_Data!D48)</f>
        <v>18</v>
      </c>
      <c r="D48" s="116" t="str">
        <f>IFERROR(VLOOKUP(B48,Aaradhak_Details!$E:$G,3,FALSE),"")</f>
        <v>AB +ve</v>
      </c>
      <c r="E48" s="117">
        <f>IFERROR(IF(VLOOKUP(B48,Aaradhak_Details!$E:$I,5,FALSE)&lt;&gt;"",VLOOKUP(B48,Aaradhak_Details!$E:$I,5,FALSE),Actual_Data!E48),Actual_Data!E48)</f>
        <v>8880898189</v>
      </c>
      <c r="F48" s="118" t="str">
        <f t="array" ref="F48">IFERROR(
  INDEX(Aaradhak_Details!J:J, MATCH(B48, Aaradhak_Details!E:E, 0)),
  ""
)
</f>
        <v>https://drive.google.com/open?id=1Zyc13tujjpsb0tT-EwZ6GTRd-PTx7lYg</v>
      </c>
    </row>
    <row r="49" ht="22.5" customHeight="1">
      <c r="A49" s="116" t="str">
        <f>Actual_Data!C49</f>
        <v>Dhruvi M Shah</v>
      </c>
      <c r="B49" s="117">
        <f>Actual_Data!B49</f>
        <v>55</v>
      </c>
      <c r="C49" s="117">
        <f>IFERROR(IF(VLOOKUP(B49,Aaradhak_Details!$E:$F,2,FALSE)&lt;&gt;"",VLOOKUP(B49,Aaradhak_Details!$E:$F,2,FALSE),Actual_Data!D49),Actual_Data!D49)</f>
        <v>22</v>
      </c>
      <c r="D49" s="116" t="str">
        <f>IFERROR(VLOOKUP(B49,Aaradhak_Details!$E:$G,3,FALSE),"")</f>
        <v>A +ve</v>
      </c>
      <c r="E49" s="117">
        <f>IFERROR(IF(VLOOKUP(B49,Aaradhak_Details!$E:$I,5,FALSE)&lt;&gt;"",VLOOKUP(B49,Aaradhak_Details!$E:$I,5,FALSE),Actual_Data!E49),Actual_Data!E49)</f>
        <v>9004980513</v>
      </c>
      <c r="F49" s="118" t="str">
        <f t="array" ref="F49">IFERROR(
  INDEX(Aaradhak_Details!J:J, MATCH(B49, Aaradhak_Details!E:E, 0)),
  ""
)
</f>
        <v>https://drive.google.com/open?id=1Ehr7GRBluuATtG0RsTXuoGutUXZwAb8r</v>
      </c>
    </row>
    <row r="50" ht="22.5" customHeight="1">
      <c r="A50" s="116" t="str">
        <f>Actual_Data!C50</f>
        <v>Dhruvi S</v>
      </c>
      <c r="B50" s="117">
        <f>Actual_Data!B50</f>
        <v>56</v>
      </c>
      <c r="C50" s="117">
        <f>IFERROR(IF(VLOOKUP(B50,Aaradhak_Details!$E:$F,2,FALSE)&lt;&gt;"",VLOOKUP(B50,Aaradhak_Details!$E:$F,2,FALSE),Actual_Data!D50),Actual_Data!D50)</f>
        <v>40</v>
      </c>
      <c r="D50" s="116" t="str">
        <f>IFERROR(VLOOKUP(B50,Aaradhak_Details!$E:$G,3,FALSE),"")</f>
        <v>B +ve</v>
      </c>
      <c r="E50" s="117">
        <f>IFERROR(IF(VLOOKUP(B50,Aaradhak_Details!$E:$I,5,FALSE)&lt;&gt;"",VLOOKUP(B50,Aaradhak_Details!$E:$I,5,FALSE),Actual_Data!E50),Actual_Data!E50)</f>
        <v>9819292663</v>
      </c>
      <c r="F50" s="118" t="str">
        <f t="array" ref="F50">IFERROR(
  INDEX(Aaradhak_Details!J:J, MATCH(B50, Aaradhak_Details!E:E, 0)),
  ""
)
</f>
        <v>https://drive.google.com/open?id=1mjJka5yq-XaMCY00Vy0vW2RlzqWRIPsG</v>
      </c>
    </row>
    <row r="51" ht="22.5" customHeight="1">
      <c r="A51" s="116" t="str">
        <f>Actual_Data!C51</f>
        <v>Dhruvi Shah</v>
      </c>
      <c r="B51" s="117">
        <f>Actual_Data!B51</f>
        <v>57</v>
      </c>
      <c r="C51" s="117">
        <f>IFERROR(IF(VLOOKUP(B51,Aaradhak_Details!$E:$F,2,FALSE)&lt;&gt;"",VLOOKUP(B51,Aaradhak_Details!$E:$F,2,FALSE),Actual_Data!D51),Actual_Data!D51)</f>
        <v>18</v>
      </c>
      <c r="D51" s="116" t="str">
        <f>IFERROR(VLOOKUP(B51,Aaradhak_Details!$E:$G,3,FALSE),"")</f>
        <v>O +ve</v>
      </c>
      <c r="E51" s="117">
        <f>IFERROR(IF(VLOOKUP(B51,Aaradhak_Details!$E:$I,5,FALSE)&lt;&gt;"",VLOOKUP(B51,Aaradhak_Details!$E:$I,5,FALSE),Actual_Data!E51),Actual_Data!E51)</f>
        <v>9892817726</v>
      </c>
      <c r="F51" s="118" t="str">
        <f t="array" ref="F51">IFERROR(
  INDEX(Aaradhak_Details!J:J, MATCH(B51, Aaradhak_Details!E:E, 0)),
  ""
)
</f>
        <v>https://drive.google.com/open?id=14xvAZYY5X0GwOdyaTnF6mcKM6e3rEL0a</v>
      </c>
    </row>
    <row r="52" ht="22.5" customHeight="1">
      <c r="A52" s="116" t="str">
        <f>Actual_Data!C52</f>
        <v>Dhruvi Shah</v>
      </c>
      <c r="B52" s="117">
        <f>Actual_Data!B52</f>
        <v>58</v>
      </c>
      <c r="C52" s="117">
        <f>IFERROR(IF(VLOOKUP(B52,Aaradhak_Details!$E:$F,2,FALSE)&lt;&gt;"",VLOOKUP(B52,Aaradhak_Details!$E:$F,2,FALSE),Actual_Data!D52),Actual_Data!D52)</f>
        <v>28</v>
      </c>
      <c r="D52" s="116" t="str">
        <f>IFERROR(VLOOKUP(B52,Aaradhak_Details!$E:$G,3,FALSE),"")</f>
        <v>O +ve</v>
      </c>
      <c r="E52" s="117">
        <f>IFERROR(IF(VLOOKUP(B52,Aaradhak_Details!$E:$I,5,FALSE)&lt;&gt;"",VLOOKUP(B52,Aaradhak_Details!$E:$I,5,FALSE),Actual_Data!E52),Actual_Data!E52)</f>
        <v>9510629940</v>
      </c>
      <c r="F52" s="118" t="str">
        <f t="array" ref="F52">IFERROR(
  INDEX(Aaradhak_Details!J:J, MATCH(B52, Aaradhak_Details!E:E, 0)),
  ""
)
</f>
        <v>https://drive.google.com/open?id=1PpPoRZgdJwgbnKz2VIW4Wmx8oHaNEH_I</v>
      </c>
    </row>
    <row r="53" ht="22.5" customHeight="1">
      <c r="A53" s="116" t="str">
        <f>Actual_Data!C53</f>
        <v>Dhvani Ronak Desai </v>
      </c>
      <c r="B53" s="117">
        <f>Actual_Data!B53</f>
        <v>59</v>
      </c>
      <c r="C53" s="117">
        <f>IFERROR(IF(VLOOKUP(B53,Aaradhak_Details!$E:$F,2,FALSE)&lt;&gt;"",VLOOKUP(B53,Aaradhak_Details!$E:$F,2,FALSE),Actual_Data!D53),Actual_Data!D53)</f>
        <v>18</v>
      </c>
      <c r="D53" s="116" t="str">
        <f>IFERROR(VLOOKUP(B53,Aaradhak_Details!$E:$G,3,FALSE),"")</f>
        <v>A +ve</v>
      </c>
      <c r="E53" s="117">
        <f>IFERROR(IF(VLOOKUP(B53,Aaradhak_Details!$E:$I,5,FALSE)&lt;&gt;"",VLOOKUP(B53,Aaradhak_Details!$E:$I,5,FALSE),Actual_Data!E53),Actual_Data!E53)</f>
        <v>9004252646</v>
      </c>
      <c r="F53" s="118" t="str">
        <f t="array" ref="F53">IFERROR(
  INDEX(Aaradhak_Details!J:J, MATCH(B53, Aaradhak_Details!E:E, 0)),
  ""
)
</f>
        <v>https://drive.google.com/open?id=12EmycTRLNpz5VvrHyIW8-UKRGbwYTG84</v>
      </c>
    </row>
    <row r="54" ht="22.5" customHeight="1">
      <c r="A54" s="116" t="str">
        <f>Actual_Data!C54</f>
        <v>dhyana mehta</v>
      </c>
      <c r="B54" s="117">
        <f>Actual_Data!B54</f>
        <v>60</v>
      </c>
      <c r="C54" s="117">
        <f>IFERROR(IF(VLOOKUP(B54,Aaradhak_Details!$E:$F,2,FALSE)&lt;&gt;"",VLOOKUP(B54,Aaradhak_Details!$E:$F,2,FALSE),Actual_Data!D54),Actual_Data!D54)</f>
        <v>11</v>
      </c>
      <c r="D54" s="116" t="str">
        <f>IFERROR(VLOOKUP(B54,Aaradhak_Details!$E:$G,3,FALSE),"")</f>
        <v/>
      </c>
      <c r="E54" s="117">
        <f>IFERROR(IF(VLOOKUP(B54,Aaradhak_Details!$E:$I,5,FALSE)&lt;&gt;"",VLOOKUP(B54,Aaradhak_Details!$E:$I,5,FALSE),Actual_Data!E54),Actual_Data!E54)</f>
        <v>9820507278</v>
      </c>
      <c r="F54" s="94" t="str">
        <f t="array" ref="F54">IFERROR(
  INDEX(Aaradhak_Details!J:J, MATCH(B54, Aaradhak_Details!E:E, 0)),
  ""
)
</f>
        <v/>
      </c>
    </row>
    <row r="55" ht="22.5" customHeight="1">
      <c r="A55" s="116" t="str">
        <f>Actual_Data!C55</f>
        <v>Dimple </v>
      </c>
      <c r="B55" s="117">
        <f>Actual_Data!B55</f>
        <v>61</v>
      </c>
      <c r="C55" s="117">
        <f>IFERROR(IF(VLOOKUP(B55,Aaradhak_Details!$E:$F,2,FALSE)&lt;&gt;"",VLOOKUP(B55,Aaradhak_Details!$E:$F,2,FALSE),Actual_Data!D55),Actual_Data!D55)</f>
        <v>34</v>
      </c>
      <c r="D55" s="116" t="str">
        <f>IFERROR(VLOOKUP(B55,Aaradhak_Details!$E:$G,3,FALSE),"")</f>
        <v>O +ve</v>
      </c>
      <c r="E55" s="117">
        <f>IFERROR(IF(VLOOKUP(B55,Aaradhak_Details!$E:$I,5,FALSE)&lt;&gt;"",VLOOKUP(B55,Aaradhak_Details!$E:$I,5,FALSE),Actual_Data!E55),Actual_Data!E55)</f>
        <v>9986521644</v>
      </c>
      <c r="F55" s="118" t="str">
        <f t="array" ref="F55">IFERROR(
  INDEX(Aaradhak_Details!J:J, MATCH(B55, Aaradhak_Details!E:E, 0)),
  ""
)
</f>
        <v>https://drive.google.com/open?id=1CWEGWY6W3f41mRx2ejc3UTQzVJHtOYRU</v>
      </c>
    </row>
    <row r="56" ht="22.5" customHeight="1">
      <c r="A56" s="116" t="str">
        <f>Actual_Data!C56</f>
        <v>Dipali Parekh</v>
      </c>
      <c r="B56" s="117">
        <f>Actual_Data!B56</f>
        <v>62</v>
      </c>
      <c r="C56" s="117">
        <f>IFERROR(IF(VLOOKUP(B56,Aaradhak_Details!$E:$F,2,FALSE)&lt;&gt;"",VLOOKUP(B56,Aaradhak_Details!$E:$F,2,FALSE),Actual_Data!D56),Actual_Data!D56)</f>
        <v>30</v>
      </c>
      <c r="D56" s="116" t="str">
        <f>IFERROR(VLOOKUP(B56,Aaradhak_Details!$E:$G,3,FALSE),"")</f>
        <v>B +ve</v>
      </c>
      <c r="E56" s="117">
        <f>IFERROR(IF(VLOOKUP(B56,Aaradhak_Details!$E:$I,5,FALSE)&lt;&gt;"",VLOOKUP(B56,Aaradhak_Details!$E:$I,5,FALSE),Actual_Data!E56),Actual_Data!E56)</f>
        <v>9512447281</v>
      </c>
      <c r="F56" s="118" t="str">
        <f t="array" ref="F56">IFERROR(
  INDEX(Aaradhak_Details!J:J, MATCH(B56, Aaradhak_Details!E:E, 0)),
  ""
)
</f>
        <v>https://drive.google.com/open?id=1AgC2OefC5kuQZbMPFPl3WYNfvFpF2MYn</v>
      </c>
    </row>
    <row r="57" ht="22.5" customHeight="1">
      <c r="A57" s="116" t="str">
        <f>Actual_Data!C57</f>
        <v>Disha oswal</v>
      </c>
      <c r="B57" s="117">
        <f>Actual_Data!B57</f>
        <v>63</v>
      </c>
      <c r="C57" s="117">
        <f>IFERROR(IF(VLOOKUP(B57,Aaradhak_Details!$E:$F,2,FALSE)&lt;&gt;"",VLOOKUP(B57,Aaradhak_Details!$E:$F,2,FALSE),Actual_Data!D57),Actual_Data!D57)</f>
        <v>21</v>
      </c>
      <c r="D57" s="116" t="str">
        <f>IFERROR(VLOOKUP(B57,Aaradhak_Details!$E:$G,3,FALSE),"")</f>
        <v>B +ve</v>
      </c>
      <c r="E57" s="117">
        <f>IFERROR(IF(VLOOKUP(B57,Aaradhak_Details!$E:$I,5,FALSE)&lt;&gt;"",VLOOKUP(B57,Aaradhak_Details!$E:$I,5,FALSE),Actual_Data!E57),Actual_Data!E57)</f>
        <v>9590313474</v>
      </c>
      <c r="F57" s="118" t="str">
        <f t="array" ref="F57">IFERROR(
  INDEX(Aaradhak_Details!J:J, MATCH(B57, Aaradhak_Details!E:E, 0)),
  ""
)
</f>
        <v>https://drive.google.com/open?id=16NvjHQlawSg-12TFUiVSVC2uNOBmPZDU</v>
      </c>
    </row>
    <row r="58" ht="22.5" customHeight="1">
      <c r="A58" s="116" t="str">
        <f>Actual_Data!C58</f>
        <v>Disha Shah</v>
      </c>
      <c r="B58" s="117">
        <f>Actual_Data!B58</f>
        <v>64</v>
      </c>
      <c r="C58" s="117">
        <f>IFERROR(IF(VLOOKUP(B58,Aaradhak_Details!$E:$F,2,FALSE)&lt;&gt;"",VLOOKUP(B58,Aaradhak_Details!$E:$F,2,FALSE),Actual_Data!D58),Actual_Data!D58)</f>
        <v>27</v>
      </c>
      <c r="D58" s="116" t="str">
        <f>IFERROR(VLOOKUP(B58,Aaradhak_Details!$E:$G,3,FALSE),"")</f>
        <v>B +ve</v>
      </c>
      <c r="E58" s="117">
        <f>IFERROR(IF(VLOOKUP(B58,Aaradhak_Details!$E:$I,5,FALSE)&lt;&gt;"",VLOOKUP(B58,Aaradhak_Details!$E:$I,5,FALSE),Actual_Data!E58),Actual_Data!E58)</f>
        <v>9260363680</v>
      </c>
      <c r="F58" s="118" t="str">
        <f t="array" ref="F58">IFERROR(
  INDEX(Aaradhak_Details!J:J, MATCH(B58, Aaradhak_Details!E:E, 0)),
  ""
)
</f>
        <v>https://drive.google.com/open?id=1HVcxERKpN-OkUEa62m5fOFu6Bu9Sf3jp</v>
      </c>
    </row>
    <row r="59" ht="22.5" customHeight="1">
      <c r="A59" s="116" t="str">
        <f>Actual_Data!C59</f>
        <v>Divisha Kakaria</v>
      </c>
      <c r="B59" s="117">
        <f>Actual_Data!B59</f>
        <v>65</v>
      </c>
      <c r="C59" s="117">
        <f>IFERROR(IF(VLOOKUP(B59,Aaradhak_Details!$E:$F,2,FALSE)&lt;&gt;"",VLOOKUP(B59,Aaradhak_Details!$E:$F,2,FALSE),Actual_Data!D59),Actual_Data!D59)</f>
        <v>14</v>
      </c>
      <c r="D59" s="116" t="str">
        <f>IFERROR(VLOOKUP(B59,Aaradhak_Details!$E:$G,3,FALSE),"")</f>
        <v>B +ve</v>
      </c>
      <c r="E59" s="117">
        <f>IFERROR(IF(VLOOKUP(B59,Aaradhak_Details!$E:$I,5,FALSE)&lt;&gt;"",VLOOKUP(B59,Aaradhak_Details!$E:$I,5,FALSE),Actual_Data!E59),Actual_Data!E59)</f>
        <v>9824379449</v>
      </c>
      <c r="F59" s="118" t="str">
        <f t="array" ref="F59">IFERROR(
  INDEX(Aaradhak_Details!J:J, MATCH(B59, Aaradhak_Details!E:E, 0)),
  ""
)
</f>
        <v>https://drive.google.com/open?id=1GjgAn9sXcHrIZttVL2Iq0UWkGOuzIKY3</v>
      </c>
    </row>
    <row r="60" ht="22.5" customHeight="1">
      <c r="A60" s="116" t="str">
        <f>Actual_Data!C60</f>
        <v>Divya </v>
      </c>
      <c r="B60" s="117">
        <f>Actual_Data!B60</f>
        <v>66</v>
      </c>
      <c r="C60" s="117">
        <f>IFERROR(IF(VLOOKUP(B60,Aaradhak_Details!$E:$F,2,FALSE)&lt;&gt;"",VLOOKUP(B60,Aaradhak_Details!$E:$F,2,FALSE),Actual_Data!D60),Actual_Data!D60)</f>
        <v>20</v>
      </c>
      <c r="D60" s="116" t="str">
        <f>IFERROR(VLOOKUP(B60,Aaradhak_Details!$E:$G,3,FALSE),"")</f>
        <v>O +ve</v>
      </c>
      <c r="E60" s="117">
        <f>IFERROR(IF(VLOOKUP(B60,Aaradhak_Details!$E:$I,5,FALSE)&lt;&gt;"",VLOOKUP(B60,Aaradhak_Details!$E:$I,5,FALSE),Actual_Data!E60),Actual_Data!E60)</f>
        <v>8310278103</v>
      </c>
      <c r="F60" s="118" t="str">
        <f t="array" ref="F60">IFERROR(
  INDEX(Aaradhak_Details!J:J, MATCH(B60, Aaradhak_Details!E:E, 0)),
  ""
)
</f>
        <v>https://drive.google.com/open?id=198bu5uowWbDs8m-jSM47WKc6LBBk5ZVv</v>
      </c>
    </row>
    <row r="61" ht="22.5" customHeight="1">
      <c r="A61" s="116" t="str">
        <f>Actual_Data!C61</f>
        <v>Divya jain</v>
      </c>
      <c r="B61" s="117">
        <f>Actual_Data!B61</f>
        <v>67</v>
      </c>
      <c r="C61" s="117">
        <f>IFERROR(IF(VLOOKUP(B61,Aaradhak_Details!$E:$F,2,FALSE)&lt;&gt;"",VLOOKUP(B61,Aaradhak_Details!$E:$F,2,FALSE),Actual_Data!D61),Actual_Data!D61)</f>
        <v>21</v>
      </c>
      <c r="D61" s="116" t="str">
        <f>IFERROR(VLOOKUP(B61,Aaradhak_Details!$E:$G,3,FALSE),"")</f>
        <v/>
      </c>
      <c r="E61" s="117">
        <f>IFERROR(IF(VLOOKUP(B61,Aaradhak_Details!$E:$I,5,FALSE)&lt;&gt;"",VLOOKUP(B61,Aaradhak_Details!$E:$I,5,FALSE),Actual_Data!E61),Actual_Data!E61)</f>
        <v>6262547164</v>
      </c>
      <c r="F61" s="94" t="str">
        <f t="array" ref="F61">IFERROR(
  INDEX(Aaradhak_Details!J:J, MATCH(B61, Aaradhak_Details!E:E, 0)),
  ""
)
</f>
        <v/>
      </c>
    </row>
    <row r="62" ht="22.5" customHeight="1">
      <c r="A62" s="116" t="str">
        <f>Actual_Data!C62</f>
        <v>Divya mahendra kankaliya </v>
      </c>
      <c r="B62" s="117">
        <f>Actual_Data!B62</f>
        <v>68</v>
      </c>
      <c r="C62" s="117">
        <f>IFERROR(IF(VLOOKUP(B62,Aaradhak_Details!$E:$F,2,FALSE)&lt;&gt;"",VLOOKUP(B62,Aaradhak_Details!$E:$F,2,FALSE),Actual_Data!D62),Actual_Data!D62)</f>
        <v>24</v>
      </c>
      <c r="D62" s="116" t="str">
        <f>IFERROR(VLOOKUP(B62,Aaradhak_Details!$E:$G,3,FALSE),"")</f>
        <v/>
      </c>
      <c r="E62" s="117">
        <f>IFERROR(IF(VLOOKUP(B62,Aaradhak_Details!$E:$I,5,FALSE)&lt;&gt;"",VLOOKUP(B62,Aaradhak_Details!$E:$I,5,FALSE),Actual_Data!E62),Actual_Data!E62)</f>
        <v>7498959194</v>
      </c>
      <c r="F62" s="94" t="str">
        <f t="array" ref="F62">IFERROR(
  INDEX(Aaradhak_Details!J:J, MATCH(B62, Aaradhak_Details!E:E, 0)),
  ""
)
</f>
        <v/>
      </c>
    </row>
    <row r="63" ht="22.5" customHeight="1">
      <c r="A63" s="116" t="str">
        <f>Actual_Data!C63</f>
        <v>Divya Sanghvi</v>
      </c>
      <c r="B63" s="117">
        <f>Actual_Data!B63</f>
        <v>69</v>
      </c>
      <c r="C63" s="117">
        <f>IFERROR(IF(VLOOKUP(B63,Aaradhak_Details!$E:$F,2,FALSE)&lt;&gt;"",VLOOKUP(B63,Aaradhak_Details!$E:$F,2,FALSE),Actual_Data!D63),Actual_Data!D63)</f>
        <v>20</v>
      </c>
      <c r="D63" s="116" t="str">
        <f>IFERROR(VLOOKUP(B63,Aaradhak_Details!$E:$G,3,FALSE),"")</f>
        <v/>
      </c>
      <c r="E63" s="117">
        <f>IFERROR(IF(VLOOKUP(B63,Aaradhak_Details!$E:$I,5,FALSE)&lt;&gt;"",VLOOKUP(B63,Aaradhak_Details!$E:$I,5,FALSE),Actual_Data!E63),Actual_Data!E63)</f>
        <v>8591664343</v>
      </c>
      <c r="F63" s="94" t="str">
        <f t="array" ref="F63">IFERROR(
  INDEX(Aaradhak_Details!J:J, MATCH(B63, Aaradhak_Details!E:E, 0)),
  ""
)
</f>
        <v/>
      </c>
    </row>
    <row r="64" ht="22.5" customHeight="1">
      <c r="A64" s="116" t="str">
        <f>Actual_Data!C64</f>
        <v>Diya Amish shah </v>
      </c>
      <c r="B64" s="117">
        <f>Actual_Data!B64</f>
        <v>70</v>
      </c>
      <c r="C64" s="117">
        <f>IFERROR(IF(VLOOKUP(B64,Aaradhak_Details!$E:$F,2,FALSE)&lt;&gt;"",VLOOKUP(B64,Aaradhak_Details!$E:$F,2,FALSE),Actual_Data!D64),Actual_Data!D64)</f>
        <v>19</v>
      </c>
      <c r="D64" s="116" t="str">
        <f>IFERROR(VLOOKUP(B64,Aaradhak_Details!$E:$G,3,FALSE),"")</f>
        <v>B +ve</v>
      </c>
      <c r="E64" s="117">
        <f>IFERROR(IF(VLOOKUP(B64,Aaradhak_Details!$E:$I,5,FALSE)&lt;&gt;"",VLOOKUP(B64,Aaradhak_Details!$E:$I,5,FALSE),Actual_Data!E64),Actual_Data!E64)</f>
        <v>9833648799</v>
      </c>
      <c r="F64" s="118" t="str">
        <f t="array" ref="F64">IFERROR(
  INDEX(Aaradhak_Details!J:J, MATCH(B64, Aaradhak_Details!E:E, 0)),
  ""
)
</f>
        <v>https://drive.google.com/open?id=1EQ6V75FxzeQY9LdQidReVY0fN3r61k0w</v>
      </c>
    </row>
    <row r="65" ht="22.5" customHeight="1">
      <c r="A65" s="116" t="str">
        <f>Actual_Data!C65</f>
        <v>Diya Chajed</v>
      </c>
      <c r="B65" s="117">
        <f>Actual_Data!B65</f>
        <v>71</v>
      </c>
      <c r="C65" s="117">
        <f>IFERROR(IF(VLOOKUP(B65,Aaradhak_Details!$E:$F,2,FALSE)&lt;&gt;"",VLOOKUP(B65,Aaradhak_Details!$E:$F,2,FALSE),Actual_Data!D65),Actual_Data!D65)</f>
        <v>21</v>
      </c>
      <c r="D65" s="116" t="str">
        <f>IFERROR(VLOOKUP(B65,Aaradhak_Details!$E:$G,3,FALSE),"")</f>
        <v/>
      </c>
      <c r="E65" s="117">
        <f>IFERROR(IF(VLOOKUP(B65,Aaradhak_Details!$E:$I,5,FALSE)&lt;&gt;"",VLOOKUP(B65,Aaradhak_Details!$E:$I,5,FALSE),Actual_Data!E65),Actual_Data!E65)</f>
        <v>8431311533</v>
      </c>
      <c r="F65" s="94" t="str">
        <f t="array" ref="F65">IFERROR(
  INDEX(Aaradhak_Details!J:J, MATCH(B65, Aaradhak_Details!E:E, 0)),
  ""
)
</f>
        <v/>
      </c>
    </row>
    <row r="66" ht="22.5" customHeight="1">
      <c r="A66" s="116" t="str">
        <f>Actual_Data!C66</f>
        <v>Diya Jain</v>
      </c>
      <c r="B66" s="117">
        <f>Actual_Data!B66</f>
        <v>72</v>
      </c>
      <c r="C66" s="117">
        <f>IFERROR(IF(VLOOKUP(B66,Aaradhak_Details!$E:$F,2,FALSE)&lt;&gt;"",VLOOKUP(B66,Aaradhak_Details!$E:$F,2,FALSE),Actual_Data!D66),Actual_Data!D66)</f>
        <v>19</v>
      </c>
      <c r="D66" s="116" t="str">
        <f>IFERROR(VLOOKUP(B66,Aaradhak_Details!$E:$G,3,FALSE),"")</f>
        <v>B +ve</v>
      </c>
      <c r="E66" s="117">
        <f>IFERROR(IF(VLOOKUP(B66,Aaradhak_Details!$E:$I,5,FALSE)&lt;&gt;"",VLOOKUP(B66,Aaradhak_Details!$E:$I,5,FALSE),Actual_Data!E66),Actual_Data!E66)</f>
        <v>9399918201</v>
      </c>
      <c r="F66" s="118" t="str">
        <f t="array" ref="F66">IFERROR(
  INDEX(Aaradhak_Details!J:J, MATCH(B66, Aaradhak_Details!E:E, 0)),
  ""
)
</f>
        <v>https://drive.google.com/open?id=1eSxblgCBR0fkmqLM8YrxY3k3JspfML1k</v>
      </c>
    </row>
    <row r="67" ht="22.5" customHeight="1">
      <c r="A67" s="116" t="str">
        <f>Actual_Data!C67</f>
        <v>Diya Prakash Shah</v>
      </c>
      <c r="B67" s="117">
        <f>Actual_Data!B67</f>
        <v>73</v>
      </c>
      <c r="C67" s="117">
        <f>IFERROR(IF(VLOOKUP(B67,Aaradhak_Details!$E:$F,2,FALSE)&lt;&gt;"",VLOOKUP(B67,Aaradhak_Details!$E:$F,2,FALSE),Actual_Data!D67),Actual_Data!D67)</f>
        <v>21</v>
      </c>
      <c r="D67" s="116" t="str">
        <f>IFERROR(VLOOKUP(B67,Aaradhak_Details!$E:$G,3,FALSE),"")</f>
        <v/>
      </c>
      <c r="E67" s="117">
        <f>IFERROR(IF(VLOOKUP(B67,Aaradhak_Details!$E:$I,5,FALSE)&lt;&gt;"",VLOOKUP(B67,Aaradhak_Details!$E:$I,5,FALSE),Actual_Data!E67),Actual_Data!E67)</f>
        <v>7434966909</v>
      </c>
      <c r="F67" s="94" t="str">
        <f t="array" ref="F67">IFERROR(
  INDEX(Aaradhak_Details!J:J, MATCH(B67, Aaradhak_Details!E:E, 0)),
  ""
)
</f>
        <v/>
      </c>
    </row>
    <row r="68" ht="22.5" customHeight="1">
      <c r="A68" s="116" t="str">
        <f>Actual_Data!C68</f>
        <v>Diya Rakesh Jain</v>
      </c>
      <c r="B68" s="117">
        <f>Actual_Data!B68</f>
        <v>74</v>
      </c>
      <c r="C68" s="117">
        <f>IFERROR(IF(VLOOKUP(B68,Aaradhak_Details!$E:$F,2,FALSE)&lt;&gt;"",VLOOKUP(B68,Aaradhak_Details!$E:$F,2,FALSE),Actual_Data!D68),Actual_Data!D68)</f>
        <v>21</v>
      </c>
      <c r="D68" s="116" t="str">
        <f>IFERROR(VLOOKUP(B68,Aaradhak_Details!$E:$G,3,FALSE),"")</f>
        <v/>
      </c>
      <c r="E68" s="117">
        <f>IFERROR(IF(VLOOKUP(B68,Aaradhak_Details!$E:$I,5,FALSE)&lt;&gt;"",VLOOKUP(B68,Aaradhak_Details!$E:$I,5,FALSE),Actual_Data!E68),Actual_Data!E68)</f>
        <v>9499545916</v>
      </c>
      <c r="F68" s="94" t="str">
        <f t="array" ref="F68">IFERROR(
  INDEX(Aaradhak_Details!J:J, MATCH(B68, Aaradhak_Details!E:E, 0)),
  ""
)
</f>
        <v/>
      </c>
    </row>
    <row r="69" ht="22.5" customHeight="1">
      <c r="A69" s="116" t="str">
        <f>Actual_Data!C69</f>
        <v>Diya shah</v>
      </c>
      <c r="B69" s="117">
        <f>Actual_Data!B69</f>
        <v>75</v>
      </c>
      <c r="C69" s="117">
        <f>IFERROR(IF(VLOOKUP(B69,Aaradhak_Details!$E:$F,2,FALSE)&lt;&gt;"",VLOOKUP(B69,Aaradhak_Details!$E:$F,2,FALSE),Actual_Data!D69),Actual_Data!D69)</f>
        <v>20</v>
      </c>
      <c r="D69" s="116" t="str">
        <f>IFERROR(VLOOKUP(B69,Aaradhak_Details!$E:$G,3,FALSE),"")</f>
        <v>O +ve</v>
      </c>
      <c r="E69" s="117">
        <f>IFERROR(IF(VLOOKUP(B69,Aaradhak_Details!$E:$I,5,FALSE)&lt;&gt;"",VLOOKUP(B69,Aaradhak_Details!$E:$I,5,FALSE),Actual_Data!E69),Actual_Data!E69)</f>
        <v>9265598308</v>
      </c>
      <c r="F69" s="118" t="str">
        <f t="array" ref="F69">IFERROR(
  INDEX(Aaradhak_Details!J:J, MATCH(B69, Aaradhak_Details!E:E, 0)),
  ""
)
</f>
        <v>https://drive.google.com/open?id=1fPOe9fUDFQo29jllX3hm1_b62KloxG2H</v>
      </c>
    </row>
    <row r="70" ht="22.5" customHeight="1">
      <c r="A70" s="116" t="str">
        <f>Actual_Data!C70</f>
        <v>Diya Vardhman Chhajed </v>
      </c>
      <c r="B70" s="117">
        <f>Actual_Data!B70</f>
        <v>76</v>
      </c>
      <c r="C70" s="117">
        <f>IFERROR(IF(VLOOKUP(B70,Aaradhak_Details!$E:$F,2,FALSE)&lt;&gt;"",VLOOKUP(B70,Aaradhak_Details!$E:$F,2,FALSE),Actual_Data!D70),Actual_Data!D70)</f>
        <v>19</v>
      </c>
      <c r="D70" s="116" t="str">
        <f>IFERROR(VLOOKUP(B70,Aaradhak_Details!$E:$G,3,FALSE),"")</f>
        <v/>
      </c>
      <c r="E70" s="117">
        <f>IFERROR(IF(VLOOKUP(B70,Aaradhak_Details!$E:$I,5,FALSE)&lt;&gt;"",VLOOKUP(B70,Aaradhak_Details!$E:$I,5,FALSE),Actual_Data!E70),Actual_Data!E70)</f>
        <v>7361003004</v>
      </c>
      <c r="F70" s="94" t="str">
        <f t="array" ref="F70">IFERROR(
  INDEX(Aaradhak_Details!J:J, MATCH(B70, Aaradhak_Details!E:E, 0)),
  ""
)
</f>
        <v/>
      </c>
    </row>
    <row r="71" ht="22.5" customHeight="1">
      <c r="A71" s="116" t="str">
        <f>Actual_Data!C71</f>
        <v>Dolly Inderkumar Jain</v>
      </c>
      <c r="B71" s="117">
        <f>Actual_Data!B71</f>
        <v>77</v>
      </c>
      <c r="C71" s="117">
        <f>IFERROR(IF(VLOOKUP(B71,Aaradhak_Details!$E:$F,2,FALSE)&lt;&gt;"",VLOOKUP(B71,Aaradhak_Details!$E:$F,2,FALSE),Actual_Data!D71),Actual_Data!D71)</f>
        <v>25</v>
      </c>
      <c r="D71" s="116" t="str">
        <f>IFERROR(VLOOKUP(B71,Aaradhak_Details!$E:$G,3,FALSE),"")</f>
        <v>AB +ve</v>
      </c>
      <c r="E71" s="117">
        <f>IFERROR(IF(VLOOKUP(B71,Aaradhak_Details!$E:$I,5,FALSE)&lt;&gt;"",VLOOKUP(B71,Aaradhak_Details!$E:$I,5,FALSE),Actual_Data!E71),Actual_Data!E71)</f>
        <v>9974173115</v>
      </c>
      <c r="F71" s="118" t="str">
        <f t="array" ref="F71">IFERROR(
  INDEX(Aaradhak_Details!J:J, MATCH(B71, Aaradhak_Details!E:E, 0)),
  ""
)
</f>
        <v>https://drive.google.com/open?id=1IUFaGp_j0sMvyKwrHPAr49Jk6gFhnf-1</v>
      </c>
    </row>
    <row r="72" ht="22.5" customHeight="1">
      <c r="A72" s="116" t="str">
        <f>Actual_Data!C72</f>
        <v>Dolly patwa</v>
      </c>
      <c r="B72" s="117">
        <f>Actual_Data!B72</f>
        <v>78</v>
      </c>
      <c r="C72" s="117">
        <f>IFERROR(IF(VLOOKUP(B72,Aaradhak_Details!$E:$F,2,FALSE)&lt;&gt;"",VLOOKUP(B72,Aaradhak_Details!$E:$F,2,FALSE),Actual_Data!D72),Actual_Data!D72)</f>
        <v>16</v>
      </c>
      <c r="D72" s="116" t="str">
        <f>IFERROR(VLOOKUP(B72,Aaradhak_Details!$E:$G,3,FALSE),"")</f>
        <v/>
      </c>
      <c r="E72" s="117">
        <f>IFERROR(IF(VLOOKUP(B72,Aaradhak_Details!$E:$I,5,FALSE)&lt;&gt;"",VLOOKUP(B72,Aaradhak_Details!$E:$I,5,FALSE),Actual_Data!E72),Actual_Data!E72)</f>
        <v>7999136791</v>
      </c>
      <c r="F72" s="94" t="str">
        <f t="array" ref="F72">IFERROR(
  INDEX(Aaradhak_Details!J:J, MATCH(B72, Aaradhak_Details!E:E, 0)),
  ""
)
</f>
        <v/>
      </c>
    </row>
    <row r="73" ht="22.5" customHeight="1">
      <c r="A73" s="116" t="str">
        <f>Actual_Data!C73</f>
        <v>Doshi prapti prakash Kumar </v>
      </c>
      <c r="B73" s="117">
        <f>Actual_Data!B73</f>
        <v>79</v>
      </c>
      <c r="C73" s="117">
        <f>IFERROR(IF(VLOOKUP(B73,Aaradhak_Details!$E:$F,2,FALSE)&lt;&gt;"",VLOOKUP(B73,Aaradhak_Details!$E:$F,2,FALSE),Actual_Data!D73),Actual_Data!D73)</f>
        <v>19</v>
      </c>
      <c r="D73" s="116" t="str">
        <f>IFERROR(VLOOKUP(B73,Aaradhak_Details!$E:$G,3,FALSE),"")</f>
        <v>A +ve</v>
      </c>
      <c r="E73" s="117">
        <f>IFERROR(IF(VLOOKUP(B73,Aaradhak_Details!$E:$I,5,FALSE)&lt;&gt;"",VLOOKUP(B73,Aaradhak_Details!$E:$I,5,FALSE),Actual_Data!E73),Actual_Data!E73)</f>
        <v>9825446981</v>
      </c>
      <c r="F73" s="118" t="str">
        <f t="array" ref="F73">IFERROR(
  INDEX(Aaradhak_Details!J:J, MATCH(B73, Aaradhak_Details!E:E, 0)),
  ""
)
</f>
        <v>https://drive.google.com/open?id=1XQFGPC5U-8zleCnPKHk3vtx-ZAxgLmd0</v>
      </c>
    </row>
    <row r="74" ht="22.5" customHeight="1">
      <c r="A74" s="116" t="str">
        <f>Actual_Data!C74</f>
        <v>Doshi vidhi</v>
      </c>
      <c r="B74" s="117">
        <f>Actual_Data!B74</f>
        <v>80</v>
      </c>
      <c r="C74" s="117">
        <f>IFERROR(IF(VLOOKUP(B74,Aaradhak_Details!$E:$F,2,FALSE)&lt;&gt;"",VLOOKUP(B74,Aaradhak_Details!$E:$F,2,FALSE),Actual_Data!D74),Actual_Data!D74)</f>
        <v>18</v>
      </c>
      <c r="D74" s="116" t="str">
        <f>IFERROR(VLOOKUP(B74,Aaradhak_Details!$E:$G,3,FALSE),"")</f>
        <v>B +ve</v>
      </c>
      <c r="E74" s="117">
        <f>IFERROR(IF(VLOOKUP(B74,Aaradhak_Details!$E:$I,5,FALSE)&lt;&gt;"",VLOOKUP(B74,Aaradhak_Details!$E:$I,5,FALSE),Actual_Data!E74),Actual_Data!E74)</f>
        <v>9426325854</v>
      </c>
      <c r="F74" s="118" t="str">
        <f t="array" ref="F74">IFERROR(
  INDEX(Aaradhak_Details!J:J, MATCH(B74, Aaradhak_Details!E:E, 0)),
  ""
)
</f>
        <v>https://drive.google.com/open?id=1qMbvrZUvlr0ntGNomOTllPsIA-jBeOBK</v>
      </c>
    </row>
    <row r="75" ht="22.5" customHeight="1">
      <c r="A75" s="116" t="str">
        <f>Actual_Data!C75</f>
        <v>Drashty Bakul Malde </v>
      </c>
      <c r="B75" s="117">
        <f>Actual_Data!B75</f>
        <v>81</v>
      </c>
      <c r="C75" s="117">
        <f>IFERROR(IF(VLOOKUP(B75,Aaradhak_Details!$E:$F,2,FALSE)&lt;&gt;"",VLOOKUP(B75,Aaradhak_Details!$E:$F,2,FALSE),Actual_Data!D75),Actual_Data!D75)</f>
        <v>24</v>
      </c>
      <c r="D75" s="116" t="str">
        <f>IFERROR(VLOOKUP(B75,Aaradhak_Details!$E:$G,3,FALSE),"")</f>
        <v>B +ve</v>
      </c>
      <c r="E75" s="117">
        <f>IFERROR(IF(VLOOKUP(B75,Aaradhak_Details!$E:$I,5,FALSE)&lt;&gt;"",VLOOKUP(B75,Aaradhak_Details!$E:$I,5,FALSE),Actual_Data!E75),Actual_Data!E75)</f>
        <v>9423368067</v>
      </c>
      <c r="F75" s="118" t="str">
        <f t="array" ref="F75">IFERROR(
  INDEX(Aaradhak_Details!J:J, MATCH(B75, Aaradhak_Details!E:E, 0)),
  ""
)
</f>
        <v>https://drive.google.com/open?id=13X_ffu4ZiCRMBz-dOse5srPJpNDgPKzT</v>
      </c>
    </row>
    <row r="76" ht="22.5" customHeight="1">
      <c r="A76" s="116" t="str">
        <f>Actual_Data!C76</f>
        <v>Ekta Mehta</v>
      </c>
      <c r="B76" s="117">
        <f>Actual_Data!B76</f>
        <v>82</v>
      </c>
      <c r="C76" s="117">
        <f>IFERROR(IF(VLOOKUP(B76,Aaradhak_Details!$E:$F,2,FALSE)&lt;&gt;"",VLOOKUP(B76,Aaradhak_Details!$E:$F,2,FALSE),Actual_Data!D76),Actual_Data!D76)</f>
        <v>20</v>
      </c>
      <c r="D76" s="116" t="str">
        <f>IFERROR(VLOOKUP(B76,Aaradhak_Details!$E:$G,3,FALSE),"")</f>
        <v/>
      </c>
      <c r="E76" s="117">
        <f>IFERROR(IF(VLOOKUP(B76,Aaradhak_Details!$E:$I,5,FALSE)&lt;&gt;"",VLOOKUP(B76,Aaradhak_Details!$E:$I,5,FALSE),Actual_Data!E76),Actual_Data!E76)</f>
        <v>7049082670</v>
      </c>
      <c r="F76" s="94" t="str">
        <f t="array" ref="F76">IFERROR(
  INDEX(Aaradhak_Details!J:J, MATCH(B76, Aaradhak_Details!E:E, 0)),
  ""
)
</f>
        <v/>
      </c>
    </row>
    <row r="77" ht="22.5" customHeight="1">
      <c r="A77" s="116" t="str">
        <f>Actual_Data!C77</f>
        <v>Esha Satish Savla </v>
      </c>
      <c r="B77" s="117">
        <f>Actual_Data!B77</f>
        <v>83</v>
      </c>
      <c r="C77" s="117">
        <f>IFERROR(IF(VLOOKUP(B77,Aaradhak_Details!$E:$F,2,FALSE)&lt;&gt;"",VLOOKUP(B77,Aaradhak_Details!$E:$F,2,FALSE),Actual_Data!D77),Actual_Data!D77)</f>
        <v>25</v>
      </c>
      <c r="D77" s="116" t="str">
        <f>IFERROR(VLOOKUP(B77,Aaradhak_Details!$E:$G,3,FALSE),"")</f>
        <v>B +ve</v>
      </c>
      <c r="E77" s="117">
        <f>IFERROR(IF(VLOOKUP(B77,Aaradhak_Details!$E:$I,5,FALSE)&lt;&gt;"",VLOOKUP(B77,Aaradhak_Details!$E:$I,5,FALSE),Actual_Data!E77),Actual_Data!E77)</f>
        <v>8850502382</v>
      </c>
      <c r="F77" s="118" t="str">
        <f t="array" ref="F77">IFERROR(
  INDEX(Aaradhak_Details!J:J, MATCH(B77, Aaradhak_Details!E:E, 0)),
  ""
)
</f>
        <v>https://drive.google.com/open?id=1gm12aFXkJh_eYFlUpKab04hwt6G1opcJ</v>
      </c>
    </row>
    <row r="78" ht="22.5" customHeight="1">
      <c r="A78" s="116" t="str">
        <f>Actual_Data!C78</f>
        <v>Forum Rajesh Chheda</v>
      </c>
      <c r="B78" s="117">
        <f>Actual_Data!B78</f>
        <v>84</v>
      </c>
      <c r="C78" s="117">
        <f>IFERROR(IF(VLOOKUP(B78,Aaradhak_Details!$E:$F,2,FALSE)&lt;&gt;"",VLOOKUP(B78,Aaradhak_Details!$E:$F,2,FALSE),Actual_Data!D78),Actual_Data!D78)</f>
        <v>22</v>
      </c>
      <c r="D78" s="116" t="str">
        <f>IFERROR(VLOOKUP(B78,Aaradhak_Details!$E:$G,3,FALSE),"")</f>
        <v>B +ve</v>
      </c>
      <c r="E78" s="117">
        <f>IFERROR(IF(VLOOKUP(B78,Aaradhak_Details!$E:$I,5,FALSE)&lt;&gt;"",VLOOKUP(B78,Aaradhak_Details!$E:$I,5,FALSE),Actual_Data!E78),Actual_Data!E78)</f>
        <v>9699946077</v>
      </c>
      <c r="F78" s="118" t="str">
        <f t="array" ref="F78">IFERROR(
  INDEX(Aaradhak_Details!J:J, MATCH(B78, Aaradhak_Details!E:E, 0)),
  ""
)
</f>
        <v>https://drive.google.com/open?id=1UFoIYvsv14t3pw-gGBoUdSUnVoaSnC_M</v>
      </c>
    </row>
    <row r="79" ht="22.5" customHeight="1">
      <c r="A79" s="116" t="str">
        <f>Actual_Data!C79</f>
        <v>Gandhi Asha </v>
      </c>
      <c r="B79" s="117">
        <f>Actual_Data!B79</f>
        <v>85</v>
      </c>
      <c r="C79" s="117">
        <f>IFERROR(IF(VLOOKUP(B79,Aaradhak_Details!$E:$F,2,FALSE)&lt;&gt;"",VLOOKUP(B79,Aaradhak_Details!$E:$F,2,FALSE),Actual_Data!D79),Actual_Data!D79)</f>
        <v>28</v>
      </c>
      <c r="D79" s="116" t="str">
        <f>IFERROR(VLOOKUP(B79,Aaradhak_Details!$E:$G,3,FALSE),"")</f>
        <v/>
      </c>
      <c r="E79" s="117">
        <f>IFERROR(IF(VLOOKUP(B79,Aaradhak_Details!$E:$I,5,FALSE)&lt;&gt;"",VLOOKUP(B79,Aaradhak_Details!$E:$I,5,FALSE),Actual_Data!E79),Actual_Data!E79)</f>
        <v>7016730670</v>
      </c>
      <c r="F79" s="94" t="str">
        <f t="array" ref="F79">IFERROR(
  INDEX(Aaradhak_Details!J:J, MATCH(B79, Aaradhak_Details!E:E, 0)),
  ""
)
</f>
        <v/>
      </c>
    </row>
    <row r="80" ht="22.5" customHeight="1">
      <c r="A80" s="116" t="str">
        <f>Actual_Data!C80</f>
        <v>Geeta Sandeep Lodha</v>
      </c>
      <c r="B80" s="117">
        <f>Actual_Data!B80</f>
        <v>87</v>
      </c>
      <c r="C80" s="117">
        <f>IFERROR(IF(VLOOKUP(B80,Aaradhak_Details!$E:$F,2,FALSE)&lt;&gt;"",VLOOKUP(B80,Aaradhak_Details!$E:$F,2,FALSE),Actual_Data!D80),Actual_Data!D80)</f>
        <v>27</v>
      </c>
      <c r="D80" s="116" t="str">
        <f>IFERROR(VLOOKUP(B80,Aaradhak_Details!$E:$G,3,FALSE),"")</f>
        <v>B +ve</v>
      </c>
      <c r="E80" s="117">
        <f>IFERROR(IF(VLOOKUP(B80,Aaradhak_Details!$E:$I,5,FALSE)&lt;&gt;"",VLOOKUP(B80,Aaradhak_Details!$E:$I,5,FALSE),Actual_Data!E80),Actual_Data!E80)</f>
        <v>9923604321</v>
      </c>
      <c r="F80" s="118" t="str">
        <f t="array" ref="F80">IFERROR(
  INDEX(Aaradhak_Details!J:J, MATCH(B80, Aaradhak_Details!E:E, 0)),
  ""
)
</f>
        <v>https://drive.google.com/open?id=1JPRE3-FwIpdDPlLy7v3uR2lniOvFCkrK</v>
      </c>
    </row>
    <row r="81" ht="22.5" customHeight="1">
      <c r="A81" s="116" t="str">
        <f>Actual_Data!C81</f>
        <v>Harshita Rajesh Bhimani </v>
      </c>
      <c r="B81" s="117">
        <f>Actual_Data!B81</f>
        <v>88</v>
      </c>
      <c r="C81" s="117">
        <f>IFERROR(IF(VLOOKUP(B81,Aaradhak_Details!$E:$F,2,FALSE)&lt;&gt;"",VLOOKUP(B81,Aaradhak_Details!$E:$F,2,FALSE),Actual_Data!D81),Actual_Data!D81)</f>
        <v>20</v>
      </c>
      <c r="D81" s="116" t="str">
        <f>IFERROR(VLOOKUP(B81,Aaradhak_Details!$E:$G,3,FALSE),"")</f>
        <v/>
      </c>
      <c r="E81" s="117">
        <f>IFERROR(IF(VLOOKUP(B81,Aaradhak_Details!$E:$I,5,FALSE)&lt;&gt;"",VLOOKUP(B81,Aaradhak_Details!$E:$I,5,FALSE),Actual_Data!E81),Actual_Data!E81)</f>
        <v>7738668568</v>
      </c>
      <c r="F81" s="94" t="str">
        <f t="array" ref="F81">IFERROR(
  INDEX(Aaradhak_Details!J:J, MATCH(B81, Aaradhak_Details!E:E, 0)),
  ""
)
</f>
        <v/>
      </c>
    </row>
    <row r="82" ht="22.5" customHeight="1">
      <c r="A82" s="116" t="str">
        <f>Actual_Data!C82</f>
        <v>Harshvi Kavit Shah</v>
      </c>
      <c r="B82" s="117">
        <f>Actual_Data!B82</f>
        <v>89</v>
      </c>
      <c r="C82" s="117">
        <f>IFERROR(IF(VLOOKUP(B82,Aaradhak_Details!$E:$F,2,FALSE)&lt;&gt;"",VLOOKUP(B82,Aaradhak_Details!$E:$F,2,FALSE),Actual_Data!D82),Actual_Data!D82)</f>
        <v>22</v>
      </c>
      <c r="D82" s="116" t="str">
        <f>IFERROR(VLOOKUP(B82,Aaradhak_Details!$E:$G,3,FALSE),"")</f>
        <v>B +ve</v>
      </c>
      <c r="E82" s="117">
        <f>IFERROR(IF(VLOOKUP(B82,Aaradhak_Details!$E:$I,5,FALSE)&lt;&gt;"",VLOOKUP(B82,Aaradhak_Details!$E:$I,5,FALSE),Actual_Data!E82),Actual_Data!E82)</f>
        <v>9821355636</v>
      </c>
      <c r="F82" s="118" t="str">
        <f t="array" ref="F82">IFERROR(
  INDEX(Aaradhak_Details!J:J, MATCH(B82, Aaradhak_Details!E:E, 0)),
  ""
)
</f>
        <v>https://drive.google.com/open?id=1hYY7LRX_apW7k1wB3_q-O6ZXdoLaRgr5</v>
      </c>
    </row>
    <row r="83" ht="22.5" customHeight="1">
      <c r="A83" s="116" t="str">
        <f>Actual_Data!C83</f>
        <v>Hasti Hasmukh Dedhia </v>
      </c>
      <c r="B83" s="117">
        <f>Actual_Data!B83</f>
        <v>90</v>
      </c>
      <c r="C83" s="117">
        <f>IFERROR(IF(VLOOKUP(B83,Aaradhak_Details!$E:$F,2,FALSE)&lt;&gt;"",VLOOKUP(B83,Aaradhak_Details!$E:$F,2,FALSE),Actual_Data!D83),Actual_Data!D83)</f>
        <v>18</v>
      </c>
      <c r="D83" s="116" t="str">
        <f>IFERROR(VLOOKUP(B83,Aaradhak_Details!$E:$G,3,FALSE),"")</f>
        <v>A +ve</v>
      </c>
      <c r="E83" s="117">
        <f>IFERROR(IF(VLOOKUP(B83,Aaradhak_Details!$E:$I,5,FALSE)&lt;&gt;"",VLOOKUP(B83,Aaradhak_Details!$E:$I,5,FALSE),Actual_Data!E83),Actual_Data!E83)</f>
        <v>9653151546</v>
      </c>
      <c r="F83" s="118" t="str">
        <f t="array" ref="F83">IFERROR(
  INDEX(Aaradhak_Details!J:J, MATCH(B83, Aaradhak_Details!E:E, 0)),
  ""
)
</f>
        <v>https://drive.google.com/open?id=1qXXjMHSjTAiV0WmBPM6b0NzOhdHV2Lc7</v>
      </c>
    </row>
    <row r="84" ht="22.5" customHeight="1">
      <c r="A84" s="116" t="str">
        <f>Actual_Data!C84</f>
        <v>Heena Shah</v>
      </c>
      <c r="B84" s="117">
        <f>Actual_Data!B84</f>
        <v>91</v>
      </c>
      <c r="C84" s="117">
        <f>IFERROR(IF(VLOOKUP(B84,Aaradhak_Details!$E:$F,2,FALSE)&lt;&gt;"",VLOOKUP(B84,Aaradhak_Details!$E:$F,2,FALSE),Actual_Data!D84),Actual_Data!D84)</f>
        <v>50</v>
      </c>
      <c r="D84" s="116" t="str">
        <f>IFERROR(VLOOKUP(B84,Aaradhak_Details!$E:$G,3,FALSE),"")</f>
        <v>O +ve</v>
      </c>
      <c r="E84" s="117">
        <f>IFERROR(IF(VLOOKUP(B84,Aaradhak_Details!$E:$I,5,FALSE)&lt;&gt;"",VLOOKUP(B84,Aaradhak_Details!$E:$I,5,FALSE),Actual_Data!E84),Actual_Data!E84)</f>
        <v>9820183544</v>
      </c>
      <c r="F84" s="118" t="str">
        <f t="array" ref="F84">IFERROR(
  INDEX(Aaradhak_Details!J:J, MATCH(B84, Aaradhak_Details!E:E, 0)),
  ""
)
</f>
        <v>https://drive.google.com/open?id=1hA_ZAlVQCpljpLRBuLZbvvdrCyFKq9YX</v>
      </c>
    </row>
    <row r="85" ht="22.5" customHeight="1">
      <c r="A85" s="116" t="str">
        <f>Actual_Data!C85</f>
        <v>Heeya nayan gandhi</v>
      </c>
      <c r="B85" s="117">
        <f>Actual_Data!B85</f>
        <v>92</v>
      </c>
      <c r="C85" s="117">
        <f>IFERROR(IF(VLOOKUP(B85,Aaradhak_Details!$E:$F,2,FALSE)&lt;&gt;"",VLOOKUP(B85,Aaradhak_Details!$E:$F,2,FALSE),Actual_Data!D85),Actual_Data!D85)</f>
        <v>12</v>
      </c>
      <c r="D85" s="116" t="str">
        <f>IFERROR(VLOOKUP(B85,Aaradhak_Details!$E:$G,3,FALSE),"")</f>
        <v>B +ve</v>
      </c>
      <c r="E85" s="117">
        <f>IFERROR(IF(VLOOKUP(B85,Aaradhak_Details!$E:$I,5,FALSE)&lt;&gt;"",VLOOKUP(B85,Aaradhak_Details!$E:$I,5,FALSE),Actual_Data!E85),Actual_Data!E85)</f>
        <v>7977736076</v>
      </c>
      <c r="F85" s="118" t="str">
        <f t="array" ref="F85">IFERROR(
  INDEX(Aaradhak_Details!J:J, MATCH(B85, Aaradhak_Details!E:E, 0)),
  ""
)
</f>
        <v>https://drive.google.com/open?id=1KFF-AZHUAcwvEjnkiYzvovi7EP10Tmh7</v>
      </c>
    </row>
    <row r="86" ht="22.5" customHeight="1">
      <c r="A86" s="116" t="str">
        <f>Actual_Data!C86</f>
        <v>HET MANOJ SHAH </v>
      </c>
      <c r="B86" s="117">
        <f>Actual_Data!B86</f>
        <v>95</v>
      </c>
      <c r="C86" s="117">
        <f>IFERROR(IF(VLOOKUP(B86,Aaradhak_Details!$E:$F,2,FALSE)&lt;&gt;"",VLOOKUP(B86,Aaradhak_Details!$E:$F,2,FALSE),Actual_Data!D86),Actual_Data!D86)</f>
        <v>21</v>
      </c>
      <c r="D86" s="116" t="str">
        <f>IFERROR(VLOOKUP(B86,Aaradhak_Details!$E:$G,3,FALSE),"")</f>
        <v>AB +ve</v>
      </c>
      <c r="E86" s="117">
        <f>IFERROR(IF(VLOOKUP(B86,Aaradhak_Details!$E:$I,5,FALSE)&lt;&gt;"",VLOOKUP(B86,Aaradhak_Details!$E:$I,5,FALSE),Actual_Data!E86),Actual_Data!E86)</f>
        <v>9324842615</v>
      </c>
      <c r="F86" s="118" t="str">
        <f t="array" ref="F86">IFERROR(
  INDEX(Aaradhak_Details!J:J, MATCH(B86, Aaradhak_Details!E:E, 0)),
  ""
)
</f>
        <v>https://drive.google.com/open?id=1H_EPr-AYeOiKqBpCDr2ULC0Dke83IrnV</v>
      </c>
    </row>
    <row r="87" ht="22.5" customHeight="1">
      <c r="A87" s="116" t="str">
        <f>Actual_Data!C87</f>
        <v>Hetali Rajen Shah</v>
      </c>
      <c r="B87" s="117">
        <f>Actual_Data!B87</f>
        <v>97</v>
      </c>
      <c r="C87" s="117">
        <f>IFERROR(IF(VLOOKUP(B87,Aaradhak_Details!$E:$F,2,FALSE)&lt;&gt;"",VLOOKUP(B87,Aaradhak_Details!$E:$F,2,FALSE),Actual_Data!D87),Actual_Data!D87)</f>
        <v>25</v>
      </c>
      <c r="D87" s="116" t="str">
        <f>IFERROR(VLOOKUP(B87,Aaradhak_Details!$E:$G,3,FALSE),"")</f>
        <v>A +ve</v>
      </c>
      <c r="E87" s="117">
        <f>IFERROR(IF(VLOOKUP(B87,Aaradhak_Details!$E:$I,5,FALSE)&lt;&gt;"",VLOOKUP(B87,Aaradhak_Details!$E:$I,5,FALSE),Actual_Data!E87),Actual_Data!E87)</f>
        <v>9821273773</v>
      </c>
      <c r="F87" s="118" t="str">
        <f t="array" ref="F87">IFERROR(
  INDEX(Aaradhak_Details!J:J, MATCH(B87, Aaradhak_Details!E:E, 0)),
  ""
)
</f>
        <v>https://drive.google.com/open?id=17dQeDe0zW_jZj8_5UtCenMBes0i_Ndkd</v>
      </c>
    </row>
    <row r="88" ht="22.5" customHeight="1">
      <c r="A88" s="116" t="str">
        <f>Actual_Data!C88</f>
        <v>Hetvi Nilesh Shah </v>
      </c>
      <c r="B88" s="117">
        <f>Actual_Data!B88</f>
        <v>98</v>
      </c>
      <c r="C88" s="117">
        <f>IFERROR(IF(VLOOKUP(B88,Aaradhak_Details!$E:$F,2,FALSE)&lt;&gt;"",VLOOKUP(B88,Aaradhak_Details!$E:$F,2,FALSE),Actual_Data!D88),Actual_Data!D88)</f>
        <v>24</v>
      </c>
      <c r="D88" s="116" t="str">
        <f>IFERROR(VLOOKUP(B88,Aaradhak_Details!$E:$G,3,FALSE),"")</f>
        <v/>
      </c>
      <c r="E88" s="117">
        <f>IFERROR(IF(VLOOKUP(B88,Aaradhak_Details!$E:$I,5,FALSE)&lt;&gt;"",VLOOKUP(B88,Aaradhak_Details!$E:$I,5,FALSE),Actual_Data!E88),Actual_Data!E88)</f>
        <v>8169441735</v>
      </c>
      <c r="F88" s="94" t="str">
        <f t="array" ref="F88">IFERROR(
  INDEX(Aaradhak_Details!J:J, MATCH(B88, Aaradhak_Details!E:E, 0)),
  ""
)
</f>
        <v/>
      </c>
    </row>
    <row r="89" ht="22.5" customHeight="1">
      <c r="A89" s="116" t="str">
        <f>Actual_Data!C89</f>
        <v>Hetvi Paras Shah</v>
      </c>
      <c r="B89" s="117">
        <f>Actual_Data!B89</f>
        <v>99</v>
      </c>
      <c r="C89" s="117">
        <f>IFERROR(IF(VLOOKUP(B89,Aaradhak_Details!$E:$F,2,FALSE)&lt;&gt;"",VLOOKUP(B89,Aaradhak_Details!$E:$F,2,FALSE),Actual_Data!D89),Actual_Data!D89)</f>
        <v>22</v>
      </c>
      <c r="D89" s="116" t="str">
        <f>IFERROR(VLOOKUP(B89,Aaradhak_Details!$E:$G,3,FALSE),"")</f>
        <v>B +ve</v>
      </c>
      <c r="E89" s="117">
        <f>IFERROR(IF(VLOOKUP(B89,Aaradhak_Details!$E:$I,5,FALSE)&lt;&gt;"",VLOOKUP(B89,Aaradhak_Details!$E:$I,5,FALSE),Actual_Data!E89),Actual_Data!E89)</f>
        <v>9821116177</v>
      </c>
      <c r="F89" s="118" t="str">
        <f t="array" ref="F89">IFERROR(
  INDEX(Aaradhak_Details!J:J, MATCH(B89, Aaradhak_Details!E:E, 0)),
  ""
)
</f>
        <v>https://drive.google.com/open?id=1WJRZnz0WLA-V7QFAT8lSXWS1AsLbUGDO</v>
      </c>
    </row>
    <row r="90" ht="22.5" customHeight="1">
      <c r="A90" s="116" t="str">
        <f>Actual_Data!C90</f>
        <v>Hetvi Vimal Gosrani</v>
      </c>
      <c r="B90" s="117">
        <f>Actual_Data!B90</f>
        <v>100</v>
      </c>
      <c r="C90" s="117">
        <f>IFERROR(IF(VLOOKUP(B90,Aaradhak_Details!$E:$F,2,FALSE)&lt;&gt;"",VLOOKUP(B90,Aaradhak_Details!$E:$F,2,FALSE),Actual_Data!D90),Actual_Data!D90)</f>
        <v>21</v>
      </c>
      <c r="D90" s="116" t="str">
        <f>IFERROR(VLOOKUP(B90,Aaradhak_Details!$E:$G,3,FALSE),"")</f>
        <v>A +ve</v>
      </c>
      <c r="E90" s="117">
        <f>IFERROR(IF(VLOOKUP(B90,Aaradhak_Details!$E:$I,5,FALSE)&lt;&gt;"",VLOOKUP(B90,Aaradhak_Details!$E:$I,5,FALSE),Actual_Data!E90),Actual_Data!E90)</f>
        <v>7977757478</v>
      </c>
      <c r="F90" s="118" t="str">
        <f t="array" ref="F90">IFERROR(
  INDEX(Aaradhak_Details!J:J, MATCH(B90, Aaradhak_Details!E:E, 0)),
  ""
)
</f>
        <v>https://drive.google.com/open?id=1BvFR9_-vYXTXz38ix5cDUSL0pNhEjPom</v>
      </c>
    </row>
    <row r="91" ht="22.5" customHeight="1">
      <c r="A91" s="116" t="str">
        <f>Actual_Data!C91</f>
        <v>Hiral Doshi </v>
      </c>
      <c r="B91" s="117">
        <f>Actual_Data!B91</f>
        <v>101</v>
      </c>
      <c r="C91" s="117">
        <f>IFERROR(IF(VLOOKUP(B91,Aaradhak_Details!$E:$F,2,FALSE)&lt;&gt;"",VLOOKUP(B91,Aaradhak_Details!$E:$F,2,FALSE),Actual_Data!D91),Actual_Data!D91)</f>
        <v>42</v>
      </c>
      <c r="D91" s="116" t="str">
        <f>IFERROR(VLOOKUP(B91,Aaradhak_Details!$E:$G,3,FALSE),"")</f>
        <v>B +ve</v>
      </c>
      <c r="E91" s="117">
        <f>IFERROR(IF(VLOOKUP(B91,Aaradhak_Details!$E:$I,5,FALSE)&lt;&gt;"",VLOOKUP(B91,Aaradhak_Details!$E:$I,5,FALSE),Actual_Data!E91),Actual_Data!E91)</f>
        <v>8097675227</v>
      </c>
      <c r="F91" s="118" t="str">
        <f t="array" ref="F91">IFERROR(
  INDEX(Aaradhak_Details!J:J, MATCH(B91, Aaradhak_Details!E:E, 0)),
  ""
)
</f>
        <v>https://drive.google.com/open?id=1EXpPZGN9B73ip4ijSLArR4ml87Dzl491</v>
      </c>
    </row>
    <row r="92" ht="22.5" customHeight="1">
      <c r="A92" s="116" t="str">
        <f>Actual_Data!C92</f>
        <v>Hiral Vimal Shah</v>
      </c>
      <c r="B92" s="117">
        <f>Actual_Data!B92</f>
        <v>102</v>
      </c>
      <c r="C92" s="117">
        <f>IFERROR(IF(VLOOKUP(B92,Aaradhak_Details!$E:$F,2,FALSE)&lt;&gt;"",VLOOKUP(B92,Aaradhak_Details!$E:$F,2,FALSE),Actual_Data!D92),Actual_Data!D92)</f>
        <v>18</v>
      </c>
      <c r="D92" s="116" t="str">
        <f>IFERROR(VLOOKUP(B92,Aaradhak_Details!$E:$G,3,FALSE),"")</f>
        <v>AB +ve</v>
      </c>
      <c r="E92" s="117">
        <f>IFERROR(IF(VLOOKUP(B92,Aaradhak_Details!$E:$I,5,FALSE)&lt;&gt;"",VLOOKUP(B92,Aaradhak_Details!$E:$I,5,FALSE),Actual_Data!E92),Actual_Data!E92)</f>
        <v>8976230296</v>
      </c>
      <c r="F92" s="118" t="str">
        <f t="array" ref="F92">IFERROR(
  INDEX(Aaradhak_Details!J:J, MATCH(B92, Aaradhak_Details!E:E, 0)),
  ""
)
</f>
        <v>https://drive.google.com/open?id=14vEE1c88KwdL8RGiPotoL7z2bWQLDgpa</v>
      </c>
    </row>
    <row r="93" ht="22.5" customHeight="1">
      <c r="A93" s="116" t="str">
        <f>Actual_Data!C93</f>
        <v>Hiya Sachin Dhoka</v>
      </c>
      <c r="B93" s="117">
        <f>Actual_Data!B93</f>
        <v>103</v>
      </c>
      <c r="C93" s="117">
        <f>IFERROR(IF(VLOOKUP(B93,Aaradhak_Details!$E:$F,2,FALSE)&lt;&gt;"",VLOOKUP(B93,Aaradhak_Details!$E:$F,2,FALSE),Actual_Data!D93),Actual_Data!D93)</f>
        <v>17</v>
      </c>
      <c r="D93" s="116" t="str">
        <f>IFERROR(VLOOKUP(B93,Aaradhak_Details!$E:$G,3,FALSE),"")</f>
        <v>B +ve</v>
      </c>
      <c r="E93" s="117">
        <f>IFERROR(IF(VLOOKUP(B93,Aaradhak_Details!$E:$I,5,FALSE)&lt;&gt;"",VLOOKUP(B93,Aaradhak_Details!$E:$I,5,FALSE),Actual_Data!E93),Actual_Data!E93)</f>
        <v>9372446603</v>
      </c>
      <c r="F93" s="118" t="str">
        <f t="array" ref="F93">IFERROR(
  INDEX(Aaradhak_Details!J:J, MATCH(B93, Aaradhak_Details!E:E, 0)),
  ""
)
</f>
        <v>https://drive.google.com/open?id=1RtX31LI9jwdBgxYxKWnbgHd8husuw597</v>
      </c>
    </row>
    <row r="94" ht="22.5" customHeight="1">
      <c r="A94" s="116" t="str">
        <f>Actual_Data!C94</f>
        <v>Hrishika Rakesh Jain</v>
      </c>
      <c r="B94" s="117">
        <f>Actual_Data!B94</f>
        <v>104</v>
      </c>
      <c r="C94" s="117">
        <f>IFERROR(IF(VLOOKUP(B94,Aaradhak_Details!$E:$F,2,FALSE)&lt;&gt;"",VLOOKUP(B94,Aaradhak_Details!$E:$F,2,FALSE),Actual_Data!D94),Actual_Data!D94)</f>
        <v>21</v>
      </c>
      <c r="D94" s="116" t="str">
        <f>IFERROR(VLOOKUP(B94,Aaradhak_Details!$E:$G,3,FALSE),"")</f>
        <v>O +ve</v>
      </c>
      <c r="E94" s="117">
        <f>IFERROR(IF(VLOOKUP(B94,Aaradhak_Details!$E:$I,5,FALSE)&lt;&gt;"",VLOOKUP(B94,Aaradhak_Details!$E:$I,5,FALSE),Actual_Data!E94),Actual_Data!E94)</f>
        <v>9820211078</v>
      </c>
      <c r="F94" s="118" t="str">
        <f t="array" ref="F94">IFERROR(
  INDEX(Aaradhak_Details!J:J, MATCH(B94, Aaradhak_Details!E:E, 0)),
  ""
)
</f>
        <v>https://drive.google.com/open?id=1h9icjeT8N_i4svggErpEbyWHcmSXO6oZ</v>
      </c>
    </row>
    <row r="95" ht="22.5" customHeight="1">
      <c r="A95" s="116" t="str">
        <f>Actual_Data!C95</f>
        <v>Ishika Mahendra Jain</v>
      </c>
      <c r="B95" s="117">
        <f>Actual_Data!B95</f>
        <v>106</v>
      </c>
      <c r="C95" s="117">
        <f>IFERROR(IF(VLOOKUP(B95,Aaradhak_Details!$E:$F,2,FALSE)&lt;&gt;"",VLOOKUP(B95,Aaradhak_Details!$E:$F,2,FALSE),Actual_Data!D95),Actual_Data!D95)</f>
        <v>22</v>
      </c>
      <c r="D95" s="116" t="str">
        <f>IFERROR(VLOOKUP(B95,Aaradhak_Details!$E:$G,3,FALSE),"")</f>
        <v>O +ve</v>
      </c>
      <c r="E95" s="117">
        <f>IFERROR(IF(VLOOKUP(B95,Aaradhak_Details!$E:$I,5,FALSE)&lt;&gt;"",VLOOKUP(B95,Aaradhak_Details!$E:$I,5,FALSE),Actual_Data!E95),Actual_Data!E95)</f>
        <v>7666444892</v>
      </c>
      <c r="F95" s="118" t="str">
        <f t="array" ref="F95">IFERROR(
  INDEX(Aaradhak_Details!J:J, MATCH(B95, Aaradhak_Details!E:E, 0)),
  ""
)
</f>
        <v>https://drive.google.com/open?id=1O9rD9ukTLUq6rl2ClDUDwhe-Sp-NYFnW</v>
      </c>
    </row>
    <row r="96" ht="22.5" customHeight="1">
      <c r="A96" s="116" t="str">
        <f>Actual_Data!C96</f>
        <v>Ishita Jain</v>
      </c>
      <c r="B96" s="117">
        <f>Actual_Data!B96</f>
        <v>107</v>
      </c>
      <c r="C96" s="117">
        <f>IFERROR(IF(VLOOKUP(B96,Aaradhak_Details!$E:$F,2,FALSE)&lt;&gt;"",VLOOKUP(B96,Aaradhak_Details!$E:$F,2,FALSE),Actual_Data!D96),Actual_Data!D96)</f>
        <v>25</v>
      </c>
      <c r="D96" s="116" t="str">
        <f>IFERROR(VLOOKUP(B96,Aaradhak_Details!$E:$G,3,FALSE),"")</f>
        <v>O +ve</v>
      </c>
      <c r="E96" s="117">
        <f>IFERROR(IF(VLOOKUP(B96,Aaradhak_Details!$E:$I,5,FALSE)&lt;&gt;"",VLOOKUP(B96,Aaradhak_Details!$E:$I,5,FALSE),Actual_Data!E96),Actual_Data!E96)</f>
        <v>7665555146</v>
      </c>
      <c r="F96" s="118" t="str">
        <f t="array" ref="F96">IFERROR(
  INDEX(Aaradhak_Details!J:J, MATCH(B96, Aaradhak_Details!E:E, 0)),
  ""
)
</f>
        <v>https://drive.google.com/open?id=1BlRyisiCy19FzoFqwOJv5qxbSDis5ukj</v>
      </c>
    </row>
    <row r="97" ht="22.5" customHeight="1">
      <c r="A97" s="116" t="str">
        <f>Actual_Data!C97</f>
        <v>Ishita Sagrawat</v>
      </c>
      <c r="B97" s="117">
        <f>Actual_Data!B97</f>
        <v>108</v>
      </c>
      <c r="C97" s="117">
        <f>IFERROR(IF(VLOOKUP(B97,Aaradhak_Details!$E:$F,2,FALSE)&lt;&gt;"",VLOOKUP(B97,Aaradhak_Details!$E:$F,2,FALSE),Actual_Data!D97),Actual_Data!D97)</f>
        <v>18</v>
      </c>
      <c r="D97" s="116" t="str">
        <f>IFERROR(VLOOKUP(B97,Aaradhak_Details!$E:$G,3,FALSE),"")</f>
        <v/>
      </c>
      <c r="E97" s="117">
        <f>IFERROR(IF(VLOOKUP(B97,Aaradhak_Details!$E:$I,5,FALSE)&lt;&gt;"",VLOOKUP(B97,Aaradhak_Details!$E:$I,5,FALSE),Actual_Data!E97),Actual_Data!E97)</f>
        <v>9098957331</v>
      </c>
      <c r="F97" s="94" t="str">
        <f t="array" ref="F97">IFERROR(
  INDEX(Aaradhak_Details!J:J, MATCH(B97, Aaradhak_Details!E:E, 0)),
  ""
)
</f>
        <v/>
      </c>
    </row>
    <row r="98" ht="22.5" customHeight="1">
      <c r="A98" s="116" t="str">
        <f>Actual_Data!C98</f>
        <v>Itishajain </v>
      </c>
      <c r="B98" s="117">
        <f>Actual_Data!B98</f>
        <v>109</v>
      </c>
      <c r="C98" s="117">
        <f>IFERROR(IF(VLOOKUP(B98,Aaradhak_Details!$E:$F,2,FALSE)&lt;&gt;"",VLOOKUP(B98,Aaradhak_Details!$E:$F,2,FALSE),Actual_Data!D98),Actual_Data!D98)</f>
        <v>20</v>
      </c>
      <c r="D98" s="116" t="str">
        <f>IFERROR(VLOOKUP(B98,Aaradhak_Details!$E:$G,3,FALSE),"")</f>
        <v>A +ve</v>
      </c>
      <c r="E98" s="117">
        <f>IFERROR(IF(VLOOKUP(B98,Aaradhak_Details!$E:$I,5,FALSE)&lt;&gt;"",VLOOKUP(B98,Aaradhak_Details!$E:$I,5,FALSE),Actual_Data!E98),Actual_Data!E98)</f>
        <v>9131154100</v>
      </c>
      <c r="F98" s="118" t="str">
        <f t="array" ref="F98">IFERROR(
  INDEX(Aaradhak_Details!J:J, MATCH(B98, Aaradhak_Details!E:E, 0)),
  ""
)
</f>
        <v>https://drive.google.com/open?id=11n6iNU8F0S_3rLhkluUDbfT5l0TAagU_</v>
      </c>
    </row>
    <row r="99" ht="22.5" customHeight="1">
      <c r="A99" s="116" t="str">
        <f>Actual_Data!C99</f>
        <v>Jain Bhavika ben</v>
      </c>
      <c r="B99" s="117">
        <f>Actual_Data!B99</f>
        <v>110</v>
      </c>
      <c r="C99" s="117">
        <f>IFERROR(IF(VLOOKUP(B99,Aaradhak_Details!$E:$F,2,FALSE)&lt;&gt;"",VLOOKUP(B99,Aaradhak_Details!$E:$F,2,FALSE),Actual_Data!D99),Actual_Data!D99)</f>
        <v>40</v>
      </c>
      <c r="D99" s="116" t="str">
        <f>IFERROR(VLOOKUP(B99,Aaradhak_Details!$E:$G,3,FALSE),"")</f>
        <v>B +ve</v>
      </c>
      <c r="E99" s="117">
        <f>IFERROR(IF(VLOOKUP(B99,Aaradhak_Details!$E:$I,5,FALSE)&lt;&gt;"",VLOOKUP(B99,Aaradhak_Details!$E:$I,5,FALSE),Actual_Data!E99),Actual_Data!E99)</f>
        <v>7874182849</v>
      </c>
      <c r="F99" s="118" t="str">
        <f t="array" ref="F99">IFERROR(
  INDEX(Aaradhak_Details!J:J, MATCH(B99, Aaradhak_Details!E:E, 0)),
  ""
)
</f>
        <v>https://drive.google.com/open?id=1OQSQJZ0dfqvHd8rCKkjQstkcQcACoDZ6</v>
      </c>
    </row>
    <row r="100" ht="22.5" customHeight="1">
      <c r="A100" s="116" t="str">
        <f>Actual_Data!C100</f>
        <v>Jain divya vinod</v>
      </c>
      <c r="B100" s="117">
        <f>Actual_Data!B100</f>
        <v>111</v>
      </c>
      <c r="C100" s="117">
        <f>IFERROR(IF(VLOOKUP(B100,Aaradhak_Details!$E:$F,2,FALSE)&lt;&gt;"",VLOOKUP(B100,Aaradhak_Details!$E:$F,2,FALSE),Actual_Data!D100),Actual_Data!D100)</f>
        <v>21</v>
      </c>
      <c r="D100" s="116" t="str">
        <f>IFERROR(VLOOKUP(B100,Aaradhak_Details!$E:$G,3,FALSE),"")</f>
        <v/>
      </c>
      <c r="E100" s="117">
        <f>IFERROR(IF(VLOOKUP(B100,Aaradhak_Details!$E:$I,5,FALSE)&lt;&gt;"",VLOOKUP(B100,Aaradhak_Details!$E:$I,5,FALSE),Actual_Data!E100),Actual_Data!E100)</f>
        <v>9307690459</v>
      </c>
      <c r="F100" s="94" t="str">
        <f t="array" ref="F100">IFERROR(
  INDEX(Aaradhak_Details!J:J, MATCH(B100, Aaradhak_Details!E:E, 0)),
  ""
)
</f>
        <v/>
      </c>
    </row>
    <row r="101" ht="22.5" customHeight="1">
      <c r="A101" s="116" t="str">
        <f>Actual_Data!C101</f>
        <v>Jain Mehal Ritesh </v>
      </c>
      <c r="B101" s="117">
        <f>Actual_Data!B101</f>
        <v>112</v>
      </c>
      <c r="C101" s="117">
        <f>IFERROR(IF(VLOOKUP(B101,Aaradhak_Details!$E:$F,2,FALSE)&lt;&gt;"",VLOOKUP(B101,Aaradhak_Details!$E:$F,2,FALSE),Actual_Data!D101),Actual_Data!D101)</f>
        <v>20</v>
      </c>
      <c r="D101" s="116" t="str">
        <f>IFERROR(VLOOKUP(B101,Aaradhak_Details!$E:$G,3,FALSE),"")</f>
        <v/>
      </c>
      <c r="E101" s="117">
        <f>IFERROR(IF(VLOOKUP(B101,Aaradhak_Details!$E:$I,5,FALSE)&lt;&gt;"",VLOOKUP(B101,Aaradhak_Details!$E:$I,5,FALSE),Actual_Data!E101),Actual_Data!E101)</f>
        <v>7041204406</v>
      </c>
      <c r="F101" s="94" t="str">
        <f t="array" ref="F101">IFERROR(
  INDEX(Aaradhak_Details!J:J, MATCH(B101, Aaradhak_Details!E:E, 0)),
  ""
)
</f>
        <v/>
      </c>
    </row>
    <row r="102" ht="22.5" customHeight="1">
      <c r="A102" s="116" t="str">
        <f>Actual_Data!C102</f>
        <v>Jain Nikita manish</v>
      </c>
      <c r="B102" s="117">
        <f>Actual_Data!B102</f>
        <v>113</v>
      </c>
      <c r="C102" s="117">
        <f>IFERROR(IF(VLOOKUP(B102,Aaradhak_Details!$E:$F,2,FALSE)&lt;&gt;"",VLOOKUP(B102,Aaradhak_Details!$E:$F,2,FALSE),Actual_Data!D102),Actual_Data!D102)</f>
        <v>35</v>
      </c>
      <c r="D102" s="116" t="str">
        <f>IFERROR(VLOOKUP(B102,Aaradhak_Details!$E:$G,3,FALSE),"")</f>
        <v>B +ve</v>
      </c>
      <c r="E102" s="117">
        <f>IFERROR(IF(VLOOKUP(B102,Aaradhak_Details!$E:$I,5,FALSE)&lt;&gt;"",VLOOKUP(B102,Aaradhak_Details!$E:$I,5,FALSE),Actual_Data!E102),Actual_Data!E102)</f>
        <v>7600032535</v>
      </c>
      <c r="F102" s="118" t="str">
        <f t="array" ref="F102">IFERROR(
  INDEX(Aaradhak_Details!J:J, MATCH(B102, Aaradhak_Details!E:E, 0)),
  ""
)
</f>
        <v>https://drive.google.com/open?id=1jcAM0aUex9c9ngBQmXZFrjkZlSLMwp0i</v>
      </c>
    </row>
    <row r="103" ht="22.5" customHeight="1">
      <c r="A103" s="116" t="str">
        <f>Actual_Data!C103</f>
        <v>Jaini Shah </v>
      </c>
      <c r="B103" s="117">
        <f>Actual_Data!B103</f>
        <v>115</v>
      </c>
      <c r="C103" s="117">
        <f>IFERROR(IF(VLOOKUP(B103,Aaradhak_Details!$E:$F,2,FALSE)&lt;&gt;"",VLOOKUP(B103,Aaradhak_Details!$E:$F,2,FALSE),Actual_Data!D103),Actual_Data!D103)</f>
        <v>25</v>
      </c>
      <c r="D103" s="116" t="str">
        <f>IFERROR(VLOOKUP(B103,Aaradhak_Details!$E:$G,3,FALSE),"")</f>
        <v>O +ve</v>
      </c>
      <c r="E103" s="117">
        <f>IFERROR(IF(VLOOKUP(B103,Aaradhak_Details!$E:$I,5,FALSE)&lt;&gt;"",VLOOKUP(B103,Aaradhak_Details!$E:$I,5,FALSE),Actual_Data!E103),Actual_Data!E103)</f>
        <v>9322429880</v>
      </c>
      <c r="F103" s="118" t="str">
        <f t="array" ref="F103">IFERROR(
  INDEX(Aaradhak_Details!J:J, MATCH(B103, Aaradhak_Details!E:E, 0)),
  ""
)
</f>
        <v>https://drive.google.com/open?id=1T2TFLNLb36Rx4BbMl6g0BwPz38xIZuFO</v>
      </c>
    </row>
    <row r="104" ht="22.5" customHeight="1">
      <c r="A104" s="116" t="str">
        <f>Actual_Data!C104</f>
        <v>Jayna Jain</v>
      </c>
      <c r="B104" s="117">
        <f>Actual_Data!B104</f>
        <v>116</v>
      </c>
      <c r="C104" s="117">
        <f>IFERROR(IF(VLOOKUP(B104,Aaradhak_Details!$E:$F,2,FALSE)&lt;&gt;"",VLOOKUP(B104,Aaradhak_Details!$E:$F,2,FALSE),Actual_Data!D104),Actual_Data!D104)</f>
        <v>17</v>
      </c>
      <c r="D104" s="116" t="str">
        <f>IFERROR(VLOOKUP(B104,Aaradhak_Details!$E:$G,3,FALSE),"")</f>
        <v>B +ve</v>
      </c>
      <c r="E104" s="117">
        <f>IFERROR(IF(VLOOKUP(B104,Aaradhak_Details!$E:$I,5,FALSE)&lt;&gt;"",VLOOKUP(B104,Aaradhak_Details!$E:$I,5,FALSE),Actual_Data!E104),Actual_Data!E104)</f>
        <v>9588089135</v>
      </c>
      <c r="F104" s="118" t="str">
        <f t="array" ref="F104">IFERROR(
  INDEX(Aaradhak_Details!J:J, MATCH(B104, Aaradhak_Details!E:E, 0)),
  ""
)
</f>
        <v>https://drive.google.com/open?id=1WCLBSpCPoOESA9p7PeGOYockf0AgYVaA</v>
      </c>
    </row>
    <row r="105" ht="22.5" customHeight="1">
      <c r="A105" s="116" t="str">
        <f>Actual_Data!C105</f>
        <v>Jayshree jain</v>
      </c>
      <c r="B105" s="117">
        <f>Actual_Data!B105</f>
        <v>117</v>
      </c>
      <c r="C105" s="117">
        <f>IFERROR(IF(VLOOKUP(B105,Aaradhak_Details!$E:$F,2,FALSE)&lt;&gt;"",VLOOKUP(B105,Aaradhak_Details!$E:$F,2,FALSE),Actual_Data!D105),Actual_Data!D105)</f>
        <v>23</v>
      </c>
      <c r="D105" s="116" t="str">
        <f>IFERROR(VLOOKUP(B105,Aaradhak_Details!$E:$G,3,FALSE),"")</f>
        <v>O +ve</v>
      </c>
      <c r="E105" s="117">
        <f>IFERROR(IF(VLOOKUP(B105,Aaradhak_Details!$E:$I,5,FALSE)&lt;&gt;"",VLOOKUP(B105,Aaradhak_Details!$E:$I,5,FALSE),Actual_Data!E105),Actual_Data!E105)</f>
        <v>8970361972</v>
      </c>
      <c r="F105" s="118" t="str">
        <f t="array" ref="F105">IFERROR(
  INDEX(Aaradhak_Details!J:J, MATCH(B105, Aaradhak_Details!E:E, 0)),
  ""
)
</f>
        <v>https://drive.google.com/open?id=1dAOnPwsHg3jEc15dWbCqOrrZn1mW-Leu</v>
      </c>
    </row>
    <row r="106" ht="22.5" customHeight="1">
      <c r="A106" s="116" t="str">
        <f>Actual_Data!C106</f>
        <v>Jeenal Naresh Gudhka</v>
      </c>
      <c r="B106" s="117">
        <f>Actual_Data!B106</f>
        <v>118</v>
      </c>
      <c r="C106" s="117">
        <f>IFERROR(IF(VLOOKUP(B106,Aaradhak_Details!$E:$F,2,FALSE)&lt;&gt;"",VLOOKUP(B106,Aaradhak_Details!$E:$F,2,FALSE),Actual_Data!D106),Actual_Data!D106)</f>
        <v>35</v>
      </c>
      <c r="D106" s="116" t="str">
        <f>IFERROR(VLOOKUP(B106,Aaradhak_Details!$E:$G,3,FALSE),"")</f>
        <v>B +ve</v>
      </c>
      <c r="E106" s="117">
        <f>IFERROR(IF(VLOOKUP(B106,Aaradhak_Details!$E:$I,5,FALSE)&lt;&gt;"",VLOOKUP(B106,Aaradhak_Details!$E:$I,5,FALSE),Actual_Data!E106),Actual_Data!E106)</f>
        <v>7507304450</v>
      </c>
      <c r="F106" s="118" t="str">
        <f t="array" ref="F106">IFERROR(
  INDEX(Aaradhak_Details!J:J, MATCH(B106, Aaradhak_Details!E:E, 0)),
  ""
)
</f>
        <v>https://drive.google.com/open?id=15QDBiSocB949pr2bqmzk5YaK3pMYyOel</v>
      </c>
    </row>
    <row r="107" ht="22.5" customHeight="1">
      <c r="A107" s="116" t="str">
        <f>Actual_Data!C107</f>
        <v>Jeenali Bhandari</v>
      </c>
      <c r="B107" s="117">
        <f>Actual_Data!B107</f>
        <v>119</v>
      </c>
      <c r="C107" s="117">
        <f>IFERROR(IF(VLOOKUP(B107,Aaradhak_Details!$E:$F,2,FALSE)&lt;&gt;"",VLOOKUP(B107,Aaradhak_Details!$E:$F,2,FALSE),Actual_Data!D107),Actual_Data!D107)</f>
        <v>21</v>
      </c>
      <c r="D107" s="116" t="str">
        <f>IFERROR(VLOOKUP(B107,Aaradhak_Details!$E:$G,3,FALSE),"")</f>
        <v>O +ve</v>
      </c>
      <c r="E107" s="117">
        <f>IFERROR(IF(VLOOKUP(B107,Aaradhak_Details!$E:$I,5,FALSE)&lt;&gt;"",VLOOKUP(B107,Aaradhak_Details!$E:$I,5,FALSE),Actual_Data!E107),Actual_Data!E107)</f>
        <v>9307688441</v>
      </c>
      <c r="F107" s="118" t="str">
        <f t="array" ref="F107">IFERROR(
  INDEX(Aaradhak_Details!J:J, MATCH(B107, Aaradhak_Details!E:E, 0)),
  ""
)
</f>
        <v>https://drive.google.com/open?id=1NjncOUirH62gpK8dyiITxvAHGI7giDIP</v>
      </c>
    </row>
    <row r="108" ht="22.5" customHeight="1">
      <c r="A108" s="116" t="str">
        <f>Actual_Data!C108</f>
        <v>Jheel Dilip Jain</v>
      </c>
      <c r="B108" s="117">
        <f>Actual_Data!B108</f>
        <v>120</v>
      </c>
      <c r="C108" s="117">
        <f>IFERROR(IF(VLOOKUP(B108,Aaradhak_Details!$E:$F,2,FALSE)&lt;&gt;"",VLOOKUP(B108,Aaradhak_Details!$E:$F,2,FALSE),Actual_Data!D108),Actual_Data!D108)</f>
        <v>20</v>
      </c>
      <c r="D108" s="116" t="str">
        <f>IFERROR(VLOOKUP(B108,Aaradhak_Details!$E:$G,3,FALSE),"")</f>
        <v/>
      </c>
      <c r="E108" s="117">
        <f>IFERROR(IF(VLOOKUP(B108,Aaradhak_Details!$E:$I,5,FALSE)&lt;&gt;"",VLOOKUP(B108,Aaradhak_Details!$E:$I,5,FALSE),Actual_Data!E108),Actual_Data!E108)</f>
        <v>7303008851</v>
      </c>
      <c r="F108" s="94" t="str">
        <f t="array" ref="F108">IFERROR(
  INDEX(Aaradhak_Details!J:J, MATCH(B108, Aaradhak_Details!E:E, 0)),
  ""
)
</f>
        <v/>
      </c>
    </row>
    <row r="109" ht="22.5" customHeight="1">
      <c r="A109" s="116" t="str">
        <f>Actual_Data!C109</f>
        <v>Jil Jayanti Sumariya</v>
      </c>
      <c r="B109" s="117">
        <f>Actual_Data!B109</f>
        <v>121</v>
      </c>
      <c r="C109" s="117">
        <f>IFERROR(IF(VLOOKUP(B109,Aaradhak_Details!$E:$F,2,FALSE)&lt;&gt;"",VLOOKUP(B109,Aaradhak_Details!$E:$F,2,FALSE),Actual_Data!D109),Actual_Data!D109)</f>
        <v>18</v>
      </c>
      <c r="D109" s="116" t="str">
        <f>IFERROR(VLOOKUP(B109,Aaradhak_Details!$E:$G,3,FALSE),"")</f>
        <v>O +ve</v>
      </c>
      <c r="E109" s="117">
        <f>IFERROR(IF(VLOOKUP(B109,Aaradhak_Details!$E:$I,5,FALSE)&lt;&gt;"",VLOOKUP(B109,Aaradhak_Details!$E:$I,5,FALSE),Actual_Data!E109),Actual_Data!E109)</f>
        <v>9284913366</v>
      </c>
      <c r="F109" s="118" t="str">
        <f t="array" ref="F109">IFERROR(
  INDEX(Aaradhak_Details!J:J, MATCH(B109, Aaradhak_Details!E:E, 0)),
  ""
)
</f>
        <v>https://drive.google.com/open?id=1UXv6qZtkP3mTkUDsSKIsg7Kp6pxTkhOP</v>
      </c>
    </row>
    <row r="110" ht="22.5" customHeight="1">
      <c r="A110" s="116" t="str">
        <f>Actual_Data!C110</f>
        <v>Jinal</v>
      </c>
      <c r="B110" s="117">
        <f>Actual_Data!B110</f>
        <v>122</v>
      </c>
      <c r="C110" s="117">
        <f>IFERROR(IF(VLOOKUP(B110,Aaradhak_Details!$E:$F,2,FALSE)&lt;&gt;"",VLOOKUP(B110,Aaradhak_Details!$E:$F,2,FALSE),Actual_Data!D110),Actual_Data!D110)</f>
        <v>12</v>
      </c>
      <c r="D110" s="116" t="str">
        <f>IFERROR(VLOOKUP(B110,Aaradhak_Details!$E:$G,3,FALSE),"")</f>
        <v>B +ve</v>
      </c>
      <c r="E110" s="117">
        <f>IFERROR(IF(VLOOKUP(B110,Aaradhak_Details!$E:$I,5,FALSE)&lt;&gt;"",VLOOKUP(B110,Aaradhak_Details!$E:$I,5,FALSE),Actual_Data!E110),Actual_Data!E110)</f>
        <v>8989553200</v>
      </c>
      <c r="F110" s="118" t="str">
        <f t="array" ref="F110">IFERROR(
  INDEX(Aaradhak_Details!J:J, MATCH(B110, Aaradhak_Details!E:E, 0)),
  ""
)
</f>
        <v>https://drive.google.com/open?id=1IaKyue8kEK_o_e3eRHZhvV7_VQXESzBW</v>
      </c>
    </row>
    <row r="111" ht="22.5" customHeight="1">
      <c r="A111" s="116" t="str">
        <f>Actual_Data!C111</f>
        <v>Jinali Sanjay Shah </v>
      </c>
      <c r="B111" s="117">
        <f>Actual_Data!B111</f>
        <v>123</v>
      </c>
      <c r="C111" s="117">
        <f>IFERROR(IF(VLOOKUP(B111,Aaradhak_Details!$E:$F,2,FALSE)&lt;&gt;"",VLOOKUP(B111,Aaradhak_Details!$E:$F,2,FALSE),Actual_Data!D111),Actual_Data!D111)</f>
        <v>25</v>
      </c>
      <c r="D111" s="116" t="str">
        <f>IFERROR(VLOOKUP(B111,Aaradhak_Details!$E:$G,3,FALSE),"")</f>
        <v>AB +ve</v>
      </c>
      <c r="E111" s="117">
        <f>IFERROR(IF(VLOOKUP(B111,Aaradhak_Details!$E:$I,5,FALSE)&lt;&gt;"",VLOOKUP(B111,Aaradhak_Details!$E:$I,5,FALSE),Actual_Data!E111),Actual_Data!E111)</f>
        <v>9819550330</v>
      </c>
      <c r="F111" s="118" t="str">
        <f t="array" ref="F111">IFERROR(
  INDEX(Aaradhak_Details!J:J, MATCH(B111, Aaradhak_Details!E:E, 0)),
  ""
)
</f>
        <v>https://drive.google.com/open?id=1LdNRZaL6zIZTYB_bNGMr3gxIJLnHtD8i</v>
      </c>
    </row>
    <row r="112" ht="22.5" customHeight="1">
      <c r="A112" s="116" t="str">
        <f>Actual_Data!C112</f>
        <v>Jinalkumari Ashokbhai shah </v>
      </c>
      <c r="B112" s="117">
        <f>Actual_Data!B112</f>
        <v>124</v>
      </c>
      <c r="C112" s="117">
        <f>IFERROR(IF(VLOOKUP(B112,Aaradhak_Details!$E:$F,2,FALSE)&lt;&gt;"",VLOOKUP(B112,Aaradhak_Details!$E:$F,2,FALSE),Actual_Data!D112),Actual_Data!D112)</f>
        <v>27</v>
      </c>
      <c r="D112" s="116" t="str">
        <f>IFERROR(VLOOKUP(B112,Aaradhak_Details!$E:$G,3,FALSE),"")</f>
        <v>O +ve</v>
      </c>
      <c r="E112" s="117">
        <f>IFERROR(IF(VLOOKUP(B112,Aaradhak_Details!$E:$I,5,FALSE)&lt;&gt;"",VLOOKUP(B112,Aaradhak_Details!$E:$I,5,FALSE),Actual_Data!E112),Actual_Data!E112)</f>
        <v>9428631954</v>
      </c>
      <c r="F112" s="118" t="str">
        <f t="array" ref="F112">IFERROR(
  INDEX(Aaradhak_Details!J:J, MATCH(B112, Aaradhak_Details!E:E, 0)),
  ""
)
</f>
        <v>https://drive.google.com/open?id=17wQlQ5lpqAHyg_kXGU-VeLa0389lWd_W</v>
      </c>
    </row>
    <row r="113" ht="22.5" customHeight="1">
      <c r="A113" s="116" t="str">
        <f>Actual_Data!C113</f>
        <v>Jinancy vipulkumar. Doshi</v>
      </c>
      <c r="B113" s="117">
        <f>Actual_Data!B113</f>
        <v>125</v>
      </c>
      <c r="C113" s="117">
        <f>IFERROR(IF(VLOOKUP(B113,Aaradhak_Details!$E:$F,2,FALSE)&lt;&gt;"",VLOOKUP(B113,Aaradhak_Details!$E:$F,2,FALSE),Actual_Data!D113),Actual_Data!D113)</f>
        <v>23</v>
      </c>
      <c r="D113" s="116" t="str">
        <f>IFERROR(VLOOKUP(B113,Aaradhak_Details!$E:$G,3,FALSE),"")</f>
        <v/>
      </c>
      <c r="E113" s="117">
        <f>IFERROR(IF(VLOOKUP(B113,Aaradhak_Details!$E:$I,5,FALSE)&lt;&gt;"",VLOOKUP(B113,Aaradhak_Details!$E:$I,5,FALSE),Actual_Data!E113),Actual_Data!E113)</f>
        <v>7048433736</v>
      </c>
      <c r="F113" s="94" t="str">
        <f t="array" ref="F113">IFERROR(
  INDEX(Aaradhak_Details!J:J, MATCH(B113, Aaradhak_Details!E:E, 0)),
  ""
)
</f>
        <v/>
      </c>
    </row>
    <row r="114" ht="22.5" customHeight="1">
      <c r="A114" s="116" t="str">
        <f>Actual_Data!C114</f>
        <v>Jiya </v>
      </c>
      <c r="B114" s="117">
        <f>Actual_Data!B114</f>
        <v>126</v>
      </c>
      <c r="C114" s="117">
        <f>IFERROR(IF(VLOOKUP(B114,Aaradhak_Details!$E:$F,2,FALSE)&lt;&gt;"",VLOOKUP(B114,Aaradhak_Details!$E:$F,2,FALSE),Actual_Data!D114),Actual_Data!D114)</f>
        <v>21</v>
      </c>
      <c r="D114" s="116" t="str">
        <f>IFERROR(VLOOKUP(B114,Aaradhak_Details!$E:$G,3,FALSE),"")</f>
        <v>B +ve</v>
      </c>
      <c r="E114" s="117">
        <f>IFERROR(IF(VLOOKUP(B114,Aaradhak_Details!$E:$I,5,FALSE)&lt;&gt;"",VLOOKUP(B114,Aaradhak_Details!$E:$I,5,FALSE),Actual_Data!E114),Actual_Data!E114)</f>
        <v>9826553422</v>
      </c>
      <c r="F114" s="118" t="str">
        <f t="array" ref="F114">IFERROR(
  INDEX(Aaradhak_Details!J:J, MATCH(B114, Aaradhak_Details!E:E, 0)),
  ""
)
</f>
        <v>https://drive.google.com/open?id=1YZFHvWvNp_bA4DSiDgomh7g-pR19TCwi</v>
      </c>
    </row>
    <row r="115" ht="22.5" customHeight="1">
      <c r="A115" s="116" t="str">
        <f>Actual_Data!C115</f>
        <v>Kaavyaa mayur gudhka </v>
      </c>
      <c r="B115" s="117">
        <f>Actual_Data!B115</f>
        <v>127</v>
      </c>
      <c r="C115" s="117">
        <f>IFERROR(IF(VLOOKUP(B115,Aaradhak_Details!$E:$F,2,FALSE)&lt;&gt;"",VLOOKUP(B115,Aaradhak_Details!$E:$F,2,FALSE),Actual_Data!D115),Actual_Data!D115)</f>
        <v>20</v>
      </c>
      <c r="D115" s="116" t="str">
        <f>IFERROR(VLOOKUP(B115,Aaradhak_Details!$E:$G,3,FALSE),"")</f>
        <v>O +ve</v>
      </c>
      <c r="E115" s="117">
        <f>IFERROR(IF(VLOOKUP(B115,Aaradhak_Details!$E:$I,5,FALSE)&lt;&gt;"",VLOOKUP(B115,Aaradhak_Details!$E:$I,5,FALSE),Actual_Data!E115),Actual_Data!E115)</f>
        <v>9423987099</v>
      </c>
      <c r="F115" s="118" t="str">
        <f t="array" ref="F115">IFERROR(
  INDEX(Aaradhak_Details!J:J, MATCH(B115, Aaradhak_Details!E:E, 0)),
  ""
)
</f>
        <v>https://drive.google.com/open?id=1fK0dfArXu1UqIEtbYEXRJ6XqrpcZa0bh</v>
      </c>
    </row>
    <row r="116" ht="22.5" customHeight="1">
      <c r="A116" s="116" t="str">
        <f>Actual_Data!C116</f>
        <v>Kajal Dhiren Mutha</v>
      </c>
      <c r="B116" s="117">
        <f>Actual_Data!B116</f>
        <v>128</v>
      </c>
      <c r="C116" s="117">
        <f>IFERROR(IF(VLOOKUP(B116,Aaradhak_Details!$E:$F,2,FALSE)&lt;&gt;"",VLOOKUP(B116,Aaradhak_Details!$E:$F,2,FALSE),Actual_Data!D116),Actual_Data!D116)</f>
        <v>28</v>
      </c>
      <c r="D116" s="116" t="str">
        <f>IFERROR(VLOOKUP(B116,Aaradhak_Details!$E:$G,3,FALSE),"")</f>
        <v>B +ve</v>
      </c>
      <c r="E116" s="117">
        <f>IFERROR(IF(VLOOKUP(B116,Aaradhak_Details!$E:$I,5,FALSE)&lt;&gt;"",VLOOKUP(B116,Aaradhak_Details!$E:$I,5,FALSE),Actual_Data!E116),Actual_Data!E116)</f>
        <v>8087600570</v>
      </c>
      <c r="F116" s="118" t="str">
        <f t="array" ref="F116">IFERROR(
  INDEX(Aaradhak_Details!J:J, MATCH(B116, Aaradhak_Details!E:E, 0)),
  ""
)
</f>
        <v>https://drive.google.com/open?id=1vXpQS11yCSMg_2zBpUb691GG8_4GEGgc</v>
      </c>
    </row>
    <row r="117" ht="22.5" customHeight="1">
      <c r="A117" s="116" t="str">
        <f>Actual_Data!C117</f>
        <v>Kanisha Alpesh shah</v>
      </c>
      <c r="B117" s="117">
        <f>Actual_Data!B117</f>
        <v>129</v>
      </c>
      <c r="C117" s="117" t="str">
        <f>IFERROR(IF(VLOOKUP(B117,Aaradhak_Details!$E:$F,2,FALSE)&lt;&gt;"",VLOOKUP(B117,Aaradhak_Details!$E:$F,2,FALSE),Actual_Data!D117),Actual_Data!D117)</f>
        <v>16 years</v>
      </c>
      <c r="D117" s="116" t="str">
        <f>IFERROR(VLOOKUP(B117,Aaradhak_Details!$E:$G,3,FALSE),"")</f>
        <v/>
      </c>
      <c r="E117" s="117">
        <f>IFERROR(IF(VLOOKUP(B117,Aaradhak_Details!$E:$I,5,FALSE)&lt;&gt;"",VLOOKUP(B117,Aaradhak_Details!$E:$I,5,FALSE),Actual_Data!E117),Actual_Data!E117)</f>
        <v>6351438172</v>
      </c>
      <c r="F117" s="94" t="str">
        <f t="array" ref="F117">IFERROR(
  INDEX(Aaradhak_Details!J:J, MATCH(B117, Aaradhak_Details!E:E, 0)),
  ""
)
</f>
        <v/>
      </c>
    </row>
    <row r="118" ht="22.5" customHeight="1">
      <c r="A118" s="116" t="str">
        <f>Actual_Data!C118</f>
        <v>Karaniya Princy jetal </v>
      </c>
      <c r="B118" s="117">
        <f>Actual_Data!B118</f>
        <v>130</v>
      </c>
      <c r="C118" s="117">
        <f>IFERROR(IF(VLOOKUP(B118,Aaradhak_Details!$E:$F,2,FALSE)&lt;&gt;"",VLOOKUP(B118,Aaradhak_Details!$E:$F,2,FALSE),Actual_Data!D118),Actual_Data!D118)</f>
        <v>18</v>
      </c>
      <c r="D118" s="116" t="str">
        <f>IFERROR(VLOOKUP(B118,Aaradhak_Details!$E:$G,3,FALSE),"")</f>
        <v>O +ve</v>
      </c>
      <c r="E118" s="117">
        <f>IFERROR(IF(VLOOKUP(B118,Aaradhak_Details!$E:$I,5,FALSE)&lt;&gt;"",VLOOKUP(B118,Aaradhak_Details!$E:$I,5,FALSE),Actual_Data!E118),Actual_Data!E118)</f>
        <v>9860017215</v>
      </c>
      <c r="F118" s="118" t="str">
        <f t="array" ref="F118">IFERROR(
  INDEX(Aaradhak_Details!J:J, MATCH(B118, Aaradhak_Details!E:E, 0)),
  ""
)
</f>
        <v>https://drive.google.com/open?id=1TkUqBEnsSMooP8yU7NknO-yGmU3gvcwb</v>
      </c>
    </row>
    <row r="119" ht="22.5" customHeight="1">
      <c r="A119" s="116" t="str">
        <f>Actual_Data!C119</f>
        <v>Karuna Bhushan Jain</v>
      </c>
      <c r="B119" s="117">
        <f>Actual_Data!B119</f>
        <v>131</v>
      </c>
      <c r="C119" s="117">
        <f>IFERROR(IF(VLOOKUP(B119,Aaradhak_Details!$E:$F,2,FALSE)&lt;&gt;"",VLOOKUP(B119,Aaradhak_Details!$E:$F,2,FALSE),Actual_Data!D119),Actual_Data!D119)</f>
        <v>21</v>
      </c>
      <c r="D119" s="116" t="str">
        <f>IFERROR(VLOOKUP(B119,Aaradhak_Details!$E:$G,3,FALSE),"")</f>
        <v>A +ve</v>
      </c>
      <c r="E119" s="117">
        <f>IFERROR(IF(VLOOKUP(B119,Aaradhak_Details!$E:$I,5,FALSE)&lt;&gt;"",VLOOKUP(B119,Aaradhak_Details!$E:$I,5,FALSE),Actual_Data!E119),Actual_Data!E119)</f>
        <v>9028983546</v>
      </c>
      <c r="F119" s="118" t="str">
        <f t="array" ref="F119">IFERROR(
  INDEX(Aaradhak_Details!J:J, MATCH(B119, Aaradhak_Details!E:E, 0)),
  ""
)
</f>
        <v>https://drive.google.com/open?id=1VD5MEH4Wq0qBRR-aN_xJNoPcSPgNjF5p</v>
      </c>
    </row>
    <row r="120" ht="22.5" customHeight="1">
      <c r="A120" s="116" t="str">
        <f>Actual_Data!C120</f>
        <v>Kavita Bhupendra vardhan </v>
      </c>
      <c r="B120" s="117">
        <f>Actual_Data!B120</f>
        <v>132</v>
      </c>
      <c r="C120" s="117">
        <f>IFERROR(IF(VLOOKUP(B120,Aaradhak_Details!$E:$F,2,FALSE)&lt;&gt;"",VLOOKUP(B120,Aaradhak_Details!$E:$F,2,FALSE),Actual_Data!D120),Actual_Data!D120)</f>
        <v>34</v>
      </c>
      <c r="D120" s="116" t="str">
        <f>IFERROR(VLOOKUP(B120,Aaradhak_Details!$E:$G,3,FALSE),"")</f>
        <v>O +ve</v>
      </c>
      <c r="E120" s="117">
        <f>IFERROR(IF(VLOOKUP(B120,Aaradhak_Details!$E:$I,5,FALSE)&lt;&gt;"",VLOOKUP(B120,Aaradhak_Details!$E:$I,5,FALSE),Actual_Data!E120),Actual_Data!E120)</f>
        <v>7796132865</v>
      </c>
      <c r="F120" s="118" t="str">
        <f t="array" ref="F120">IFERROR(
  INDEX(Aaradhak_Details!J:J, MATCH(B120, Aaradhak_Details!E:E, 0)),
  ""
)
</f>
        <v>https://drive.google.com/open?id=1kf1zxIVL7wV3USoPDGwANbD_v_mlB4qw</v>
      </c>
    </row>
    <row r="121" ht="22.5" customHeight="1">
      <c r="A121" s="116" t="str">
        <f>Actual_Data!C121</f>
        <v>KAVYA MANISH SHAH</v>
      </c>
      <c r="B121" s="117">
        <f>Actual_Data!B121</f>
        <v>133</v>
      </c>
      <c r="C121" s="117">
        <f>IFERROR(IF(VLOOKUP(B121,Aaradhak_Details!$E:$F,2,FALSE)&lt;&gt;"",VLOOKUP(B121,Aaradhak_Details!$E:$F,2,FALSE),Actual_Data!D121),Actual_Data!D121)</f>
        <v>20</v>
      </c>
      <c r="D121" s="116" t="str">
        <f>IFERROR(VLOOKUP(B121,Aaradhak_Details!$E:$G,3,FALSE),"")</f>
        <v>A +ve</v>
      </c>
      <c r="E121" s="117">
        <f>IFERROR(IF(VLOOKUP(B121,Aaradhak_Details!$E:$I,5,FALSE)&lt;&gt;"",VLOOKUP(B121,Aaradhak_Details!$E:$I,5,FALSE),Actual_Data!E121),Actual_Data!E121)</f>
        <v>9892089244</v>
      </c>
      <c r="F121" s="118" t="str">
        <f t="array" ref="F121">IFERROR(
  INDEX(Aaradhak_Details!J:J, MATCH(B121, Aaradhak_Details!E:E, 0)),
  ""
)
</f>
        <v>https://drive.google.com/open?id=1ruF7X6uLsjSLlc2fjjw3tOxANE4545Oz</v>
      </c>
    </row>
    <row r="122" ht="22.5" customHeight="1">
      <c r="A122" s="116" t="str">
        <f>Actual_Data!C122</f>
        <v>keshvi kothari</v>
      </c>
      <c r="B122" s="117">
        <f>Actual_Data!B122</f>
        <v>134</v>
      </c>
      <c r="C122" s="117">
        <f>IFERROR(IF(VLOOKUP(B122,Aaradhak_Details!$E:$F,2,FALSE)&lt;&gt;"",VLOOKUP(B122,Aaradhak_Details!$E:$F,2,FALSE),Actual_Data!D122),Actual_Data!D122)</f>
        <v>21</v>
      </c>
      <c r="D122" s="116" t="str">
        <f>IFERROR(VLOOKUP(B122,Aaradhak_Details!$E:$G,3,FALSE),"")</f>
        <v>A +ve</v>
      </c>
      <c r="E122" s="117">
        <f>IFERROR(IF(VLOOKUP(B122,Aaradhak_Details!$E:$I,5,FALSE)&lt;&gt;"",VLOOKUP(B122,Aaradhak_Details!$E:$I,5,FALSE),Actual_Data!E122),Actual_Data!E122)</f>
        <v>7977822575</v>
      </c>
      <c r="F122" s="118" t="str">
        <f t="array" ref="F122">IFERROR(
  INDEX(Aaradhak_Details!J:J, MATCH(B122, Aaradhak_Details!E:E, 0)),
  ""
)
</f>
        <v>https://drive.google.com/open?id=13hMccVK-Vbzu2MGHcoL3bVuI8teX1aOp</v>
      </c>
    </row>
    <row r="123" ht="22.5" customHeight="1">
      <c r="A123" s="116" t="str">
        <f>Actual_Data!C123</f>
        <v>Khushbhu jain</v>
      </c>
      <c r="B123" s="117">
        <f>Actual_Data!B123</f>
        <v>135</v>
      </c>
      <c r="C123" s="117">
        <f>IFERROR(IF(VLOOKUP(B123,Aaradhak_Details!$E:$F,2,FALSE)&lt;&gt;"",VLOOKUP(B123,Aaradhak_Details!$E:$F,2,FALSE),Actual_Data!D123),Actual_Data!D123)</f>
        <v>20</v>
      </c>
      <c r="D123" s="116" t="str">
        <f>IFERROR(VLOOKUP(B123,Aaradhak_Details!$E:$G,3,FALSE),"")</f>
        <v/>
      </c>
      <c r="E123" s="117" t="str">
        <f>IFERROR(IF(VLOOKUP(B123,Aaradhak_Details!$E:$I,5,FALSE)&lt;&gt;"",VLOOKUP(B123,Aaradhak_Details!$E:$I,5,FALSE),Actual_Data!E123),Actual_Data!E123)</f>
        <v>+91 73897 61730</v>
      </c>
      <c r="F123" s="94" t="str">
        <f t="array" ref="F123">IFERROR(
  INDEX(Aaradhak_Details!J:J, MATCH(B123, Aaradhak_Details!E:E, 0)),
  ""
)
</f>
        <v/>
      </c>
    </row>
    <row r="124" ht="22.5" customHeight="1">
      <c r="A124" s="116" t="str">
        <f>Actual_Data!C124</f>
        <v>Khushbu jain </v>
      </c>
      <c r="B124" s="117">
        <f>Actual_Data!B124</f>
        <v>136</v>
      </c>
      <c r="C124" s="117">
        <f>IFERROR(IF(VLOOKUP(B124,Aaradhak_Details!$E:$F,2,FALSE)&lt;&gt;"",VLOOKUP(B124,Aaradhak_Details!$E:$F,2,FALSE),Actual_Data!D124),Actual_Data!D124)</f>
        <v>32</v>
      </c>
      <c r="D124" s="116" t="str">
        <f>IFERROR(VLOOKUP(B124,Aaradhak_Details!$E:$G,3,FALSE),"")</f>
        <v>O +ve</v>
      </c>
      <c r="E124" s="117">
        <f>IFERROR(IF(VLOOKUP(B124,Aaradhak_Details!$E:$I,5,FALSE)&lt;&gt;"",VLOOKUP(B124,Aaradhak_Details!$E:$I,5,FALSE),Actual_Data!E124),Actual_Data!E124)</f>
        <v>9981099807</v>
      </c>
      <c r="F124" s="118" t="str">
        <f t="array" ref="F124">IFERROR(
  INDEX(Aaradhak_Details!J:J, MATCH(B124, Aaradhak_Details!E:E, 0)),
  ""
)
</f>
        <v>https://drive.google.com/open?id=1bxEtoSQxeCVZ8MxxJ9ftxx4yozr5URjU</v>
      </c>
    </row>
    <row r="125" ht="22.5" customHeight="1">
      <c r="A125" s="116" t="str">
        <f>Actual_Data!C125</f>
        <v>KHUSHBU KAKRECHA </v>
      </c>
      <c r="B125" s="117">
        <f>Actual_Data!B125</f>
        <v>137</v>
      </c>
      <c r="C125" s="117">
        <f>IFERROR(IF(VLOOKUP(B125,Aaradhak_Details!$E:$F,2,FALSE)&lt;&gt;"",VLOOKUP(B125,Aaradhak_Details!$E:$F,2,FALSE),Actual_Data!D125),Actual_Data!D125)</f>
        <v>33</v>
      </c>
      <c r="D125" s="116" t="str">
        <f>IFERROR(VLOOKUP(B125,Aaradhak_Details!$E:$G,3,FALSE),"")</f>
        <v/>
      </c>
      <c r="E125" s="117" t="str">
        <f>IFERROR(IF(VLOOKUP(B125,Aaradhak_Details!$E:$I,5,FALSE)&lt;&gt;"",VLOOKUP(B125,Aaradhak_Details!$E:$I,5,FALSE),Actual_Data!E125),Actual_Data!E125)</f>
        <v>89054 92464 </v>
      </c>
      <c r="F125" s="94" t="str">
        <f t="array" ref="F125">IFERROR(
  INDEX(Aaradhak_Details!J:J, MATCH(B125, Aaradhak_Details!E:E, 0)),
  ""
)
</f>
        <v/>
      </c>
    </row>
    <row r="126" ht="22.5" customHeight="1">
      <c r="A126" s="116" t="str">
        <f>Actual_Data!C126</f>
        <v>Khushi nayan gandhi</v>
      </c>
      <c r="B126" s="117">
        <f>Actual_Data!B126</f>
        <v>138</v>
      </c>
      <c r="C126" s="117">
        <f>IFERROR(IF(VLOOKUP(B126,Aaradhak_Details!$E:$F,2,FALSE)&lt;&gt;"",VLOOKUP(B126,Aaradhak_Details!$E:$F,2,FALSE),Actual_Data!D126),Actual_Data!D126)</f>
        <v>14</v>
      </c>
      <c r="D126" s="116" t="str">
        <f>IFERROR(VLOOKUP(B126,Aaradhak_Details!$E:$G,3,FALSE),"")</f>
        <v>B +ve</v>
      </c>
      <c r="E126" s="117">
        <f>IFERROR(IF(VLOOKUP(B126,Aaradhak_Details!$E:$I,5,FALSE)&lt;&gt;"",VLOOKUP(B126,Aaradhak_Details!$E:$I,5,FALSE),Actual_Data!E126),Actual_Data!E126)</f>
        <v>7977589990</v>
      </c>
      <c r="F126" s="118" t="str">
        <f t="array" ref="F126">IFERROR(
  INDEX(Aaradhak_Details!J:J, MATCH(B126, Aaradhak_Details!E:E, 0)),
  ""
)
</f>
        <v>https://drive.google.com/open?id=1IMlyMVo8MTK_u4pgtVK8AU8ywTdDtiJG</v>
      </c>
    </row>
    <row r="127" ht="22.5" customHeight="1">
      <c r="A127" s="116" t="str">
        <f>Actual_Data!C127</f>
        <v> khushi chaudhary </v>
      </c>
      <c r="B127" s="117">
        <f>Actual_Data!B127</f>
        <v>139</v>
      </c>
      <c r="C127" s="117">
        <f>IFERROR(IF(VLOOKUP(B127,Aaradhak_Details!$E:$F,2,FALSE)&lt;&gt;"",VLOOKUP(B127,Aaradhak_Details!$E:$F,2,FALSE),Actual_Data!D127),Actual_Data!D127)</f>
        <v>19</v>
      </c>
      <c r="D127" s="116" t="str">
        <f>IFERROR(VLOOKUP(B127,Aaradhak_Details!$E:$G,3,FALSE),"")</f>
        <v/>
      </c>
      <c r="E127" s="117">
        <f>IFERROR(IF(VLOOKUP(B127,Aaradhak_Details!$E:$I,5,FALSE)&lt;&gt;"",VLOOKUP(B127,Aaradhak_Details!$E:$I,5,FALSE),Actual_Data!E127),Actual_Data!E127)</f>
        <v>9981317839</v>
      </c>
      <c r="F127" s="94" t="str">
        <f t="array" ref="F127">IFERROR(
  INDEX(Aaradhak_Details!J:J, MATCH(B127, Aaradhak_Details!E:E, 0)),
  ""
)
</f>
        <v/>
      </c>
    </row>
    <row r="128" ht="22.5" customHeight="1">
      <c r="A128" s="116" t="str">
        <f>Actual_Data!C128</f>
        <v>Khushi Shreyansh Gandhi </v>
      </c>
      <c r="B128" s="117">
        <f>Actual_Data!B128</f>
        <v>140</v>
      </c>
      <c r="C128" s="117">
        <f>IFERROR(IF(VLOOKUP(B128,Aaradhak_Details!$E:$F,2,FALSE)&lt;&gt;"",VLOOKUP(B128,Aaradhak_Details!$E:$F,2,FALSE),Actual_Data!D128),Actual_Data!D128)</f>
        <v>18</v>
      </c>
      <c r="D128" s="116" t="str">
        <f>IFERROR(VLOOKUP(B128,Aaradhak_Details!$E:$G,3,FALSE),"")</f>
        <v>O +ve</v>
      </c>
      <c r="E128" s="117">
        <f>IFERROR(IF(VLOOKUP(B128,Aaradhak_Details!$E:$I,5,FALSE)&lt;&gt;"",VLOOKUP(B128,Aaradhak_Details!$E:$I,5,FALSE),Actual_Data!E128),Actual_Data!E128)</f>
        <v>9821326788</v>
      </c>
      <c r="F128" s="118" t="str">
        <f t="array" ref="F128">IFERROR(
  INDEX(Aaradhak_Details!J:J, MATCH(B128, Aaradhak_Details!E:E, 0)),
  ""
)
</f>
        <v>https://drive.google.com/open?id=1j2pGJEB0nf_-OXsgIAFtGmg3g5AfYqbW</v>
      </c>
    </row>
    <row r="129" ht="22.5" customHeight="1">
      <c r="A129" s="116" t="str">
        <f>Actual_Data!C129</f>
        <v>Khyati Varshit Shah</v>
      </c>
      <c r="B129" s="117">
        <f>Actual_Data!B129</f>
        <v>141</v>
      </c>
      <c r="C129" s="117">
        <f>IFERROR(IF(VLOOKUP(B129,Aaradhak_Details!$E:$F,2,FALSE)&lt;&gt;"",VLOOKUP(B129,Aaradhak_Details!$E:$F,2,FALSE),Actual_Data!D129),Actual_Data!D129)</f>
        <v>36</v>
      </c>
      <c r="D129" s="116" t="str">
        <f>IFERROR(VLOOKUP(B129,Aaradhak_Details!$E:$G,3,FALSE),"")</f>
        <v>A +ve</v>
      </c>
      <c r="E129" s="117">
        <f>IFERROR(IF(VLOOKUP(B129,Aaradhak_Details!$E:$I,5,FALSE)&lt;&gt;"",VLOOKUP(B129,Aaradhak_Details!$E:$I,5,FALSE),Actual_Data!E129),Actual_Data!E129)</f>
        <v>9819913128</v>
      </c>
      <c r="F129" s="118" t="str">
        <f t="array" ref="F129">IFERROR(
  INDEX(Aaradhak_Details!J:J, MATCH(B129, Aaradhak_Details!E:E, 0)),
  ""
)
</f>
        <v>https://drive.google.com/open?id=1_TxzuBU14C0hCiNGTzILLBLwuGY-T7Ar</v>
      </c>
    </row>
    <row r="130" ht="22.5" customHeight="1">
      <c r="A130" s="116" t="str">
        <f>Actual_Data!C130</f>
        <v>Kinjal Kothari</v>
      </c>
      <c r="B130" s="117">
        <f>Actual_Data!B130</f>
        <v>142</v>
      </c>
      <c r="C130" s="117">
        <f>IFERROR(IF(VLOOKUP(B130,Aaradhak_Details!$E:$F,2,FALSE)&lt;&gt;"",VLOOKUP(B130,Aaradhak_Details!$E:$F,2,FALSE),Actual_Data!D130),Actual_Data!D130)</f>
        <v>19</v>
      </c>
      <c r="D130" s="116" t="str">
        <f>IFERROR(VLOOKUP(B130,Aaradhak_Details!$E:$G,3,FALSE),"")</f>
        <v>B +ve</v>
      </c>
      <c r="E130" s="117">
        <f>IFERROR(IF(VLOOKUP(B130,Aaradhak_Details!$E:$I,5,FALSE)&lt;&gt;"",VLOOKUP(B130,Aaradhak_Details!$E:$I,5,FALSE),Actual_Data!E130),Actual_Data!E130)</f>
        <v>9511278842</v>
      </c>
      <c r="F130" s="118" t="str">
        <f t="array" ref="F130">IFERROR(
  INDEX(Aaradhak_Details!J:J, MATCH(B130, Aaradhak_Details!E:E, 0)),
  ""
)
</f>
        <v>https://drive.google.com/open?id=1eiNW1X5Dc50ISO9fW6r3jFYAsaET2LuO</v>
      </c>
    </row>
    <row r="131" ht="22.5" customHeight="1">
      <c r="A131" s="116" t="str">
        <f>Actual_Data!C131</f>
        <v>Kinnari Shah</v>
      </c>
      <c r="B131" s="117">
        <f>Actual_Data!B131</f>
        <v>143</v>
      </c>
      <c r="C131" s="117">
        <f>IFERROR(IF(VLOOKUP(B131,Aaradhak_Details!$E:$F,2,FALSE)&lt;&gt;"",VLOOKUP(B131,Aaradhak_Details!$E:$F,2,FALSE),Actual_Data!D131),Actual_Data!D131)</f>
        <v>20</v>
      </c>
      <c r="D131" s="116" t="str">
        <f>IFERROR(VLOOKUP(B131,Aaradhak_Details!$E:$G,3,FALSE),"")</f>
        <v/>
      </c>
      <c r="E131" s="117">
        <f>IFERROR(IF(VLOOKUP(B131,Aaradhak_Details!$E:$I,5,FALSE)&lt;&gt;"",VLOOKUP(B131,Aaradhak_Details!$E:$I,5,FALSE),Actual_Data!E131),Actual_Data!E131)</f>
        <v>7044140827</v>
      </c>
      <c r="F131" s="94" t="str">
        <f t="array" ref="F131">IFERROR(
  INDEX(Aaradhak_Details!J:J, MATCH(B131, Aaradhak_Details!E:E, 0)),
  ""
)
</f>
        <v/>
      </c>
    </row>
    <row r="132" ht="22.5" customHeight="1">
      <c r="A132" s="116" t="str">
        <f>Actual_Data!C132</f>
        <v>Kirti jain</v>
      </c>
      <c r="B132" s="117">
        <f>Actual_Data!B132</f>
        <v>144</v>
      </c>
      <c r="C132" s="117">
        <f>IFERROR(IF(VLOOKUP(B132,Aaradhak_Details!$E:$F,2,FALSE)&lt;&gt;"",VLOOKUP(B132,Aaradhak_Details!$E:$F,2,FALSE),Actual_Data!D132),Actual_Data!D132)</f>
        <v>17</v>
      </c>
      <c r="D132" s="116" t="str">
        <f>IFERROR(VLOOKUP(B132,Aaradhak_Details!$E:$G,3,FALSE),"")</f>
        <v>B +ve</v>
      </c>
      <c r="E132" s="117">
        <f>IFERROR(IF(VLOOKUP(B132,Aaradhak_Details!$E:$I,5,FALSE)&lt;&gt;"",VLOOKUP(B132,Aaradhak_Details!$E:$I,5,FALSE),Actual_Data!E132),Actual_Data!E132)</f>
        <v>9201499006</v>
      </c>
      <c r="F132" s="118" t="str">
        <f t="array" ref="F132">IFERROR(
  INDEX(Aaradhak_Details!J:J, MATCH(B132, Aaradhak_Details!E:E, 0)),
  ""
)
</f>
        <v>https://drive.google.com/open?id=1jQm4jO9DxB1qs16B181CbnVRoqCHKHVN</v>
      </c>
    </row>
    <row r="133" ht="22.5" customHeight="1">
      <c r="A133" s="116" t="str">
        <f>Actual_Data!C133</f>
        <v>Kiyanshi jain</v>
      </c>
      <c r="B133" s="117">
        <f>Actual_Data!B133</f>
        <v>145</v>
      </c>
      <c r="C133" s="117">
        <f>IFERROR(IF(VLOOKUP(B133,Aaradhak_Details!$E:$F,2,FALSE)&lt;&gt;"",VLOOKUP(B133,Aaradhak_Details!$E:$F,2,FALSE),Actual_Data!D133),Actual_Data!D133)</f>
        <v>20</v>
      </c>
      <c r="D133" s="116" t="str">
        <f>IFERROR(VLOOKUP(B133,Aaradhak_Details!$E:$G,3,FALSE),"")</f>
        <v>B +ve</v>
      </c>
      <c r="E133" s="117">
        <f>IFERROR(IF(VLOOKUP(B133,Aaradhak_Details!$E:$I,5,FALSE)&lt;&gt;"",VLOOKUP(B133,Aaradhak_Details!$E:$I,5,FALSE),Actual_Data!E133),Actual_Data!E133)</f>
        <v>7723013016</v>
      </c>
      <c r="F133" s="118" t="str">
        <f t="array" ref="F133">IFERROR(
  INDEX(Aaradhak_Details!J:J, MATCH(B133, Aaradhak_Details!E:E, 0)),
  ""
)
</f>
        <v>https://drive.google.com/open?id=1rDaWLi425LxEd-QoaRNT4v-UF5Gqikon</v>
      </c>
    </row>
    <row r="134" ht="22.5" customHeight="1">
      <c r="A134" s="116" t="str">
        <f>Actual_Data!C134</f>
        <v>Komal sanghvi</v>
      </c>
      <c r="B134" s="117">
        <f>Actual_Data!B134</f>
        <v>146</v>
      </c>
      <c r="C134" s="117">
        <f>IFERROR(IF(VLOOKUP(B134,Aaradhak_Details!$E:$F,2,FALSE)&lt;&gt;"",VLOOKUP(B134,Aaradhak_Details!$E:$F,2,FALSE),Actual_Data!D134),Actual_Data!D134)</f>
        <v>24</v>
      </c>
      <c r="D134" s="116" t="str">
        <f>IFERROR(VLOOKUP(B134,Aaradhak_Details!$E:$G,3,FALSE),"")</f>
        <v/>
      </c>
      <c r="E134" s="117">
        <f>IFERROR(IF(VLOOKUP(B134,Aaradhak_Details!$E:$I,5,FALSE)&lt;&gt;"",VLOOKUP(B134,Aaradhak_Details!$E:$I,5,FALSE),Actual_Data!E134),Actual_Data!E134)</f>
        <v>6362178053</v>
      </c>
      <c r="F134" s="94" t="str">
        <f t="array" ref="F134">IFERROR(
  INDEX(Aaradhak_Details!J:J, MATCH(B134, Aaradhak_Details!E:E, 0)),
  ""
)
</f>
        <v/>
      </c>
    </row>
    <row r="135" ht="22.5" customHeight="1">
      <c r="A135" s="116" t="str">
        <f>Actual_Data!C135</f>
        <v>Kratika dangi </v>
      </c>
      <c r="B135" s="117">
        <f>Actual_Data!B135</f>
        <v>147</v>
      </c>
      <c r="C135" s="117">
        <f>IFERROR(IF(VLOOKUP(B135,Aaradhak_Details!$E:$F,2,FALSE)&lt;&gt;"",VLOOKUP(B135,Aaradhak_Details!$E:$F,2,FALSE),Actual_Data!D135),Actual_Data!D135)</f>
        <v>18</v>
      </c>
      <c r="D135" s="116" t="str">
        <f>IFERROR(VLOOKUP(B135,Aaradhak_Details!$E:$G,3,FALSE),"")</f>
        <v>B +ve</v>
      </c>
      <c r="E135" s="117">
        <f>IFERROR(IF(VLOOKUP(B135,Aaradhak_Details!$E:$I,5,FALSE)&lt;&gt;"",VLOOKUP(B135,Aaradhak_Details!$E:$I,5,FALSE),Actual_Data!E135),Actual_Data!E135)</f>
        <v>7587676779</v>
      </c>
      <c r="F135" s="118" t="str">
        <f t="array" ref="F135">IFERROR(
  INDEX(Aaradhak_Details!J:J, MATCH(B135, Aaradhak_Details!E:E, 0)),
  ""
)
</f>
        <v>https://drive.google.com/open?id=10lF-5p9Gb468lafYiwyMxH1Nnr7_euY8</v>
      </c>
    </row>
    <row r="136" ht="22.5" customHeight="1">
      <c r="A136" s="116" t="str">
        <f>Actual_Data!C136</f>
        <v>Krina Chetan Shah</v>
      </c>
      <c r="B136" s="117">
        <f>Actual_Data!B136</f>
        <v>148</v>
      </c>
      <c r="C136" s="117">
        <f>IFERROR(IF(VLOOKUP(B136,Aaradhak_Details!$E:$F,2,FALSE)&lt;&gt;"",VLOOKUP(B136,Aaradhak_Details!$E:$F,2,FALSE),Actual_Data!D136),Actual_Data!D136)</f>
        <v>18</v>
      </c>
      <c r="D136" s="116" t="str">
        <f>IFERROR(VLOOKUP(B136,Aaradhak_Details!$E:$G,3,FALSE),"")</f>
        <v>B +ve</v>
      </c>
      <c r="E136" s="117">
        <f>IFERROR(IF(VLOOKUP(B136,Aaradhak_Details!$E:$I,5,FALSE)&lt;&gt;"",VLOOKUP(B136,Aaradhak_Details!$E:$I,5,FALSE),Actual_Data!E136),Actual_Data!E136)</f>
        <v>8169770863</v>
      </c>
      <c r="F136" s="118" t="str">
        <f t="array" ref="F136">IFERROR(
  INDEX(Aaradhak_Details!J:J, MATCH(B136, Aaradhak_Details!E:E, 0)),
  ""
)
</f>
        <v>https://drive.google.com/open?id=109wlIt98ft0VMeSRBk7uG8EjVjNr4gJv</v>
      </c>
    </row>
    <row r="137" ht="22.5" customHeight="1">
      <c r="A137" s="116" t="str">
        <f>Actual_Data!C137</f>
        <v>Krina Jain </v>
      </c>
      <c r="B137" s="117">
        <f>Actual_Data!B137</f>
        <v>149</v>
      </c>
      <c r="C137" s="117">
        <f>IFERROR(IF(VLOOKUP(B137,Aaradhak_Details!$E:$F,2,FALSE)&lt;&gt;"",VLOOKUP(B137,Aaradhak_Details!$E:$F,2,FALSE),Actual_Data!D137),Actual_Data!D137)</f>
        <v>25</v>
      </c>
      <c r="D137" s="116" t="str">
        <f>IFERROR(VLOOKUP(B137,Aaradhak_Details!$E:$G,3,FALSE),"")</f>
        <v>A +ve</v>
      </c>
      <c r="E137" s="117">
        <f>IFERROR(IF(VLOOKUP(B137,Aaradhak_Details!$E:$I,5,FALSE)&lt;&gt;"",VLOOKUP(B137,Aaradhak_Details!$E:$I,5,FALSE),Actual_Data!E137),Actual_Data!E137)</f>
        <v>9099469777</v>
      </c>
      <c r="F137" s="118" t="str">
        <f t="array" ref="F137">IFERROR(
  INDEX(Aaradhak_Details!J:J, MATCH(B137, Aaradhak_Details!E:E, 0)),
  ""
)
</f>
        <v>https://drive.google.com/open?id=1wfohbB2bsHHWqnUqetGtHcHY6gdICO1v</v>
      </c>
    </row>
    <row r="138" ht="22.5" customHeight="1">
      <c r="A138" s="116" t="str">
        <f>Actual_Data!C138</f>
        <v>Krinal Navin Gosrani</v>
      </c>
      <c r="B138" s="117">
        <f>Actual_Data!B138</f>
        <v>150</v>
      </c>
      <c r="C138" s="117">
        <f>IFERROR(IF(VLOOKUP(B138,Aaradhak_Details!$E:$F,2,FALSE)&lt;&gt;"",VLOOKUP(B138,Aaradhak_Details!$E:$F,2,FALSE),Actual_Data!D138),Actual_Data!D138)</f>
        <v>24</v>
      </c>
      <c r="D138" s="116" t="str">
        <f>IFERROR(VLOOKUP(B138,Aaradhak_Details!$E:$G,3,FALSE),"")</f>
        <v>O +ve</v>
      </c>
      <c r="E138" s="117">
        <f>IFERROR(IF(VLOOKUP(B138,Aaradhak_Details!$E:$I,5,FALSE)&lt;&gt;"",VLOOKUP(B138,Aaradhak_Details!$E:$I,5,FALSE),Actual_Data!E138),Actual_Data!E138)</f>
        <v>7378628919</v>
      </c>
      <c r="F138" s="118" t="str">
        <f t="array" ref="F138">IFERROR(
  INDEX(Aaradhak_Details!J:J, MATCH(B138, Aaradhak_Details!E:E, 0)),
  ""
)
</f>
        <v>https://drive.google.com/open?id=1s2neHLweA0JHU0A0IrRBhxpffy2SlJbB</v>
      </c>
    </row>
    <row r="139" ht="22.5" customHeight="1">
      <c r="A139" s="116" t="str">
        <f>Actual_Data!C139</f>
        <v>Krisha </v>
      </c>
      <c r="B139" s="117">
        <f>Actual_Data!B139</f>
        <v>151</v>
      </c>
      <c r="C139" s="117" t="str">
        <f>IFERROR(IF(VLOOKUP(B139,Aaradhak_Details!$E:$F,2,FALSE)&lt;&gt;"",VLOOKUP(B139,Aaradhak_Details!$E:$F,2,FALSE),Actual_Data!D139),Actual_Data!D139)</f>
        <v/>
      </c>
      <c r="D139" s="116" t="str">
        <f>IFERROR(VLOOKUP(B139,Aaradhak_Details!$E:$G,3,FALSE),"")</f>
        <v/>
      </c>
      <c r="E139" s="117">
        <f>IFERROR(IF(VLOOKUP(B139,Aaradhak_Details!$E:$I,5,FALSE)&lt;&gt;"",VLOOKUP(B139,Aaradhak_Details!$E:$I,5,FALSE),Actual_Data!E139),Actual_Data!E139)</f>
        <v>9945530782</v>
      </c>
      <c r="F139" s="94" t="str">
        <f t="array" ref="F139">IFERROR(
  INDEX(Aaradhak_Details!J:J, MATCH(B139, Aaradhak_Details!E:E, 0)),
  ""
)
</f>
        <v/>
      </c>
    </row>
    <row r="140" ht="22.5" customHeight="1">
      <c r="A140" s="116" t="str">
        <f>Actual_Data!C140</f>
        <v>Krisha Kantilal Gudhka</v>
      </c>
      <c r="B140" s="117">
        <f>Actual_Data!B140</f>
        <v>152</v>
      </c>
      <c r="C140" s="117">
        <f>IFERROR(IF(VLOOKUP(B140,Aaradhak_Details!$E:$F,2,FALSE)&lt;&gt;"",VLOOKUP(B140,Aaradhak_Details!$E:$F,2,FALSE),Actual_Data!D140),Actual_Data!D140)</f>
        <v>23</v>
      </c>
      <c r="D140" s="116" t="str">
        <f>IFERROR(VLOOKUP(B140,Aaradhak_Details!$E:$G,3,FALSE),"")</f>
        <v>AB +ve</v>
      </c>
      <c r="E140" s="117">
        <f>IFERROR(IF(VLOOKUP(B140,Aaradhak_Details!$E:$I,5,FALSE)&lt;&gt;"",VLOOKUP(B140,Aaradhak_Details!$E:$I,5,FALSE),Actual_Data!E140),Actual_Data!E140)</f>
        <v>9890207967</v>
      </c>
      <c r="F140" s="118" t="str">
        <f t="array" ref="F140">IFERROR(
  INDEX(Aaradhak_Details!J:J, MATCH(B140, Aaradhak_Details!E:E, 0)),
  ""
)
</f>
        <v>https://drive.google.com/open?id=1nVtTbuUojIGcYmpIxtpB38PSD8QCynHz</v>
      </c>
    </row>
    <row r="141" ht="22.5" customHeight="1">
      <c r="A141" s="116" t="str">
        <f>Actual_Data!C141</f>
        <v>Krisha Kerul Shah</v>
      </c>
      <c r="B141" s="117">
        <f>Actual_Data!B141</f>
        <v>153</v>
      </c>
      <c r="C141" s="117">
        <f>IFERROR(IF(VLOOKUP(B141,Aaradhak_Details!$E:$F,2,FALSE)&lt;&gt;"",VLOOKUP(B141,Aaradhak_Details!$E:$F,2,FALSE),Actual_Data!D141),Actual_Data!D141)</f>
        <v>19</v>
      </c>
      <c r="D141" s="116" t="str">
        <f>IFERROR(VLOOKUP(B141,Aaradhak_Details!$E:$G,3,FALSE),"")</f>
        <v>A +ve</v>
      </c>
      <c r="E141" s="117">
        <f>IFERROR(IF(VLOOKUP(B141,Aaradhak_Details!$E:$I,5,FALSE)&lt;&gt;"",VLOOKUP(B141,Aaradhak_Details!$E:$I,5,FALSE),Actual_Data!E141),Actual_Data!E141)</f>
        <v>9821536677</v>
      </c>
      <c r="F141" s="118" t="str">
        <f t="array" ref="F141">IFERROR(
  INDEX(Aaradhak_Details!J:J, MATCH(B141, Aaradhak_Details!E:E, 0)),
  ""
)
</f>
        <v>https://drive.google.com/open?id=1IqtMrOhQSsB3pjlGoizfq0NvGh3bEIZk</v>
      </c>
    </row>
    <row r="142" ht="22.5" customHeight="1">
      <c r="A142" s="116" t="str">
        <f>Actual_Data!C142</f>
        <v>Krishi gala</v>
      </c>
      <c r="B142" s="117">
        <f>Actual_Data!B142</f>
        <v>154</v>
      </c>
      <c r="C142" s="117">
        <f>IFERROR(IF(VLOOKUP(B142,Aaradhak_Details!$E:$F,2,FALSE)&lt;&gt;"",VLOOKUP(B142,Aaradhak_Details!$E:$F,2,FALSE),Actual_Data!D142),Actual_Data!D142)</f>
        <v>20</v>
      </c>
      <c r="D142" s="116" t="str">
        <f>IFERROR(VLOOKUP(B142,Aaradhak_Details!$E:$G,3,FALSE),"")</f>
        <v>B +ve</v>
      </c>
      <c r="E142" s="117">
        <f>IFERROR(IF(VLOOKUP(B142,Aaradhak_Details!$E:$I,5,FALSE)&lt;&gt;"",VLOOKUP(B142,Aaradhak_Details!$E:$I,5,FALSE),Actual_Data!E142),Actual_Data!E142)</f>
        <v>7021933066</v>
      </c>
      <c r="F142" s="118" t="str">
        <f t="array" ref="F142">IFERROR(
  INDEX(Aaradhak_Details!J:J, MATCH(B142, Aaradhak_Details!E:E, 0)),
  ""
)
</f>
        <v>https://drive.google.com/open?id=1r751VBuBpjpyE3vO_IbcKum5q-uHv-gw</v>
      </c>
    </row>
    <row r="143" ht="22.5" customHeight="1">
      <c r="A143" s="116" t="str">
        <f>Actual_Data!C143</f>
        <v>Kriya Amit Shah</v>
      </c>
      <c r="B143" s="117">
        <f>Actual_Data!B143</f>
        <v>155</v>
      </c>
      <c r="C143" s="117">
        <f>IFERROR(IF(VLOOKUP(B143,Aaradhak_Details!$E:$F,2,FALSE)&lt;&gt;"",VLOOKUP(B143,Aaradhak_Details!$E:$F,2,FALSE),Actual_Data!D143),Actual_Data!D143)</f>
        <v>16</v>
      </c>
      <c r="D143" s="116" t="str">
        <f>IFERROR(VLOOKUP(B143,Aaradhak_Details!$E:$G,3,FALSE),"")</f>
        <v>A +ve</v>
      </c>
      <c r="E143" s="117">
        <f>IFERROR(IF(VLOOKUP(B143,Aaradhak_Details!$E:$I,5,FALSE)&lt;&gt;"",VLOOKUP(B143,Aaradhak_Details!$E:$I,5,FALSE),Actual_Data!E143),Actual_Data!E143)</f>
        <v>9426143556</v>
      </c>
      <c r="F143" s="118" t="str">
        <f t="array" ref="F143">IFERROR(
  INDEX(Aaradhak_Details!J:J, MATCH(B143, Aaradhak_Details!E:E, 0)),
  ""
)
</f>
        <v>https://drive.google.com/open?id=1XdGo-TIdtz-E7s-e4eiRngtI6XtL-ASz</v>
      </c>
    </row>
    <row r="144" ht="22.5" customHeight="1">
      <c r="A144" s="116" t="str">
        <f>Actual_Data!C144</f>
        <v>Kriya Hemendra Kothari </v>
      </c>
      <c r="B144" s="117">
        <f>Actual_Data!B144</f>
        <v>156</v>
      </c>
      <c r="C144" s="117">
        <f>IFERROR(IF(VLOOKUP(B144,Aaradhak_Details!$E:$F,2,FALSE)&lt;&gt;"",VLOOKUP(B144,Aaradhak_Details!$E:$F,2,FALSE),Actual_Data!D144),Actual_Data!D144)</f>
        <v>20</v>
      </c>
      <c r="D144" s="116" t="str">
        <f>IFERROR(VLOOKUP(B144,Aaradhak_Details!$E:$G,3,FALSE),"")</f>
        <v>B +ve</v>
      </c>
      <c r="E144" s="117">
        <f>IFERROR(IF(VLOOKUP(B144,Aaradhak_Details!$E:$I,5,FALSE)&lt;&gt;"",VLOOKUP(B144,Aaradhak_Details!$E:$I,5,FALSE),Actual_Data!E144),Actual_Data!E144)</f>
        <v>8275708867</v>
      </c>
      <c r="F144" s="118" t="str">
        <f t="array" ref="F144">IFERROR(
  INDEX(Aaradhak_Details!J:J, MATCH(B144, Aaradhak_Details!E:E, 0)),
  ""
)
</f>
        <v>https://drive.google.com/open?id=1tIjDIUBt2Pv2Kvfj26RbBM25BSMMeuWf</v>
      </c>
    </row>
    <row r="145" ht="22.5" customHeight="1">
      <c r="A145" s="116" t="str">
        <f>Actual_Data!C145</f>
        <v>Kriya Narendra Rathod</v>
      </c>
      <c r="B145" s="117">
        <f>Actual_Data!B145</f>
        <v>157</v>
      </c>
      <c r="C145" s="117">
        <f>IFERROR(IF(VLOOKUP(B145,Aaradhak_Details!$E:$F,2,FALSE)&lt;&gt;"",VLOOKUP(B145,Aaradhak_Details!$E:$F,2,FALSE),Actual_Data!D145),Actual_Data!D145)</f>
        <v>18</v>
      </c>
      <c r="D145" s="116" t="str">
        <f>IFERROR(VLOOKUP(B145,Aaradhak_Details!$E:$G,3,FALSE),"")</f>
        <v>B +ve</v>
      </c>
      <c r="E145" s="117">
        <f>IFERROR(IF(VLOOKUP(B145,Aaradhak_Details!$E:$I,5,FALSE)&lt;&gt;"",VLOOKUP(B145,Aaradhak_Details!$E:$I,5,FALSE),Actual_Data!E145),Actual_Data!E145)</f>
        <v>7972119721</v>
      </c>
      <c r="F145" s="118" t="str">
        <f t="array" ref="F145">IFERROR(
  INDEX(Aaradhak_Details!J:J, MATCH(B145, Aaradhak_Details!E:E, 0)),
  ""
)
</f>
        <v>https://drive.google.com/open?id=1okYHxL_tpHQ9reEGJ-vOmr9OBbp2fKpf</v>
      </c>
    </row>
    <row r="146" ht="22.5" customHeight="1">
      <c r="A146" s="116" t="str">
        <f>Actual_Data!C146</f>
        <v>Kriya viresh jain</v>
      </c>
      <c r="B146" s="117">
        <f>Actual_Data!B146</f>
        <v>158</v>
      </c>
      <c r="C146" s="117">
        <f>IFERROR(IF(VLOOKUP(B146,Aaradhak_Details!$E:$F,2,FALSE)&lt;&gt;"",VLOOKUP(B146,Aaradhak_Details!$E:$F,2,FALSE),Actual_Data!D146),Actual_Data!D146)</f>
        <v>18</v>
      </c>
      <c r="D146" s="116" t="str">
        <f>IFERROR(VLOOKUP(B146,Aaradhak_Details!$E:$G,3,FALSE),"")</f>
        <v>A +ve</v>
      </c>
      <c r="E146" s="117">
        <f>IFERROR(IF(VLOOKUP(B146,Aaradhak_Details!$E:$I,5,FALSE)&lt;&gt;"",VLOOKUP(B146,Aaradhak_Details!$E:$I,5,FALSE),Actual_Data!E146),Actual_Data!E146)</f>
        <v>9768791435</v>
      </c>
      <c r="F146" s="118" t="str">
        <f t="array" ref="F146">IFERROR(
  INDEX(Aaradhak_Details!J:J, MATCH(B146, Aaradhak_Details!E:E, 0)),
  ""
)
</f>
        <v>https://drive.google.com/open?id=1eVn4zrOPj-C4AhEcVuTyw2G0e2ZICpFu</v>
      </c>
    </row>
    <row r="147" ht="22.5" customHeight="1">
      <c r="A147" s="116" t="str">
        <f>Actual_Data!C147</f>
        <v>Kshama Divyesh Khimasiya </v>
      </c>
      <c r="B147" s="117">
        <f>Actual_Data!B147</f>
        <v>159</v>
      </c>
      <c r="C147" s="117">
        <f>IFERROR(IF(VLOOKUP(B147,Aaradhak_Details!$E:$F,2,FALSE)&lt;&gt;"",VLOOKUP(B147,Aaradhak_Details!$E:$F,2,FALSE),Actual_Data!D147),Actual_Data!D147)</f>
        <v>34</v>
      </c>
      <c r="D147" s="116" t="str">
        <f>IFERROR(VLOOKUP(B147,Aaradhak_Details!$E:$G,3,FALSE),"")</f>
        <v>AB +ve</v>
      </c>
      <c r="E147" s="117">
        <f>IFERROR(IF(VLOOKUP(B147,Aaradhak_Details!$E:$I,5,FALSE)&lt;&gt;"",VLOOKUP(B147,Aaradhak_Details!$E:$I,5,FALSE),Actual_Data!E147),Actual_Data!E147)</f>
        <v>9769211323</v>
      </c>
      <c r="F147" s="118" t="str">
        <f t="array" ref="F147">IFERROR(
  INDEX(Aaradhak_Details!J:J, MATCH(B147, Aaradhak_Details!E:E, 0)),
  ""
)
</f>
        <v>https://drive.google.com/open?id=1nSfPgQ2814Ui3lEw1qPhn2sYVeHy7OMC</v>
      </c>
    </row>
    <row r="148" ht="22.5" customHeight="1">
      <c r="A148" s="116" t="str">
        <f>Actual_Data!C148</f>
        <v>Kunika Ranka</v>
      </c>
      <c r="B148" s="117">
        <f>Actual_Data!B148</f>
        <v>160</v>
      </c>
      <c r="C148" s="117">
        <f>IFERROR(IF(VLOOKUP(B148,Aaradhak_Details!$E:$F,2,FALSE)&lt;&gt;"",VLOOKUP(B148,Aaradhak_Details!$E:$F,2,FALSE),Actual_Data!D148),Actual_Data!D148)</f>
        <v>25</v>
      </c>
      <c r="D148" s="116" t="str">
        <f>IFERROR(VLOOKUP(B148,Aaradhak_Details!$E:$G,3,FALSE),"")</f>
        <v>A +ve</v>
      </c>
      <c r="E148" s="117">
        <f>IFERROR(IF(VLOOKUP(B148,Aaradhak_Details!$E:$I,5,FALSE)&lt;&gt;"",VLOOKUP(B148,Aaradhak_Details!$E:$I,5,FALSE),Actual_Data!E148),Actual_Data!E148)</f>
        <v>9425078821</v>
      </c>
      <c r="F148" s="118" t="str">
        <f t="array" ref="F148">IFERROR(
  INDEX(Aaradhak_Details!J:J, MATCH(B148, Aaradhak_Details!E:E, 0)),
  ""
)
</f>
        <v>https://drive.google.com/open?id=1uWPbiMee_N7aw27TElR4d42WAmAybirc</v>
      </c>
    </row>
    <row r="149" ht="22.5" customHeight="1">
      <c r="A149" s="116" t="str">
        <f>Actual_Data!C149</f>
        <v>Kusum </v>
      </c>
      <c r="B149" s="117">
        <f>Actual_Data!B149</f>
        <v>161</v>
      </c>
      <c r="C149" s="117">
        <f>IFERROR(IF(VLOOKUP(B149,Aaradhak_Details!$E:$F,2,FALSE)&lt;&gt;"",VLOOKUP(B149,Aaradhak_Details!$E:$F,2,FALSE),Actual_Data!D149),Actual_Data!D149)</f>
        <v>25</v>
      </c>
      <c r="D149" s="116" t="str">
        <f>IFERROR(VLOOKUP(B149,Aaradhak_Details!$E:$G,3,FALSE),"")</f>
        <v>AB +ve</v>
      </c>
      <c r="E149" s="117">
        <f>IFERROR(IF(VLOOKUP(B149,Aaradhak_Details!$E:$I,5,FALSE)&lt;&gt;"",VLOOKUP(B149,Aaradhak_Details!$E:$I,5,FALSE),Actual_Data!E149),Actual_Data!E149)</f>
        <v>9461631046</v>
      </c>
      <c r="F149" s="118" t="str">
        <f t="array" ref="F149">IFERROR(
  INDEX(Aaradhak_Details!J:J, MATCH(B149, Aaradhak_Details!E:E, 0)),
  ""
)
</f>
        <v>https://drive.google.com/open?id=1PNCNl5umuMeonL7sFwRJ6cd9BPzscVeg</v>
      </c>
    </row>
    <row r="150" ht="22.5" customHeight="1">
      <c r="A150" s="116" t="str">
        <f>Actual_Data!C150</f>
        <v>Labdhi</v>
      </c>
      <c r="B150" s="117">
        <f>Actual_Data!B150</f>
        <v>163</v>
      </c>
      <c r="C150" s="117">
        <f>IFERROR(IF(VLOOKUP(B150,Aaradhak_Details!$E:$F,2,FALSE)&lt;&gt;"",VLOOKUP(B150,Aaradhak_Details!$E:$F,2,FALSE),Actual_Data!D150),Actual_Data!D150)</f>
        <v>19</v>
      </c>
      <c r="D150" s="116" t="str">
        <f>IFERROR(VLOOKUP(B150,Aaradhak_Details!$E:$G,3,FALSE),"")</f>
        <v>B +ve</v>
      </c>
      <c r="E150" s="117">
        <f>IFERROR(IF(VLOOKUP(B150,Aaradhak_Details!$E:$I,5,FALSE)&lt;&gt;"",VLOOKUP(B150,Aaradhak_Details!$E:$I,5,FALSE),Actual_Data!E150),Actual_Data!E150)</f>
        <v>9429955322</v>
      </c>
      <c r="F150" s="118" t="str">
        <f t="array" ref="F150">IFERROR(
  INDEX(Aaradhak_Details!J:J, MATCH(B150, Aaradhak_Details!E:E, 0)),
  ""
)
</f>
        <v>https://drive.google.com/open?id=1cs-Zbr1fc4Lc0bjbVNVCTDxnde_god3g</v>
      </c>
    </row>
    <row r="151" ht="22.5" customHeight="1">
      <c r="A151" s="116" t="str">
        <f>Actual_Data!C151</f>
        <v>Labdhi Amit Shah</v>
      </c>
      <c r="B151" s="117">
        <f>Actual_Data!B151</f>
        <v>164</v>
      </c>
      <c r="C151" s="117">
        <f>IFERROR(IF(VLOOKUP(B151,Aaradhak_Details!$E:$F,2,FALSE)&lt;&gt;"",VLOOKUP(B151,Aaradhak_Details!$E:$F,2,FALSE),Actual_Data!D151),Actual_Data!D151)</f>
        <v>20</v>
      </c>
      <c r="D151" s="116" t="str">
        <f>IFERROR(VLOOKUP(B151,Aaradhak_Details!$E:$G,3,FALSE),"")</f>
        <v>B +ve</v>
      </c>
      <c r="E151" s="117">
        <f>IFERROR(IF(VLOOKUP(B151,Aaradhak_Details!$E:$I,5,FALSE)&lt;&gt;"",VLOOKUP(B151,Aaradhak_Details!$E:$I,5,FALSE),Actual_Data!E151),Actual_Data!E151)</f>
        <v>9768009909</v>
      </c>
      <c r="F151" s="118" t="str">
        <f t="array" ref="F151">IFERROR(
  INDEX(Aaradhak_Details!J:J, MATCH(B151, Aaradhak_Details!E:E, 0)),
  ""
)
</f>
        <v>https://drive.google.com/open?id=1Oa4pEwMp4Apn-tx8e71_GzuVSQUWl1Y_</v>
      </c>
    </row>
    <row r="152" ht="22.5" customHeight="1">
      <c r="A152" s="116" t="str">
        <f>Actual_Data!C152</f>
        <v>Labdhi Mandovara </v>
      </c>
      <c r="B152" s="117">
        <f>Actual_Data!B152</f>
        <v>166</v>
      </c>
      <c r="C152" s="117">
        <f>IFERROR(IF(VLOOKUP(B152,Aaradhak_Details!$E:$F,2,FALSE)&lt;&gt;"",VLOOKUP(B152,Aaradhak_Details!$E:$F,2,FALSE),Actual_Data!D152),Actual_Data!D152)</f>
        <v>20</v>
      </c>
      <c r="D152" s="116" t="str">
        <f>IFERROR(VLOOKUP(B152,Aaradhak_Details!$E:$G,3,FALSE),"")</f>
        <v>O +ve</v>
      </c>
      <c r="E152" s="117">
        <f>IFERROR(IF(VLOOKUP(B152,Aaradhak_Details!$E:$I,5,FALSE)&lt;&gt;"",VLOOKUP(B152,Aaradhak_Details!$E:$I,5,FALSE),Actual_Data!E152),Actual_Data!E152)</f>
        <v>9329833265</v>
      </c>
      <c r="F152" s="118" t="str">
        <f t="array" ref="F152">IFERROR(
  INDEX(Aaradhak_Details!J:J, MATCH(B152, Aaradhak_Details!E:E, 0)),
  ""
)
</f>
        <v>https://drive.google.com/open?id=1f-bCn3knR6AnUadmD_Id6a8TWu2q6G2x</v>
      </c>
    </row>
    <row r="153" ht="22.5" customHeight="1">
      <c r="A153" s="116" t="str">
        <f>Actual_Data!C153</f>
        <v>Labdhi Tatia </v>
      </c>
      <c r="B153" s="117">
        <f>Actual_Data!B153</f>
        <v>167</v>
      </c>
      <c r="C153" s="117">
        <f>IFERROR(IF(VLOOKUP(B153,Aaradhak_Details!$E:$F,2,FALSE)&lt;&gt;"",VLOOKUP(B153,Aaradhak_Details!$E:$F,2,FALSE),Actual_Data!D153),Actual_Data!D153)</f>
        <v>25</v>
      </c>
      <c r="D153" s="116" t="str">
        <f>IFERROR(VLOOKUP(B153,Aaradhak_Details!$E:$G,3,FALSE),"")</f>
        <v>O +ve</v>
      </c>
      <c r="E153" s="117">
        <f>IFERROR(IF(VLOOKUP(B153,Aaradhak_Details!$E:$I,5,FALSE)&lt;&gt;"",VLOOKUP(B153,Aaradhak_Details!$E:$I,5,FALSE),Actual_Data!E153),Actual_Data!E153)</f>
        <v>9360628001</v>
      </c>
      <c r="F153" s="118" t="str">
        <f t="array" ref="F153">IFERROR(
  INDEX(Aaradhak_Details!J:J, MATCH(B153, Aaradhak_Details!E:E, 0)),
  ""
)
</f>
        <v>https://drive.google.com/open?id=1r-u1HSeKusoF9zLuKxKuuKBd5paE-x25</v>
      </c>
    </row>
    <row r="154" ht="22.5" customHeight="1">
      <c r="A154" s="116" t="str">
        <f>Actual_Data!C154</f>
        <v>Labdhi Tushar Shah</v>
      </c>
      <c r="B154" s="117">
        <f>Actual_Data!B154</f>
        <v>168</v>
      </c>
      <c r="C154" s="117">
        <f>IFERROR(IF(VLOOKUP(B154,Aaradhak_Details!$E:$F,2,FALSE)&lt;&gt;"",VLOOKUP(B154,Aaradhak_Details!$E:$F,2,FALSE),Actual_Data!D154),Actual_Data!D154)</f>
        <v>17</v>
      </c>
      <c r="D154" s="116" t="str">
        <f>IFERROR(VLOOKUP(B154,Aaradhak_Details!$E:$G,3,FALSE),"")</f>
        <v>A +ve</v>
      </c>
      <c r="E154" s="117">
        <f>IFERROR(IF(VLOOKUP(B154,Aaradhak_Details!$E:$I,5,FALSE)&lt;&gt;"",VLOOKUP(B154,Aaradhak_Details!$E:$I,5,FALSE),Actual_Data!E154),Actual_Data!E154)</f>
        <v>9825977647</v>
      </c>
      <c r="F154" s="118" t="str">
        <f t="array" ref="F154">IFERROR(
  INDEX(Aaradhak_Details!J:J, MATCH(B154, Aaradhak_Details!E:E, 0)),
  ""
)
</f>
        <v>https://drive.google.com/open?id=1T7Zrevba9rOvYWJSDFy6TEucSFuxdPE8</v>
      </c>
    </row>
    <row r="155" ht="22.5" customHeight="1">
      <c r="A155" s="116" t="str">
        <f>Actual_Data!C155</f>
        <v>Lakshita Jain </v>
      </c>
      <c r="B155" s="117">
        <f>Actual_Data!B155</f>
        <v>169</v>
      </c>
      <c r="C155" s="117">
        <f>IFERROR(IF(VLOOKUP(B155,Aaradhak_Details!$E:$F,2,FALSE)&lt;&gt;"",VLOOKUP(B155,Aaradhak_Details!$E:$F,2,FALSE),Actual_Data!D155),Actual_Data!D155)</f>
        <v>17</v>
      </c>
      <c r="D155" s="116" t="str">
        <f>IFERROR(VLOOKUP(B155,Aaradhak_Details!$E:$G,3,FALSE),"")</f>
        <v>B +ve</v>
      </c>
      <c r="E155" s="117">
        <f>IFERROR(IF(VLOOKUP(B155,Aaradhak_Details!$E:$I,5,FALSE)&lt;&gt;"",VLOOKUP(B155,Aaradhak_Details!$E:$I,5,FALSE),Actual_Data!E155),Actual_Data!E155)</f>
        <v>9424074711</v>
      </c>
      <c r="F155" s="118" t="str">
        <f t="array" ref="F155">IFERROR(
  INDEX(Aaradhak_Details!J:J, MATCH(B155, Aaradhak_Details!E:E, 0)),
  ""
)
</f>
        <v>https://drive.google.com/open?id=1x6sYb0dBLRMhetElIaqiP_h-mTVZ111t</v>
      </c>
    </row>
    <row r="156" ht="22.5" customHeight="1">
      <c r="A156" s="116" t="str">
        <f>Actual_Data!C156</f>
        <v>Lavina Kawediya</v>
      </c>
      <c r="B156" s="117">
        <f>Actual_Data!B156</f>
        <v>171</v>
      </c>
      <c r="C156" s="117">
        <f>IFERROR(IF(VLOOKUP(B156,Aaradhak_Details!$E:$F,2,FALSE)&lt;&gt;"",VLOOKUP(B156,Aaradhak_Details!$E:$F,2,FALSE),Actual_Data!D156),Actual_Data!D156)</f>
        <v>28</v>
      </c>
      <c r="D156" s="116" t="str">
        <f>IFERROR(VLOOKUP(B156,Aaradhak_Details!$E:$G,3,FALSE),"")</f>
        <v>B +ve</v>
      </c>
      <c r="E156" s="117">
        <f>IFERROR(IF(VLOOKUP(B156,Aaradhak_Details!$E:$I,5,FALSE)&lt;&gt;"",VLOOKUP(B156,Aaradhak_Details!$E:$I,5,FALSE),Actual_Data!E156),Actual_Data!E156)</f>
        <v>8080592456</v>
      </c>
      <c r="F156" s="118" t="str">
        <f t="array" ref="F156">IFERROR(
  INDEX(Aaradhak_Details!J:J, MATCH(B156, Aaradhak_Details!E:E, 0)),
  ""
)
</f>
        <v>https://drive.google.com/open?id=1ISgkL4f9YNZc7Fdm5-wHQArh38IxBUGY</v>
      </c>
    </row>
    <row r="157" ht="22.5" customHeight="1">
      <c r="A157" s="116" t="str">
        <f>Actual_Data!C157</f>
        <v>Lekha Jain</v>
      </c>
      <c r="B157" s="117">
        <f>Actual_Data!B157</f>
        <v>172</v>
      </c>
      <c r="C157" s="117">
        <f>IFERROR(IF(VLOOKUP(B157,Aaradhak_Details!$E:$F,2,FALSE)&lt;&gt;"",VLOOKUP(B157,Aaradhak_Details!$E:$F,2,FALSE),Actual_Data!D157),Actual_Data!D157)</f>
        <v>33</v>
      </c>
      <c r="D157" s="116" t="str">
        <f>IFERROR(VLOOKUP(B157,Aaradhak_Details!$E:$G,3,FALSE),"")</f>
        <v>A +ve</v>
      </c>
      <c r="E157" s="117">
        <f>IFERROR(IF(VLOOKUP(B157,Aaradhak_Details!$E:$I,5,FALSE)&lt;&gt;"",VLOOKUP(B157,Aaradhak_Details!$E:$I,5,FALSE),Actual_Data!E157),Actual_Data!E157)</f>
        <v>9945645101</v>
      </c>
      <c r="F157" s="118" t="str">
        <f t="array" ref="F157">IFERROR(
  INDEX(Aaradhak_Details!J:J, MATCH(B157, Aaradhak_Details!E:E, 0)),
  ""
)
</f>
        <v>https://drive.google.com/open?id=1NepBH9VHDvGR2ncxFnyi0rQdPO2LeG-g</v>
      </c>
    </row>
    <row r="158" ht="22.5" customHeight="1">
      <c r="A158" s="116" t="str">
        <f>Actual_Data!C158</f>
        <v>Lukita</v>
      </c>
      <c r="B158" s="117">
        <f>Actual_Data!B158</f>
        <v>174</v>
      </c>
      <c r="C158" s="117">
        <f>IFERROR(IF(VLOOKUP(B158,Aaradhak_Details!$E:$F,2,FALSE)&lt;&gt;"",VLOOKUP(B158,Aaradhak_Details!$E:$F,2,FALSE),Actual_Data!D158),Actual_Data!D158)</f>
        <v>17</v>
      </c>
      <c r="D158" s="116" t="str">
        <f>IFERROR(VLOOKUP(B158,Aaradhak_Details!$E:$G,3,FALSE),"")</f>
        <v/>
      </c>
      <c r="E158" s="117">
        <f>IFERROR(IF(VLOOKUP(B158,Aaradhak_Details!$E:$I,5,FALSE)&lt;&gt;"",VLOOKUP(B158,Aaradhak_Details!$E:$I,5,FALSE),Actual_Data!E158),Actual_Data!E158)</f>
        <v>9460668800</v>
      </c>
      <c r="F158" s="94" t="str">
        <f t="array" ref="F158">IFERROR(
  INDEX(Aaradhak_Details!J:J, MATCH(B158, Aaradhak_Details!E:E, 0)),
  ""
)
</f>
        <v/>
      </c>
    </row>
    <row r="159" ht="22.5" customHeight="1">
      <c r="A159" s="116" t="str">
        <f>Actual_Data!C159</f>
        <v>Mahak Jain </v>
      </c>
      <c r="B159" s="117">
        <f>Actual_Data!B159</f>
        <v>175</v>
      </c>
      <c r="C159" s="117">
        <f>IFERROR(IF(VLOOKUP(B159,Aaradhak_Details!$E:$F,2,FALSE)&lt;&gt;"",VLOOKUP(B159,Aaradhak_Details!$E:$F,2,FALSE),Actual_Data!D159),Actual_Data!D159)</f>
        <v>23</v>
      </c>
      <c r="D159" s="116" t="str">
        <f>IFERROR(VLOOKUP(B159,Aaradhak_Details!$E:$G,3,FALSE),"")</f>
        <v>O +ve</v>
      </c>
      <c r="E159" s="117">
        <f>IFERROR(IF(VLOOKUP(B159,Aaradhak_Details!$E:$I,5,FALSE)&lt;&gt;"",VLOOKUP(B159,Aaradhak_Details!$E:$I,5,FALSE),Actual_Data!E159),Actual_Data!E159)</f>
        <v>9300690969</v>
      </c>
      <c r="F159" s="118" t="str">
        <f t="array" ref="F159">IFERROR(
  INDEX(Aaradhak_Details!J:J, MATCH(B159, Aaradhak_Details!E:E, 0)),
  ""
)
</f>
        <v>https://drive.google.com/open?id=1fOWGwSf5GHBmFMBS7B5VKD2YieHAG0Mb</v>
      </c>
    </row>
    <row r="160" ht="22.5" customHeight="1">
      <c r="A160" s="116" t="str">
        <f>Actual_Data!C160</f>
        <v>Mahak mogra</v>
      </c>
      <c r="B160" s="117">
        <f>Actual_Data!B160</f>
        <v>176</v>
      </c>
      <c r="C160" s="117">
        <f>IFERROR(IF(VLOOKUP(B160,Aaradhak_Details!$E:$F,2,FALSE)&lt;&gt;"",VLOOKUP(B160,Aaradhak_Details!$E:$F,2,FALSE),Actual_Data!D160),Actual_Data!D160)</f>
        <v>22</v>
      </c>
      <c r="D160" s="116" t="str">
        <f>IFERROR(VLOOKUP(B160,Aaradhak_Details!$E:$G,3,FALSE),"")</f>
        <v>B +ve</v>
      </c>
      <c r="E160" s="117">
        <f>IFERROR(IF(VLOOKUP(B160,Aaradhak_Details!$E:$I,5,FALSE)&lt;&gt;"",VLOOKUP(B160,Aaradhak_Details!$E:$I,5,FALSE),Actual_Data!E160),Actual_Data!E160)</f>
        <v>8839176432</v>
      </c>
      <c r="F160" s="118" t="str">
        <f t="array" ref="F160">IFERROR(
  INDEX(Aaradhak_Details!J:J, MATCH(B160, Aaradhak_Details!E:E, 0)),
  ""
)
</f>
        <v>https://drive.google.com/open?id=1wEP-eRJkajV4ydwQr2eWEO78WyFnIOMd</v>
      </c>
    </row>
    <row r="161" ht="22.5" customHeight="1">
      <c r="A161" s="116" t="str">
        <f>Actual_Data!C161</f>
        <v>Mahek Nilesh Sanghavi </v>
      </c>
      <c r="B161" s="117">
        <f>Actual_Data!B161</f>
        <v>177</v>
      </c>
      <c r="C161" s="117">
        <f>IFERROR(IF(VLOOKUP(B161,Aaradhak_Details!$E:$F,2,FALSE)&lt;&gt;"",VLOOKUP(B161,Aaradhak_Details!$E:$F,2,FALSE),Actual_Data!D161),Actual_Data!D161)</f>
        <v>21</v>
      </c>
      <c r="D161" s="116" t="str">
        <f>IFERROR(VLOOKUP(B161,Aaradhak_Details!$E:$G,3,FALSE),"")</f>
        <v>B +ve</v>
      </c>
      <c r="E161" s="117">
        <f>IFERROR(IF(VLOOKUP(B161,Aaradhak_Details!$E:$I,5,FALSE)&lt;&gt;"",VLOOKUP(B161,Aaradhak_Details!$E:$I,5,FALSE),Actual_Data!E161),Actual_Data!E161)</f>
        <v>9004807254</v>
      </c>
      <c r="F161" s="118" t="str">
        <f t="array" ref="F161">IFERROR(
  INDEX(Aaradhak_Details!J:J, MATCH(B161, Aaradhak_Details!E:E, 0)),
  ""
)
</f>
        <v>https://drive.google.com/open?id=1OENUu85xKOJKXSYI4FJWfBCXZ29Pim7X</v>
      </c>
    </row>
    <row r="162" ht="22.5" customHeight="1">
      <c r="A162" s="116" t="str">
        <f>Actual_Data!C162</f>
        <v>Mahek shah</v>
      </c>
      <c r="B162" s="117">
        <f>Actual_Data!B162</f>
        <v>178</v>
      </c>
      <c r="C162" s="117">
        <f>IFERROR(IF(VLOOKUP(B162,Aaradhak_Details!$E:$F,2,FALSE)&lt;&gt;"",VLOOKUP(B162,Aaradhak_Details!$E:$F,2,FALSE),Actual_Data!D162),Actual_Data!D162)</f>
        <v>22</v>
      </c>
      <c r="D162" s="116" t="str">
        <f>IFERROR(VLOOKUP(B162,Aaradhak_Details!$E:$G,3,FALSE),"")</f>
        <v>B +ve</v>
      </c>
      <c r="E162" s="117">
        <f>IFERROR(IF(VLOOKUP(B162,Aaradhak_Details!$E:$I,5,FALSE)&lt;&gt;"",VLOOKUP(B162,Aaradhak_Details!$E:$I,5,FALSE),Actual_Data!E162),Actual_Data!E162)</f>
        <v>9821328552</v>
      </c>
      <c r="F162" s="118" t="str">
        <f t="array" ref="F162">IFERROR(
  INDEX(Aaradhak_Details!J:J, MATCH(B162, Aaradhak_Details!E:E, 0)),
  ""
)
</f>
        <v>https://drive.google.com/open?id=1PCeaIB_paNY7fFEfkVDTTlFviEzWXwE7</v>
      </c>
    </row>
    <row r="163" ht="22.5" customHeight="1">
      <c r="A163" s="116" t="str">
        <f>Actual_Data!C163</f>
        <v>Mahi jain</v>
      </c>
      <c r="B163" s="117">
        <f>Actual_Data!B163</f>
        <v>180</v>
      </c>
      <c r="C163" s="117">
        <f>IFERROR(IF(VLOOKUP(B163,Aaradhak_Details!$E:$F,2,FALSE)&lt;&gt;"",VLOOKUP(B163,Aaradhak_Details!$E:$F,2,FALSE),Actual_Data!D163),Actual_Data!D163)</f>
        <v>19</v>
      </c>
      <c r="D163" s="116" t="str">
        <f>IFERROR(VLOOKUP(B163,Aaradhak_Details!$E:$G,3,FALSE),"")</f>
        <v>B +ve</v>
      </c>
      <c r="E163" s="117">
        <f>IFERROR(IF(VLOOKUP(B163,Aaradhak_Details!$E:$I,5,FALSE)&lt;&gt;"",VLOOKUP(B163,Aaradhak_Details!$E:$I,5,FALSE),Actual_Data!E163),Actual_Data!E163)</f>
        <v>9109826847</v>
      </c>
      <c r="F163" s="118" t="str">
        <f t="array" ref="F163">IFERROR(
  INDEX(Aaradhak_Details!J:J, MATCH(B163, Aaradhak_Details!E:E, 0)),
  ""
)
</f>
        <v>https://drive.google.com/open?id=1JlHqYrJWfojwKqDFcIdWi4Oyic8xXeXt</v>
      </c>
    </row>
    <row r="164" ht="22.5" customHeight="1">
      <c r="A164" s="116" t="str">
        <f>Actual_Data!C164</f>
        <v>Mahi Prakash Sanghavi </v>
      </c>
      <c r="B164" s="117">
        <f>Actual_Data!B164</f>
        <v>181</v>
      </c>
      <c r="C164" s="117">
        <f>IFERROR(IF(VLOOKUP(B164,Aaradhak_Details!$E:$F,2,FALSE)&lt;&gt;"",VLOOKUP(B164,Aaradhak_Details!$E:$F,2,FALSE),Actual_Data!D164),Actual_Data!D164)</f>
        <v>20</v>
      </c>
      <c r="D164" s="116" t="str">
        <f>IFERROR(VLOOKUP(B164,Aaradhak_Details!$E:$G,3,FALSE),"")</f>
        <v>A +ve</v>
      </c>
      <c r="E164" s="117">
        <f>IFERROR(IF(VLOOKUP(B164,Aaradhak_Details!$E:$I,5,FALSE)&lt;&gt;"",VLOOKUP(B164,Aaradhak_Details!$E:$I,5,FALSE),Actual_Data!E164),Actual_Data!E164)</f>
        <v>8169747137</v>
      </c>
      <c r="F164" s="118" t="str">
        <f t="array" ref="F164">IFERROR(
  INDEX(Aaradhak_Details!J:J, MATCH(B164, Aaradhak_Details!E:E, 0)),
  ""
)
</f>
        <v>https://drive.google.com/open?id=1enadrCReO8DC6NWnnMbiogAPVM440Z0u</v>
      </c>
    </row>
    <row r="165" ht="22.5" customHeight="1">
      <c r="A165" s="116" t="str">
        <f>Actual_Data!C165</f>
        <v>Mahi Sethiya</v>
      </c>
      <c r="B165" s="117">
        <f>Actual_Data!B165</f>
        <v>182</v>
      </c>
      <c r="C165" s="117">
        <f>IFERROR(IF(VLOOKUP(B165,Aaradhak_Details!$E:$F,2,FALSE)&lt;&gt;"",VLOOKUP(B165,Aaradhak_Details!$E:$F,2,FALSE),Actual_Data!D165),Actual_Data!D165)</f>
        <v>19</v>
      </c>
      <c r="D165" s="116" t="str">
        <f>IFERROR(VLOOKUP(B165,Aaradhak_Details!$E:$G,3,FALSE),"")</f>
        <v>A +ve</v>
      </c>
      <c r="E165" s="117">
        <f>IFERROR(IF(VLOOKUP(B165,Aaradhak_Details!$E:$I,5,FALSE)&lt;&gt;"",VLOOKUP(B165,Aaradhak_Details!$E:$I,5,FALSE),Actual_Data!E165),Actual_Data!E165)</f>
        <v>8003050199</v>
      </c>
      <c r="F165" s="118" t="str">
        <f t="array" ref="F165">IFERROR(
  INDEX(Aaradhak_Details!J:J, MATCH(B165, Aaradhak_Details!E:E, 0)),
  ""
)
</f>
        <v>https://drive.google.com/open?id=1TKfh46Wjd0w5Hs6JrFozsfmSn8CkAxC0</v>
      </c>
    </row>
    <row r="166" ht="22.5" customHeight="1">
      <c r="A166" s="116" t="str">
        <f>Actual_Data!C166</f>
        <v>Mahi Sunil Lalwani </v>
      </c>
      <c r="B166" s="117">
        <f>Actual_Data!B166</f>
        <v>183</v>
      </c>
      <c r="C166" s="117">
        <f>IFERROR(IF(VLOOKUP(B166,Aaradhak_Details!$E:$F,2,FALSE)&lt;&gt;"",VLOOKUP(B166,Aaradhak_Details!$E:$F,2,FALSE),Actual_Data!D166),Actual_Data!D166)</f>
        <v>17</v>
      </c>
      <c r="D166" s="116" t="str">
        <f>IFERROR(VLOOKUP(B166,Aaradhak_Details!$E:$G,3,FALSE),"")</f>
        <v>AB +ve</v>
      </c>
      <c r="E166" s="117">
        <f>IFERROR(IF(VLOOKUP(B166,Aaradhak_Details!$E:$I,5,FALSE)&lt;&gt;"",VLOOKUP(B166,Aaradhak_Details!$E:$I,5,FALSE),Actual_Data!E166),Actual_Data!E166)</f>
        <v>7841891155</v>
      </c>
      <c r="F166" s="118" t="str">
        <f t="array" ref="F166">IFERROR(
  INDEX(Aaradhak_Details!J:J, MATCH(B166, Aaradhak_Details!E:E, 0)),
  ""
)
</f>
        <v>https://drive.google.com/open?id=1f7v2qMpmBQJz2LjP608Uyw-7nBNhperk</v>
      </c>
    </row>
    <row r="167" ht="22.5" customHeight="1">
      <c r="A167" s="116" t="str">
        <f>Actual_Data!C167</f>
        <v>Maitri Shantilal Nagda</v>
      </c>
      <c r="B167" s="117">
        <f>Actual_Data!B167</f>
        <v>184</v>
      </c>
      <c r="C167" s="117">
        <f>IFERROR(IF(VLOOKUP(B167,Aaradhak_Details!$E:$F,2,FALSE)&lt;&gt;"",VLOOKUP(B167,Aaradhak_Details!$E:$F,2,FALSE),Actual_Data!D167),Actual_Data!D167)</f>
        <v>21</v>
      </c>
      <c r="D167" s="116" t="str">
        <f>IFERROR(VLOOKUP(B167,Aaradhak_Details!$E:$G,3,FALSE),"")</f>
        <v>O +ve</v>
      </c>
      <c r="E167" s="117">
        <f>IFERROR(IF(VLOOKUP(B167,Aaradhak_Details!$E:$I,5,FALSE)&lt;&gt;"",VLOOKUP(B167,Aaradhak_Details!$E:$I,5,FALSE),Actual_Data!E167),Actual_Data!E167)</f>
        <v>9321486101</v>
      </c>
      <c r="F167" s="118" t="str">
        <f t="array" ref="F167">IFERROR(
  INDEX(Aaradhak_Details!J:J, MATCH(B167, Aaradhak_Details!E:E, 0)),
  ""
)
</f>
        <v>https://drive.google.com/open?id=1qW4kS7yS5yKrxoljCM_8GCHJZSuFEvaU</v>
      </c>
    </row>
    <row r="168" ht="22.5" customHeight="1">
      <c r="A168" s="116" t="str">
        <f>Actual_Data!C168</f>
        <v>MAMATA ANKIT SHAH </v>
      </c>
      <c r="B168" s="117">
        <f>Actual_Data!B168</f>
        <v>185</v>
      </c>
      <c r="C168" s="117">
        <f>IFERROR(IF(VLOOKUP(B168,Aaradhak_Details!$E:$F,2,FALSE)&lt;&gt;"",VLOOKUP(B168,Aaradhak_Details!$E:$F,2,FALSE),Actual_Data!D168),Actual_Data!D168)</f>
        <v>40</v>
      </c>
      <c r="D168" s="116" t="str">
        <f>IFERROR(VLOOKUP(B168,Aaradhak_Details!$E:$G,3,FALSE),"")</f>
        <v>AB +ve</v>
      </c>
      <c r="E168" s="117">
        <f>IFERROR(IF(VLOOKUP(B168,Aaradhak_Details!$E:$I,5,FALSE)&lt;&gt;"",VLOOKUP(B168,Aaradhak_Details!$E:$I,5,FALSE),Actual_Data!E168),Actual_Data!E168)</f>
        <v>9422086292</v>
      </c>
      <c r="F168" s="118" t="str">
        <f t="array" ref="F168">IFERROR(
  INDEX(Aaradhak_Details!J:J, MATCH(B168, Aaradhak_Details!E:E, 0)),
  ""
)
</f>
        <v>https://drive.google.com/open?id=11h11wM6vDdGrSOKKvRyIOIJYRbUYRjHG</v>
      </c>
    </row>
    <row r="169" ht="22.5" customHeight="1">
      <c r="A169" s="116" t="str">
        <f>Actual_Data!C169</f>
        <v>Mamta A Jain</v>
      </c>
      <c r="B169" s="117">
        <f>Actual_Data!B169</f>
        <v>186</v>
      </c>
      <c r="C169" s="117">
        <f>IFERROR(IF(VLOOKUP(B169,Aaradhak_Details!$E:$F,2,FALSE)&lt;&gt;"",VLOOKUP(B169,Aaradhak_Details!$E:$F,2,FALSE),Actual_Data!D169),Actual_Data!D169)</f>
        <v>33</v>
      </c>
      <c r="D169" s="116" t="str">
        <f>IFERROR(VLOOKUP(B169,Aaradhak_Details!$E:$G,3,FALSE),"")</f>
        <v>O +ve</v>
      </c>
      <c r="E169" s="117">
        <f>IFERROR(IF(VLOOKUP(B169,Aaradhak_Details!$E:$I,5,FALSE)&lt;&gt;"",VLOOKUP(B169,Aaradhak_Details!$E:$I,5,FALSE),Actual_Data!E169),Actual_Data!E169)</f>
        <v>9886098123</v>
      </c>
      <c r="F169" s="118" t="str">
        <f t="array" ref="F169">IFERROR(
  INDEX(Aaradhak_Details!J:J, MATCH(B169, Aaradhak_Details!E:E, 0)),
  ""
)
</f>
        <v>https://drive.google.com/open?id=1dZ4ZFl9SmzTjFLAUzQ9v4wsNq2mDTniU</v>
      </c>
    </row>
    <row r="170" ht="22.5" customHeight="1">
      <c r="A170" s="116" t="str">
        <f>Actual_Data!C170</f>
        <v>Mansi seth</v>
      </c>
      <c r="B170" s="117">
        <f>Actual_Data!B170</f>
        <v>187</v>
      </c>
      <c r="C170" s="117">
        <f>IFERROR(IF(VLOOKUP(B170,Aaradhak_Details!$E:$F,2,FALSE)&lt;&gt;"",VLOOKUP(B170,Aaradhak_Details!$E:$F,2,FALSE),Actual_Data!D170),Actual_Data!D170)</f>
        <v>24</v>
      </c>
      <c r="D170" s="116" t="str">
        <f>IFERROR(VLOOKUP(B170,Aaradhak_Details!$E:$G,3,FALSE),"")</f>
        <v>A +ve</v>
      </c>
      <c r="E170" s="117">
        <f>IFERROR(IF(VLOOKUP(B170,Aaradhak_Details!$E:$I,5,FALSE)&lt;&gt;"",VLOOKUP(B170,Aaradhak_Details!$E:$I,5,FALSE),Actual_Data!E170),Actual_Data!E170)</f>
        <v>9982934658</v>
      </c>
      <c r="F170" s="118" t="str">
        <f t="array" ref="F170">IFERROR(
  INDEX(Aaradhak_Details!J:J, MATCH(B170, Aaradhak_Details!E:E, 0)),
  ""
)
</f>
        <v>https://drive.google.com/open?id=18h7MImxgRj-b4S_ED1wz57F6n82Gie-4</v>
      </c>
    </row>
    <row r="171" ht="22.5" customHeight="1">
      <c r="A171" s="116" t="str">
        <f>Actual_Data!C171</f>
        <v>Mansi Vinodkumar Gulechha</v>
      </c>
      <c r="B171" s="117">
        <f>Actual_Data!B171</f>
        <v>188</v>
      </c>
      <c r="C171" s="117">
        <f>IFERROR(IF(VLOOKUP(B171,Aaradhak_Details!$E:$F,2,FALSE)&lt;&gt;"",VLOOKUP(B171,Aaradhak_Details!$E:$F,2,FALSE),Actual_Data!D171),Actual_Data!D171)</f>
        <v>18</v>
      </c>
      <c r="D171" s="116" t="str">
        <f>IFERROR(VLOOKUP(B171,Aaradhak_Details!$E:$G,3,FALSE),"")</f>
        <v/>
      </c>
      <c r="E171" s="117">
        <f>IFERROR(IF(VLOOKUP(B171,Aaradhak_Details!$E:$I,5,FALSE)&lt;&gt;"",VLOOKUP(B171,Aaradhak_Details!$E:$I,5,FALSE),Actual_Data!E171),Actual_Data!E171)</f>
        <v>7887796678</v>
      </c>
      <c r="F171" s="94" t="str">
        <f t="array" ref="F171">IFERROR(
  INDEX(Aaradhak_Details!J:J, MATCH(B171, Aaradhak_Details!E:E, 0)),
  ""
)
</f>
        <v/>
      </c>
    </row>
    <row r="172" ht="22.5" customHeight="1">
      <c r="A172" s="116" t="str">
        <f>Actual_Data!C172</f>
        <v>Misthi vanvat</v>
      </c>
      <c r="B172" s="117">
        <f>Actual_Data!B172</f>
        <v>190</v>
      </c>
      <c r="C172" s="117">
        <f>IFERROR(IF(VLOOKUP(B172,Aaradhak_Details!$E:$F,2,FALSE)&lt;&gt;"",VLOOKUP(B172,Aaradhak_Details!$E:$F,2,FALSE),Actual_Data!D172),Actual_Data!D172)</f>
        <v>15</v>
      </c>
      <c r="D172" s="116" t="str">
        <f>IFERROR(VLOOKUP(B172,Aaradhak_Details!$E:$G,3,FALSE),"")</f>
        <v>O +ve</v>
      </c>
      <c r="E172" s="117">
        <f>IFERROR(IF(VLOOKUP(B172,Aaradhak_Details!$E:$I,5,FALSE)&lt;&gt;"",VLOOKUP(B172,Aaradhak_Details!$E:$I,5,FALSE),Actual_Data!E172),Actual_Data!E172)</f>
        <v>9770435122</v>
      </c>
      <c r="F172" s="118" t="str">
        <f t="array" ref="F172">IFERROR(
  INDEX(Aaradhak_Details!J:J, MATCH(B172, Aaradhak_Details!E:E, 0)),
  ""
)
</f>
        <v>https://drive.google.com/open?id=1jFuhLX9yTbUv-YPkTka1-JwBcblHtM3u</v>
      </c>
    </row>
    <row r="173" ht="22.5" customHeight="1">
      <c r="A173" s="116" t="str">
        <f>Actual_Data!C173</f>
        <v>Moksha </v>
      </c>
      <c r="B173" s="117">
        <f>Actual_Data!B173</f>
        <v>191</v>
      </c>
      <c r="C173" s="117">
        <f>IFERROR(IF(VLOOKUP(B173,Aaradhak_Details!$E:$F,2,FALSE)&lt;&gt;"",VLOOKUP(B173,Aaradhak_Details!$E:$F,2,FALSE),Actual_Data!D173),Actual_Data!D173)</f>
        <v>17</v>
      </c>
      <c r="D173" s="116" t="str">
        <f>IFERROR(VLOOKUP(B173,Aaradhak_Details!$E:$G,3,FALSE),"")</f>
        <v>A +ve</v>
      </c>
      <c r="E173" s="117">
        <f>IFERROR(IF(VLOOKUP(B173,Aaradhak_Details!$E:$I,5,FALSE)&lt;&gt;"",VLOOKUP(B173,Aaradhak_Details!$E:$I,5,FALSE),Actual_Data!E173),Actual_Data!E173)</f>
        <v>9993786642</v>
      </c>
      <c r="F173" s="118" t="str">
        <f t="array" ref="F173">IFERROR(
  INDEX(Aaradhak_Details!J:J, MATCH(B173, Aaradhak_Details!E:E, 0)),
  ""
)
</f>
        <v>https://drive.google.com/open?id=1KasWtijzcdnGLijCsLkQMitUYlViT5mE</v>
      </c>
    </row>
    <row r="174" ht="22.5" customHeight="1">
      <c r="A174" s="116" t="str">
        <f>Actual_Data!C174</f>
        <v>Moksha Kishorbhai Dhami</v>
      </c>
      <c r="B174" s="117">
        <f>Actual_Data!B174</f>
        <v>193</v>
      </c>
      <c r="C174" s="117">
        <f>IFERROR(IF(VLOOKUP(B174,Aaradhak_Details!$E:$F,2,FALSE)&lt;&gt;"",VLOOKUP(B174,Aaradhak_Details!$E:$F,2,FALSE),Actual_Data!D174),Actual_Data!D174)</f>
        <v>24</v>
      </c>
      <c r="D174" s="116" t="str">
        <f>IFERROR(VLOOKUP(B174,Aaradhak_Details!$E:$G,3,FALSE),"")</f>
        <v>AB +ve</v>
      </c>
      <c r="E174" s="117">
        <f>IFERROR(IF(VLOOKUP(B174,Aaradhak_Details!$E:$I,5,FALSE)&lt;&gt;"",VLOOKUP(B174,Aaradhak_Details!$E:$I,5,FALSE),Actual_Data!E174),Actual_Data!E174)</f>
        <v>9167799536</v>
      </c>
      <c r="F174" s="118" t="str">
        <f t="array" ref="F174">IFERROR(
  INDEX(Aaradhak_Details!J:J, MATCH(B174, Aaradhak_Details!E:E, 0)),
  ""
)
</f>
        <v>https://drive.google.com/open?id=1FnhIwqe26zUTRqKvXLYz9887lQkYjDWt</v>
      </c>
    </row>
    <row r="175" ht="22.5" customHeight="1">
      <c r="A175" s="116" t="str">
        <f>Actual_Data!C175</f>
        <v>Mokshi jain</v>
      </c>
      <c r="B175" s="117">
        <f>Actual_Data!B175</f>
        <v>194</v>
      </c>
      <c r="C175" s="117">
        <f>IFERROR(IF(VLOOKUP(B175,Aaradhak_Details!$E:$F,2,FALSE)&lt;&gt;"",VLOOKUP(B175,Aaradhak_Details!$E:$F,2,FALSE),Actual_Data!D175),Actual_Data!D175)</f>
        <v>24</v>
      </c>
      <c r="D175" s="116" t="str">
        <f>IFERROR(VLOOKUP(B175,Aaradhak_Details!$E:$G,3,FALSE),"")</f>
        <v/>
      </c>
      <c r="E175" s="117">
        <f>IFERROR(IF(VLOOKUP(B175,Aaradhak_Details!$E:$I,5,FALSE)&lt;&gt;"",VLOOKUP(B175,Aaradhak_Details!$E:$I,5,FALSE),Actual_Data!E175),Actual_Data!E175)</f>
        <v>7423036666</v>
      </c>
      <c r="F175" s="94" t="str">
        <f t="array" ref="F175">IFERROR(
  INDEX(Aaradhak_Details!J:J, MATCH(B175, Aaradhak_Details!E:E, 0)),
  ""
)
</f>
        <v/>
      </c>
    </row>
    <row r="176" ht="22.5" customHeight="1">
      <c r="A176" s="116" t="str">
        <f>Actual_Data!C176</f>
        <v>Monika</v>
      </c>
      <c r="B176" s="117">
        <f>Actual_Data!B176</f>
        <v>196</v>
      </c>
      <c r="C176" s="117">
        <f>IFERROR(IF(VLOOKUP(B176,Aaradhak_Details!$E:$F,2,FALSE)&lt;&gt;"",VLOOKUP(B176,Aaradhak_Details!$E:$F,2,FALSE),Actual_Data!D176),Actual_Data!D176)</f>
        <v>33</v>
      </c>
      <c r="D176" s="116" t="str">
        <f>IFERROR(VLOOKUP(B176,Aaradhak_Details!$E:$G,3,FALSE),"")</f>
        <v>O +ve</v>
      </c>
      <c r="E176" s="117">
        <f>IFERROR(IF(VLOOKUP(B176,Aaradhak_Details!$E:$I,5,FALSE)&lt;&gt;"",VLOOKUP(B176,Aaradhak_Details!$E:$I,5,FALSE),Actual_Data!E176),Actual_Data!E176)</f>
        <v>9098122722</v>
      </c>
      <c r="F176" s="118" t="str">
        <f t="array" ref="F176">IFERROR(
  INDEX(Aaradhak_Details!J:J, MATCH(B176, Aaradhak_Details!E:E, 0)),
  ""
)
</f>
        <v>https://drive.google.com/open?id=1c7G83d4m0gS77xJMB19v2YyPZ7FjrFEb</v>
      </c>
    </row>
    <row r="177" ht="22.5" customHeight="1">
      <c r="A177" s="116" t="str">
        <f>Actual_Data!C177</f>
        <v>Monika Jain S</v>
      </c>
      <c r="B177" s="117">
        <f>Actual_Data!B177</f>
        <v>197</v>
      </c>
      <c r="C177" s="117">
        <f>IFERROR(IF(VLOOKUP(B177,Aaradhak_Details!$E:$F,2,FALSE)&lt;&gt;"",VLOOKUP(B177,Aaradhak_Details!$E:$F,2,FALSE),Actual_Data!D177),Actual_Data!D177)</f>
        <v>21</v>
      </c>
      <c r="D177" s="116" t="str">
        <f>IFERROR(VLOOKUP(B177,Aaradhak_Details!$E:$G,3,FALSE),"")</f>
        <v>O +ve</v>
      </c>
      <c r="E177" s="117">
        <f>IFERROR(IF(VLOOKUP(B177,Aaradhak_Details!$E:$I,5,FALSE)&lt;&gt;"",VLOOKUP(B177,Aaradhak_Details!$E:$I,5,FALSE),Actual_Data!E177),Actual_Data!E177)</f>
        <v>9535609505</v>
      </c>
      <c r="F177" s="118" t="str">
        <f t="array" ref="F177">IFERROR(
  INDEX(Aaradhak_Details!J:J, MATCH(B177, Aaradhak_Details!E:E, 0)),
  ""
)
</f>
        <v>https://drive.google.com/open?id=1Ll1aQne425LxIYsKagRUIL0C4qsj2tss</v>
      </c>
    </row>
    <row r="178" ht="22.5" customHeight="1">
      <c r="A178" s="116" t="str">
        <f>Actual_Data!C178</f>
        <v>Monika Rajendra Khivsara</v>
      </c>
      <c r="B178" s="117">
        <f>Actual_Data!B178</f>
        <v>198</v>
      </c>
      <c r="C178" s="117">
        <f>IFERROR(IF(VLOOKUP(B178,Aaradhak_Details!$E:$F,2,FALSE)&lt;&gt;"",VLOOKUP(B178,Aaradhak_Details!$E:$F,2,FALSE),Actual_Data!D178),Actual_Data!D178)</f>
        <v>22</v>
      </c>
      <c r="D178" s="116" t="str">
        <f>IFERROR(VLOOKUP(B178,Aaradhak_Details!$E:$G,3,FALSE),"")</f>
        <v>O +ve</v>
      </c>
      <c r="E178" s="117">
        <f>IFERROR(IF(VLOOKUP(B178,Aaradhak_Details!$E:$I,5,FALSE)&lt;&gt;"",VLOOKUP(B178,Aaradhak_Details!$E:$I,5,FALSE),Actual_Data!E178),Actual_Data!E178)</f>
        <v>9881427520</v>
      </c>
      <c r="F178" s="118" t="str">
        <f t="array" ref="F178">IFERROR(
  INDEX(Aaradhak_Details!J:J, MATCH(B178, Aaradhak_Details!E:E, 0)),
  ""
)
</f>
        <v>https://drive.google.com/open?id=1LkY67rENy-3fd9KV2pi03wjx3bPoWW_3</v>
      </c>
    </row>
    <row r="179" ht="22.5" customHeight="1">
      <c r="A179" s="116" t="str">
        <f>Actual_Data!C179</f>
        <v>Neha Narendra Jain </v>
      </c>
      <c r="B179" s="117">
        <f>Actual_Data!B179</f>
        <v>201</v>
      </c>
      <c r="C179" s="117">
        <f>IFERROR(IF(VLOOKUP(B179,Aaradhak_Details!$E:$F,2,FALSE)&lt;&gt;"",VLOOKUP(B179,Aaradhak_Details!$E:$F,2,FALSE),Actual_Data!D179),Actual_Data!D179)</f>
        <v>19</v>
      </c>
      <c r="D179" s="116" t="str">
        <f>IFERROR(VLOOKUP(B179,Aaradhak_Details!$E:$G,3,FALSE),"")</f>
        <v>AB +ve</v>
      </c>
      <c r="E179" s="117">
        <f>IFERROR(IF(VLOOKUP(B179,Aaradhak_Details!$E:$I,5,FALSE)&lt;&gt;"",VLOOKUP(B179,Aaradhak_Details!$E:$I,5,FALSE),Actual_Data!E179),Actual_Data!E179)</f>
        <v>9869942158</v>
      </c>
      <c r="F179" s="118" t="str">
        <f t="array" ref="F179">IFERROR(
  INDEX(Aaradhak_Details!J:J, MATCH(B179, Aaradhak_Details!E:E, 0)),
  ""
)
</f>
        <v>https://drive.google.com/open?id=17ONIpdvLiIi5Z1QbgP9CIObTi1PbtRFM</v>
      </c>
    </row>
    <row r="180" ht="22.5" customHeight="1">
      <c r="A180" s="116" t="str">
        <f>Actual_Data!C180</f>
        <v>Nidhi Sethiya</v>
      </c>
      <c r="B180" s="117">
        <f>Actual_Data!B180</f>
        <v>202</v>
      </c>
      <c r="C180" s="117" t="str">
        <f>IFERROR(IF(VLOOKUP(B180,Aaradhak_Details!$E:$F,2,FALSE)&lt;&gt;"",VLOOKUP(B180,Aaradhak_Details!$E:$F,2,FALSE),Actual_Data!D180),Actual_Data!D180)</f>
        <v/>
      </c>
      <c r="D180" s="116" t="str">
        <f>IFERROR(VLOOKUP(B180,Aaradhak_Details!$E:$G,3,FALSE),"")</f>
        <v/>
      </c>
      <c r="E180" s="117">
        <f>IFERROR(IF(VLOOKUP(B180,Aaradhak_Details!$E:$I,5,FALSE)&lt;&gt;"",VLOOKUP(B180,Aaradhak_Details!$E:$I,5,FALSE),Actual_Data!E180),Actual_Data!E180)</f>
        <v>9009040175</v>
      </c>
      <c r="F180" s="94" t="str">
        <f t="array" ref="F180">IFERROR(
  INDEX(Aaradhak_Details!J:J, MATCH(B180, Aaradhak_Details!E:E, 0)),
  ""
)
</f>
        <v/>
      </c>
    </row>
    <row r="181" ht="22.5" customHeight="1">
      <c r="A181" s="116" t="str">
        <f>Actual_Data!C181</f>
        <v>Nidhi Vasant Shah</v>
      </c>
      <c r="B181" s="117">
        <f>Actual_Data!B181</f>
        <v>203</v>
      </c>
      <c r="C181" s="117">
        <f>IFERROR(IF(VLOOKUP(B181,Aaradhak_Details!$E:$F,2,FALSE)&lt;&gt;"",VLOOKUP(B181,Aaradhak_Details!$E:$F,2,FALSE),Actual_Data!D181),Actual_Data!D181)</f>
        <v>30</v>
      </c>
      <c r="D181" s="116" t="str">
        <f>IFERROR(VLOOKUP(B181,Aaradhak_Details!$E:$G,3,FALSE),"")</f>
        <v/>
      </c>
      <c r="E181" s="117">
        <f>IFERROR(IF(VLOOKUP(B181,Aaradhak_Details!$E:$I,5,FALSE)&lt;&gt;"",VLOOKUP(B181,Aaradhak_Details!$E:$I,5,FALSE),Actual_Data!E181),Actual_Data!E181)</f>
        <v>9172296681</v>
      </c>
      <c r="F181" s="94" t="str">
        <f t="array" ref="F181">IFERROR(
  INDEX(Aaradhak_Details!J:J, MATCH(B181, Aaradhak_Details!E:E, 0)),
  ""
)
</f>
        <v/>
      </c>
    </row>
    <row r="182" ht="22.5" customHeight="1">
      <c r="A182" s="116" t="str">
        <f>Actual_Data!C182</f>
        <v>Niki Pritesh Gandhi </v>
      </c>
      <c r="B182" s="117">
        <f>Actual_Data!B182</f>
        <v>204</v>
      </c>
      <c r="C182" s="117">
        <f>IFERROR(IF(VLOOKUP(B182,Aaradhak_Details!$E:$F,2,FALSE)&lt;&gt;"",VLOOKUP(B182,Aaradhak_Details!$E:$F,2,FALSE),Actual_Data!D182),Actual_Data!D182)</f>
        <v>20</v>
      </c>
      <c r="D182" s="116" t="str">
        <f>IFERROR(VLOOKUP(B182,Aaradhak_Details!$E:$G,3,FALSE),"")</f>
        <v>O +ve</v>
      </c>
      <c r="E182" s="117">
        <f>IFERROR(IF(VLOOKUP(B182,Aaradhak_Details!$E:$I,5,FALSE)&lt;&gt;"",VLOOKUP(B182,Aaradhak_Details!$E:$I,5,FALSE),Actual_Data!E182),Actual_Data!E182)</f>
        <v>9420782349</v>
      </c>
      <c r="F182" s="118" t="str">
        <f t="array" ref="F182">IFERROR(
  INDEX(Aaradhak_Details!J:J, MATCH(B182, Aaradhak_Details!E:E, 0)),
  ""
)
</f>
        <v>https://drive.google.com/open?id=1CLKZ0nY5JG1MRg4q1Hh1jijPcVIw4ZQm</v>
      </c>
    </row>
    <row r="183" ht="22.5" customHeight="1">
      <c r="A183" s="116" t="str">
        <f>Actual_Data!C183</f>
        <v>Nikita shah</v>
      </c>
      <c r="B183" s="117">
        <f>Actual_Data!B183</f>
        <v>205</v>
      </c>
      <c r="C183" s="117">
        <f>IFERROR(IF(VLOOKUP(B183,Aaradhak_Details!$E:$F,2,FALSE)&lt;&gt;"",VLOOKUP(B183,Aaradhak_Details!$E:$F,2,FALSE),Actual_Data!D183),Actual_Data!D183)</f>
        <v>35</v>
      </c>
      <c r="D183" s="116" t="str">
        <f>IFERROR(VLOOKUP(B183,Aaradhak_Details!$E:$G,3,FALSE),"")</f>
        <v>O -ve</v>
      </c>
      <c r="E183" s="117">
        <f>IFERROR(IF(VLOOKUP(B183,Aaradhak_Details!$E:$I,5,FALSE)&lt;&gt;"",VLOOKUP(B183,Aaradhak_Details!$E:$I,5,FALSE),Actual_Data!E183),Actual_Data!E183)</f>
        <v>9819001136</v>
      </c>
      <c r="F183" s="118" t="str">
        <f t="array" ref="F183">IFERROR(
  INDEX(Aaradhak_Details!J:J, MATCH(B183, Aaradhak_Details!E:E, 0)),
  ""
)
</f>
        <v>https://drive.google.com/open?id=1sCJ4RM18VyiVIRtyt1g5KcJTJwTNuaE-</v>
      </c>
    </row>
    <row r="184" ht="22.5" customHeight="1">
      <c r="A184" s="116" t="str">
        <f>Actual_Data!C184</f>
        <v>Nishi </v>
      </c>
      <c r="B184" s="117">
        <f>Actual_Data!B184</f>
        <v>207</v>
      </c>
      <c r="C184" s="117">
        <f>IFERROR(IF(VLOOKUP(B184,Aaradhak_Details!$E:$F,2,FALSE)&lt;&gt;"",VLOOKUP(B184,Aaradhak_Details!$E:$F,2,FALSE),Actual_Data!D184),Actual_Data!D184)</f>
        <v>21</v>
      </c>
      <c r="D184" s="116" t="str">
        <f>IFERROR(VLOOKUP(B184,Aaradhak_Details!$E:$G,3,FALSE),"")</f>
        <v>O +ve</v>
      </c>
      <c r="E184" s="117">
        <f>IFERROR(IF(VLOOKUP(B184,Aaradhak_Details!$E:$I,5,FALSE)&lt;&gt;"",VLOOKUP(B184,Aaradhak_Details!$E:$I,5,FALSE),Actual_Data!E184),Actual_Data!E184)</f>
        <v>8792786786</v>
      </c>
      <c r="F184" s="118" t="str">
        <f t="array" ref="F184">IFERROR(
  INDEX(Aaradhak_Details!J:J, MATCH(B184, Aaradhak_Details!E:E, 0)),
  ""
)
</f>
        <v>https://drive.google.com/open?id=1qg4dUfQzG0bPLxflkt-HJNOL8IVdDi_P</v>
      </c>
    </row>
    <row r="185" ht="22.5" customHeight="1">
      <c r="A185" s="116" t="str">
        <f>Actual_Data!C185</f>
        <v>Nupur Dhirendra Shah </v>
      </c>
      <c r="B185" s="117">
        <f>Actual_Data!B185</f>
        <v>208</v>
      </c>
      <c r="C185" s="117">
        <f>IFERROR(IF(VLOOKUP(B185,Aaradhak_Details!$E:$F,2,FALSE)&lt;&gt;"",VLOOKUP(B185,Aaradhak_Details!$E:$F,2,FALSE),Actual_Data!D185),Actual_Data!D185)</f>
        <v>20</v>
      </c>
      <c r="D185" s="116" t="str">
        <f>IFERROR(VLOOKUP(B185,Aaradhak_Details!$E:$G,3,FALSE),"")</f>
        <v>O +ve</v>
      </c>
      <c r="E185" s="117">
        <f>IFERROR(IF(VLOOKUP(B185,Aaradhak_Details!$E:$I,5,FALSE)&lt;&gt;"",VLOOKUP(B185,Aaradhak_Details!$E:$I,5,FALSE),Actual_Data!E185),Actual_Data!E185)</f>
        <v>9321120250</v>
      </c>
      <c r="F185" s="118" t="str">
        <f t="array" ref="F185">IFERROR(
  INDEX(Aaradhak_Details!J:J, MATCH(B185, Aaradhak_Details!E:E, 0)),
  ""
)
</f>
        <v>https://drive.google.com/open?id=1OkV0sr2PaZrqhNmTAeOR7-Ni53pmkjyE</v>
      </c>
    </row>
    <row r="186" ht="22.5" customHeight="1">
      <c r="A186" s="116" t="str">
        <f>Actual_Data!C186</f>
        <v>Palak Dodhia</v>
      </c>
      <c r="B186" s="117">
        <f>Actual_Data!B186</f>
        <v>209</v>
      </c>
      <c r="C186" s="117">
        <f>IFERROR(IF(VLOOKUP(B186,Aaradhak_Details!$E:$F,2,FALSE)&lt;&gt;"",VLOOKUP(B186,Aaradhak_Details!$E:$F,2,FALSE),Actual_Data!D186),Actual_Data!D186)</f>
        <v>22</v>
      </c>
      <c r="D186" s="116" t="str">
        <f>IFERROR(VLOOKUP(B186,Aaradhak_Details!$E:$G,3,FALSE),"")</f>
        <v>O +ve</v>
      </c>
      <c r="E186" s="117">
        <f>IFERROR(IF(VLOOKUP(B186,Aaradhak_Details!$E:$I,5,FALSE)&lt;&gt;"",VLOOKUP(B186,Aaradhak_Details!$E:$I,5,FALSE),Actual_Data!E186),Actual_Data!E186)</f>
        <v>9405322004</v>
      </c>
      <c r="F186" s="118" t="str">
        <f t="array" ref="F186">IFERROR(
  INDEX(Aaradhak_Details!J:J, MATCH(B186, Aaradhak_Details!E:E, 0)),
  ""
)
</f>
        <v>https://drive.google.com/open?id=1JGG82TNoAZI8nxzIW1nWZ2zW4g_evf0w</v>
      </c>
    </row>
    <row r="187" ht="22.5" customHeight="1">
      <c r="A187" s="116" t="str">
        <f>Actual_Data!C187</f>
        <v>Palak Ramanand Nayak </v>
      </c>
      <c r="B187" s="117">
        <f>Actual_Data!B187</f>
        <v>211</v>
      </c>
      <c r="C187" s="117">
        <f>IFERROR(IF(VLOOKUP(B187,Aaradhak_Details!$E:$F,2,FALSE)&lt;&gt;"",VLOOKUP(B187,Aaradhak_Details!$E:$F,2,FALSE),Actual_Data!D187),Actual_Data!D187)</f>
        <v>18</v>
      </c>
      <c r="D187" s="116" t="str">
        <f>IFERROR(VLOOKUP(B187,Aaradhak_Details!$E:$G,3,FALSE),"")</f>
        <v>A +ve</v>
      </c>
      <c r="E187" s="117">
        <f>IFERROR(IF(VLOOKUP(B187,Aaradhak_Details!$E:$I,5,FALSE)&lt;&gt;"",VLOOKUP(B187,Aaradhak_Details!$E:$I,5,FALSE),Actual_Data!E187),Actual_Data!E187)</f>
        <v>9975918150</v>
      </c>
      <c r="F187" s="118" t="str">
        <f t="array" ref="F187">IFERROR(
  INDEX(Aaradhak_Details!J:J, MATCH(B187, Aaradhak_Details!E:E, 0)),
  ""
)
</f>
        <v>https://drive.google.com/open?id=1rCL4IF45tNwpSOQzwBM7nJLRLEAsB4pi</v>
      </c>
    </row>
    <row r="188" ht="22.5" customHeight="1">
      <c r="A188" s="116" t="str">
        <f>Actual_Data!C188</f>
        <v>Palak Shailesh Gosrani</v>
      </c>
      <c r="B188" s="117">
        <f>Actual_Data!B188</f>
        <v>212</v>
      </c>
      <c r="C188" s="117">
        <f>IFERROR(IF(VLOOKUP(B188,Aaradhak_Details!$E:$F,2,FALSE)&lt;&gt;"",VLOOKUP(B188,Aaradhak_Details!$E:$F,2,FALSE),Actual_Data!D188),Actual_Data!D188)</f>
        <v>18</v>
      </c>
      <c r="D188" s="116" t="str">
        <f>IFERROR(VLOOKUP(B188,Aaradhak_Details!$E:$G,3,FALSE),"")</f>
        <v>B +ve</v>
      </c>
      <c r="E188" s="117">
        <f>IFERROR(IF(VLOOKUP(B188,Aaradhak_Details!$E:$I,5,FALSE)&lt;&gt;"",VLOOKUP(B188,Aaradhak_Details!$E:$I,5,FALSE),Actual_Data!E188),Actual_Data!E188)</f>
        <v>9112742061</v>
      </c>
      <c r="F188" s="118" t="str">
        <f t="array" ref="F188">IFERROR(
  INDEX(Aaradhak_Details!J:J, MATCH(B188, Aaradhak_Details!E:E, 0)),
  ""
)
</f>
        <v>https://drive.google.com/open?id=13OlbmMltwQ3XdUOhcPiScjY95u5Igr6B</v>
      </c>
    </row>
    <row r="189" ht="22.5" customHeight="1">
      <c r="A189" s="116" t="str">
        <f>Actual_Data!C189</f>
        <v>Pallavi jain </v>
      </c>
      <c r="B189" s="117">
        <f>Actual_Data!B189</f>
        <v>213</v>
      </c>
      <c r="C189" s="117">
        <f>IFERROR(IF(VLOOKUP(B189,Aaradhak_Details!$E:$F,2,FALSE)&lt;&gt;"",VLOOKUP(B189,Aaradhak_Details!$E:$F,2,FALSE),Actual_Data!D189),Actual_Data!D189)</f>
        <v>33</v>
      </c>
      <c r="D189" s="116" t="str">
        <f>IFERROR(VLOOKUP(B189,Aaradhak_Details!$E:$G,3,FALSE),"")</f>
        <v>O +ve</v>
      </c>
      <c r="E189" s="117">
        <f>IFERROR(IF(VLOOKUP(B189,Aaradhak_Details!$E:$I,5,FALSE)&lt;&gt;"",VLOOKUP(B189,Aaradhak_Details!$E:$I,5,FALSE),Actual_Data!E189),Actual_Data!E189)</f>
        <v>9009015500</v>
      </c>
      <c r="F189" s="118" t="str">
        <f t="array" ref="F189">IFERROR(
  INDEX(Aaradhak_Details!J:J, MATCH(B189, Aaradhak_Details!E:E, 0)),
  ""
)
</f>
        <v>https://drive.google.com/open?id=1da6T3uluUg3uuTibZ4I1Pq7P8Vtw8FY0</v>
      </c>
    </row>
    <row r="190" ht="22.5" customHeight="1">
      <c r="A190" s="116" t="str">
        <f>Actual_Data!C190</f>
        <v>Parekh Binita Alpesh</v>
      </c>
      <c r="B190" s="117">
        <f>Actual_Data!B190</f>
        <v>214</v>
      </c>
      <c r="C190" s="117">
        <f>IFERROR(IF(VLOOKUP(B190,Aaradhak_Details!$E:$F,2,FALSE)&lt;&gt;"",VLOOKUP(B190,Aaradhak_Details!$E:$F,2,FALSE),Actual_Data!D190),Actual_Data!D190)</f>
        <v>25</v>
      </c>
      <c r="D190" s="116" t="str">
        <f>IFERROR(VLOOKUP(B190,Aaradhak_Details!$E:$G,3,FALSE),"")</f>
        <v>O +ve</v>
      </c>
      <c r="E190" s="117">
        <f>IFERROR(IF(VLOOKUP(B190,Aaradhak_Details!$E:$I,5,FALSE)&lt;&gt;"",VLOOKUP(B190,Aaradhak_Details!$E:$I,5,FALSE),Actual_Data!E190),Actual_Data!E190)</f>
        <v>9484994344</v>
      </c>
      <c r="F190" s="118" t="str">
        <f t="array" ref="F190">IFERROR(
  INDEX(Aaradhak_Details!J:J, MATCH(B190, Aaradhak_Details!E:E, 0)),
  ""
)
</f>
        <v>https://drive.google.com/open?id=1EZFgRtoyg2Ylv-8HIo2HZID2VEAtyHog</v>
      </c>
    </row>
    <row r="191" ht="22.5" customHeight="1">
      <c r="A191" s="116" t="str">
        <f>Actual_Data!C191</f>
        <v>Payal Amit Shah</v>
      </c>
      <c r="B191" s="117">
        <f>Actual_Data!B191</f>
        <v>215</v>
      </c>
      <c r="C191" s="117">
        <f>IFERROR(IF(VLOOKUP(B191,Aaradhak_Details!$E:$F,2,FALSE)&lt;&gt;"",VLOOKUP(B191,Aaradhak_Details!$E:$F,2,FALSE),Actual_Data!D191),Actual_Data!D191)</f>
        <v>42</v>
      </c>
      <c r="D191" s="116" t="str">
        <f>IFERROR(VLOOKUP(B191,Aaradhak_Details!$E:$G,3,FALSE),"")</f>
        <v>O +ve</v>
      </c>
      <c r="E191" s="117">
        <f>IFERROR(IF(VLOOKUP(B191,Aaradhak_Details!$E:$I,5,FALSE)&lt;&gt;"",VLOOKUP(B191,Aaradhak_Details!$E:$I,5,FALSE),Actual_Data!E191),Actual_Data!E191)</f>
        <v>9725467750</v>
      </c>
      <c r="F191" s="118" t="str">
        <f t="array" ref="F191">IFERROR(
  INDEX(Aaradhak_Details!J:J, MATCH(B191, Aaradhak_Details!E:E, 0)),
  ""
)
</f>
        <v>https://drive.google.com/open?id=10YtDu2_D7yd_8hKedjUGZ1ANIvsnt32Q</v>
      </c>
    </row>
    <row r="192" ht="22.5" customHeight="1">
      <c r="A192" s="116" t="str">
        <f>Actual_Data!C192</f>
        <v>Payal Navinchandra Gosrani </v>
      </c>
      <c r="B192" s="117">
        <f>Actual_Data!B192</f>
        <v>216</v>
      </c>
      <c r="C192" s="117">
        <f>IFERROR(IF(VLOOKUP(B192,Aaradhak_Details!$E:$F,2,FALSE)&lt;&gt;"",VLOOKUP(B192,Aaradhak_Details!$E:$F,2,FALSE),Actual_Data!D192),Actual_Data!D192)</f>
        <v>28</v>
      </c>
      <c r="D192" s="116" t="str">
        <f>IFERROR(VLOOKUP(B192,Aaradhak_Details!$E:$G,3,FALSE),"")</f>
        <v>B +ve</v>
      </c>
      <c r="E192" s="117">
        <f>IFERROR(IF(VLOOKUP(B192,Aaradhak_Details!$E:$I,5,FALSE)&lt;&gt;"",VLOOKUP(B192,Aaradhak_Details!$E:$I,5,FALSE),Actual_Data!E192),Actual_Data!E192)</f>
        <v>7715926558</v>
      </c>
      <c r="F192" s="118" t="str">
        <f t="array" ref="F192">IFERROR(
  INDEX(Aaradhak_Details!J:J, MATCH(B192, Aaradhak_Details!E:E, 0)),
  ""
)
</f>
        <v>https://drive.google.com/open?id=1vwGPqk8llu1WH3OclRHYOFwQm93_ZVMh</v>
      </c>
    </row>
    <row r="193" ht="22.5" customHeight="1">
      <c r="A193" s="116" t="str">
        <f>Actual_Data!C193</f>
        <v>Payal Rajesh jain (baradia)</v>
      </c>
      <c r="B193" s="117">
        <f>Actual_Data!B193</f>
        <v>217</v>
      </c>
      <c r="C193" s="117">
        <f>IFERROR(IF(VLOOKUP(B193,Aaradhak_Details!$E:$F,2,FALSE)&lt;&gt;"",VLOOKUP(B193,Aaradhak_Details!$E:$F,2,FALSE),Actual_Data!D193),Actual_Data!D193)</f>
        <v>21</v>
      </c>
      <c r="D193" s="116" t="str">
        <f>IFERROR(VLOOKUP(B193,Aaradhak_Details!$E:$G,3,FALSE),"")</f>
        <v>A +ve</v>
      </c>
      <c r="E193" s="117">
        <f>IFERROR(IF(VLOOKUP(B193,Aaradhak_Details!$E:$I,5,FALSE)&lt;&gt;"",VLOOKUP(B193,Aaradhak_Details!$E:$I,5,FALSE),Actual_Data!E193),Actual_Data!E193)</f>
        <v>8379892112</v>
      </c>
      <c r="F193" s="118" t="str">
        <f t="array" ref="F193">IFERROR(
  INDEX(Aaradhak_Details!J:J, MATCH(B193, Aaradhak_Details!E:E, 0)),
  ""
)
</f>
        <v>https://drive.google.com/open?id=1qMxCsI8j9IJtcuj8RBRa_0U8c-3q5-7p</v>
      </c>
    </row>
    <row r="194" ht="22.5" customHeight="1">
      <c r="A194" s="116" t="str">
        <f>Actual_Data!C194</f>
        <v>Payal Vinod Palesha</v>
      </c>
      <c r="B194" s="117">
        <f>Actual_Data!B194</f>
        <v>218</v>
      </c>
      <c r="C194" s="117">
        <f>IFERROR(IF(VLOOKUP(B194,Aaradhak_Details!$E:$F,2,FALSE)&lt;&gt;"",VLOOKUP(B194,Aaradhak_Details!$E:$F,2,FALSE),Actual_Data!D194),Actual_Data!D194)</f>
        <v>25</v>
      </c>
      <c r="D194" s="116" t="str">
        <f>IFERROR(VLOOKUP(B194,Aaradhak_Details!$E:$G,3,FALSE),"")</f>
        <v>A +ve</v>
      </c>
      <c r="E194" s="117">
        <f>IFERROR(IF(VLOOKUP(B194,Aaradhak_Details!$E:$I,5,FALSE)&lt;&gt;"",VLOOKUP(B194,Aaradhak_Details!$E:$I,5,FALSE),Actual_Data!E194),Actual_Data!E194)</f>
        <v>9421530838</v>
      </c>
      <c r="F194" s="118" t="str">
        <f t="array" ref="F194">IFERROR(
  INDEX(Aaradhak_Details!J:J, MATCH(B194, Aaradhak_Details!E:E, 0)),
  ""
)
</f>
        <v>https://drive.google.com/open?id=1mukeBSfKWDU3KxCCbUrPpX2SA5ngx0Lu</v>
      </c>
    </row>
    <row r="195" ht="22.5" customHeight="1">
      <c r="A195" s="116" t="str">
        <f>Actual_Data!C195</f>
        <v>POOJA ASHOK JAKHARIYA</v>
      </c>
      <c r="B195" s="117">
        <f>Actual_Data!B195</f>
        <v>219</v>
      </c>
      <c r="C195" s="117">
        <f>IFERROR(IF(VLOOKUP(B195,Aaradhak_Details!$E:$F,2,FALSE)&lt;&gt;"",VLOOKUP(B195,Aaradhak_Details!$E:$F,2,FALSE),Actual_Data!D195),Actual_Data!D195)</f>
        <v>25</v>
      </c>
      <c r="D195" s="116" t="str">
        <f>IFERROR(VLOOKUP(B195,Aaradhak_Details!$E:$G,3,FALSE),"")</f>
        <v>AB +ve</v>
      </c>
      <c r="E195" s="117">
        <f>IFERROR(IF(VLOOKUP(B195,Aaradhak_Details!$E:$I,5,FALSE)&lt;&gt;"",VLOOKUP(B195,Aaradhak_Details!$E:$I,5,FALSE),Actual_Data!E195),Actual_Data!E195)</f>
        <v>9322164525</v>
      </c>
      <c r="F195" s="118" t="str">
        <f t="array" ref="F195">IFERROR(
  INDEX(Aaradhak_Details!J:J, MATCH(B195, Aaradhak_Details!E:E, 0)),
  ""
)
</f>
        <v>https://drive.google.com/open?id=1ioJAeyMfNgN0gAIwet7k1pKHG5YdITPP</v>
      </c>
    </row>
    <row r="196" ht="22.5" customHeight="1">
      <c r="A196" s="116" t="str">
        <f>Actual_Data!C196</f>
        <v>Pooja Jain</v>
      </c>
      <c r="B196" s="117">
        <f>Actual_Data!B196</f>
        <v>220</v>
      </c>
      <c r="C196" s="117">
        <f>IFERROR(IF(VLOOKUP(B196,Aaradhak_Details!$E:$F,2,FALSE)&lt;&gt;"",VLOOKUP(B196,Aaradhak_Details!$E:$F,2,FALSE),Actual_Data!D196),Actual_Data!D196)</f>
        <v>32</v>
      </c>
      <c r="D196" s="116" t="str">
        <f>IFERROR(VLOOKUP(B196,Aaradhak_Details!$E:$G,3,FALSE),"")</f>
        <v>A +ve</v>
      </c>
      <c r="E196" s="117">
        <f>IFERROR(IF(VLOOKUP(B196,Aaradhak_Details!$E:$I,5,FALSE)&lt;&gt;"",VLOOKUP(B196,Aaradhak_Details!$E:$I,5,FALSE),Actual_Data!E196),Actual_Data!E196)</f>
        <v>9905734583</v>
      </c>
      <c r="F196" s="118" t="str">
        <f t="array" ref="F196">IFERROR(
  INDEX(Aaradhak_Details!J:J, MATCH(B196, Aaradhak_Details!E:E, 0)),
  ""
)
</f>
        <v>https://drive.google.com/open?id=1_qhK1zCFc2IZVQmNRbIC3xB5A9VNaIt6</v>
      </c>
    </row>
    <row r="197" ht="22.5" customHeight="1">
      <c r="A197" s="116" t="str">
        <f>Actual_Data!C197</f>
        <v>Pooja kalpesh dodhia</v>
      </c>
      <c r="B197" s="117">
        <f>Actual_Data!B197</f>
        <v>221</v>
      </c>
      <c r="C197" s="117">
        <f>IFERROR(IF(VLOOKUP(B197,Aaradhak_Details!$E:$F,2,FALSE)&lt;&gt;"",VLOOKUP(B197,Aaradhak_Details!$E:$F,2,FALSE),Actual_Data!D197),Actual_Data!D197)</f>
        <v>24</v>
      </c>
      <c r="D197" s="116" t="str">
        <f>IFERROR(VLOOKUP(B197,Aaradhak_Details!$E:$G,3,FALSE),"")</f>
        <v>AB +ve</v>
      </c>
      <c r="E197" s="117">
        <f>IFERROR(IF(VLOOKUP(B197,Aaradhak_Details!$E:$I,5,FALSE)&lt;&gt;"",VLOOKUP(B197,Aaradhak_Details!$E:$I,5,FALSE),Actual_Data!E197),Actual_Data!E197)</f>
        <v>9975983170</v>
      </c>
      <c r="F197" s="118" t="str">
        <f t="array" ref="F197">IFERROR(
  INDEX(Aaradhak_Details!J:J, MATCH(B197, Aaradhak_Details!E:E, 0)),
  ""
)
</f>
        <v>https://drive.google.com/open?id=1vEwEjAotC25WTEMDriLTC1zi-R_h0FqE</v>
      </c>
    </row>
    <row r="198" ht="22.5" customHeight="1">
      <c r="A198" s="116" t="str">
        <f>Actual_Data!C198</f>
        <v>Prachi Haria</v>
      </c>
      <c r="B198" s="117">
        <f>Actual_Data!B198</f>
        <v>224</v>
      </c>
      <c r="C198" s="117">
        <f>IFERROR(IF(VLOOKUP(B198,Aaradhak_Details!$E:$F,2,FALSE)&lt;&gt;"",VLOOKUP(B198,Aaradhak_Details!$E:$F,2,FALSE),Actual_Data!D198),Actual_Data!D198)</f>
        <v>25</v>
      </c>
      <c r="D198" s="116" t="str">
        <f>IFERROR(VLOOKUP(B198,Aaradhak_Details!$E:$G,3,FALSE),"")</f>
        <v>B +ve</v>
      </c>
      <c r="E198" s="117">
        <f>IFERROR(IF(VLOOKUP(B198,Aaradhak_Details!$E:$I,5,FALSE)&lt;&gt;"",VLOOKUP(B198,Aaradhak_Details!$E:$I,5,FALSE),Actual_Data!E198),Actual_Data!E198)</f>
        <v>9975789011</v>
      </c>
      <c r="F198" s="118" t="str">
        <f t="array" ref="F198">IFERROR(
  INDEX(Aaradhak_Details!J:J, MATCH(B198, Aaradhak_Details!E:E, 0)),
  ""
)
</f>
        <v>https://drive.google.com/open?id=1p132c0CrDkJ8JTwASBtclKla1AzuZ0qC</v>
      </c>
    </row>
    <row r="199" ht="22.5" customHeight="1">
      <c r="A199" s="116" t="str">
        <f>Actual_Data!C199</f>
        <v>Prachi jain </v>
      </c>
      <c r="B199" s="117">
        <f>Actual_Data!B199</f>
        <v>225</v>
      </c>
      <c r="C199" s="117">
        <f>IFERROR(IF(VLOOKUP(B199,Aaradhak_Details!$E:$F,2,FALSE)&lt;&gt;"",VLOOKUP(B199,Aaradhak_Details!$E:$F,2,FALSE),Actual_Data!D199),Actual_Data!D199)</f>
        <v>19</v>
      </c>
      <c r="D199" s="116" t="str">
        <f>IFERROR(VLOOKUP(B199,Aaradhak_Details!$E:$G,3,FALSE),"")</f>
        <v/>
      </c>
      <c r="E199" s="117">
        <f>IFERROR(IF(VLOOKUP(B199,Aaradhak_Details!$E:$I,5,FALSE)&lt;&gt;"",VLOOKUP(B199,Aaradhak_Details!$E:$I,5,FALSE),Actual_Data!E199),Actual_Data!E199)</f>
        <v>7019265088</v>
      </c>
      <c r="F199" s="94" t="str">
        <f t="array" ref="F199">IFERROR(
  INDEX(Aaradhak_Details!J:J, MATCH(B199, Aaradhak_Details!E:E, 0)),
  ""
)
</f>
        <v/>
      </c>
    </row>
    <row r="200" ht="22.5" customHeight="1">
      <c r="A200" s="116" t="str">
        <f>Actual_Data!C200</f>
        <v>Prachi Jain </v>
      </c>
      <c r="B200" s="117">
        <f>Actual_Data!B200</f>
        <v>226</v>
      </c>
      <c r="C200" s="117">
        <f>IFERROR(IF(VLOOKUP(B200,Aaradhak_Details!$E:$F,2,FALSE)&lt;&gt;"",VLOOKUP(B200,Aaradhak_Details!$E:$F,2,FALSE),Actual_Data!D200),Actual_Data!D200)</f>
        <v>17</v>
      </c>
      <c r="D200" s="116" t="str">
        <f>IFERROR(VLOOKUP(B200,Aaradhak_Details!$E:$G,3,FALSE),"")</f>
        <v/>
      </c>
      <c r="E200" s="117">
        <f>IFERROR(IF(VLOOKUP(B200,Aaradhak_Details!$E:$I,5,FALSE)&lt;&gt;"",VLOOKUP(B200,Aaradhak_Details!$E:$I,5,FALSE),Actual_Data!E200),Actual_Data!E200)</f>
        <v>7869533177</v>
      </c>
      <c r="F200" s="94" t="str">
        <f t="array" ref="F200">IFERROR(
  INDEX(Aaradhak_Details!J:J, MATCH(B200, Aaradhak_Details!E:E, 0)),
  ""
)
</f>
        <v/>
      </c>
    </row>
    <row r="201" ht="22.5" customHeight="1">
      <c r="A201" s="116" t="str">
        <f>Actual_Data!C201</f>
        <v>Prachi Kamdar</v>
      </c>
      <c r="B201" s="117">
        <f>Actual_Data!B201</f>
        <v>227</v>
      </c>
      <c r="C201" s="117">
        <f>IFERROR(IF(VLOOKUP(B201,Aaradhak_Details!$E:$F,2,FALSE)&lt;&gt;"",VLOOKUP(B201,Aaradhak_Details!$E:$F,2,FALSE),Actual_Data!D201),Actual_Data!D201)</f>
        <v>22</v>
      </c>
      <c r="D201" s="116" t="str">
        <f>IFERROR(VLOOKUP(B201,Aaradhak_Details!$E:$G,3,FALSE),"")</f>
        <v>O +ve</v>
      </c>
      <c r="E201" s="117">
        <f>IFERROR(IF(VLOOKUP(B201,Aaradhak_Details!$E:$I,5,FALSE)&lt;&gt;"",VLOOKUP(B201,Aaradhak_Details!$E:$I,5,FALSE),Actual_Data!E201),Actual_Data!E201)</f>
        <v>9428467102</v>
      </c>
      <c r="F201" s="118" t="str">
        <f t="array" ref="F201">IFERROR(
  INDEX(Aaradhak_Details!J:J, MATCH(B201, Aaradhak_Details!E:E, 0)),
  ""
)
</f>
        <v>https://drive.google.com/open?id=1oj-iDlJXjog5kHp_psdgfs0Ht-3DNlJs</v>
      </c>
    </row>
    <row r="202" ht="22.5" customHeight="1">
      <c r="A202" s="116" t="str">
        <f>Actual_Data!C202</f>
        <v>prachi kochar</v>
      </c>
      <c r="B202" s="117">
        <f>Actual_Data!B202</f>
        <v>228</v>
      </c>
      <c r="C202" s="117">
        <f>IFERROR(IF(VLOOKUP(B202,Aaradhak_Details!$E:$F,2,FALSE)&lt;&gt;"",VLOOKUP(B202,Aaradhak_Details!$E:$F,2,FALSE),Actual_Data!D202),Actual_Data!D202)</f>
        <v>27</v>
      </c>
      <c r="D202" s="116" t="str">
        <f>IFERROR(VLOOKUP(B202,Aaradhak_Details!$E:$G,3,FALSE),"")</f>
        <v>A +ve</v>
      </c>
      <c r="E202" s="117">
        <f>IFERROR(IF(VLOOKUP(B202,Aaradhak_Details!$E:$I,5,FALSE)&lt;&gt;"",VLOOKUP(B202,Aaradhak_Details!$E:$I,5,FALSE),Actual_Data!E202),Actual_Data!E202)</f>
        <v>7000971478</v>
      </c>
      <c r="F202" s="118" t="str">
        <f t="array" ref="F202">IFERROR(
  INDEX(Aaradhak_Details!J:J, MATCH(B202, Aaradhak_Details!E:E, 0)),
  ""
)
</f>
        <v>https://drive.google.com/open?id=14KHd5DtLJA1FiEElOO700io2Iapq-wzL</v>
      </c>
    </row>
    <row r="203" ht="22.5" customHeight="1">
      <c r="A203" s="116" t="str">
        <f>Actual_Data!C203</f>
        <v>Prachi kochar</v>
      </c>
      <c r="B203" s="117">
        <f>Actual_Data!B203</f>
        <v>229</v>
      </c>
      <c r="C203" s="117">
        <f>IFERROR(IF(VLOOKUP(B203,Aaradhak_Details!$E:$F,2,FALSE)&lt;&gt;"",VLOOKUP(B203,Aaradhak_Details!$E:$F,2,FALSE),Actual_Data!D203),Actual_Data!D203)</f>
        <v>18</v>
      </c>
      <c r="D203" s="116" t="str">
        <f>IFERROR(VLOOKUP(B203,Aaradhak_Details!$E:$G,3,FALSE),"")</f>
        <v/>
      </c>
      <c r="E203" s="117">
        <f>IFERROR(IF(VLOOKUP(B203,Aaradhak_Details!$E:$I,5,FALSE)&lt;&gt;"",VLOOKUP(B203,Aaradhak_Details!$E:$I,5,FALSE),Actual_Data!E203),Actual_Data!E203)</f>
        <v>9354307266</v>
      </c>
      <c r="F203" s="94" t="str">
        <f t="array" ref="F203">IFERROR(
  INDEX(Aaradhak_Details!J:J, MATCH(B203, Aaradhak_Details!E:E, 0)),
  ""
)
</f>
        <v/>
      </c>
    </row>
    <row r="204" ht="22.5" customHeight="1">
      <c r="A204" s="116" t="str">
        <f>Actual_Data!C204</f>
        <v>Prachi Mehta </v>
      </c>
      <c r="B204" s="117">
        <f>Actual_Data!B204</f>
        <v>230</v>
      </c>
      <c r="C204" s="117">
        <f>IFERROR(IF(VLOOKUP(B204,Aaradhak_Details!$E:$F,2,FALSE)&lt;&gt;"",VLOOKUP(B204,Aaradhak_Details!$E:$F,2,FALSE),Actual_Data!D204),Actual_Data!D204)</f>
        <v>27</v>
      </c>
      <c r="D204" s="116" t="str">
        <f>IFERROR(VLOOKUP(B204,Aaradhak_Details!$E:$G,3,FALSE),"")</f>
        <v>B +ve</v>
      </c>
      <c r="E204" s="117">
        <f>IFERROR(IF(VLOOKUP(B204,Aaradhak_Details!$E:$I,5,FALSE)&lt;&gt;"",VLOOKUP(B204,Aaradhak_Details!$E:$I,5,FALSE),Actual_Data!E204),Actual_Data!E204)</f>
        <v>9329554435</v>
      </c>
      <c r="F204" s="118" t="str">
        <f t="array" ref="F204">IFERROR(
  INDEX(Aaradhak_Details!J:J, MATCH(B204, Aaradhak_Details!E:E, 0)),
  ""
)
</f>
        <v>https://drive.google.com/open?id=1UJurgGD__k4iR_rGOUqzrWCqQ5mXNQ6S</v>
      </c>
    </row>
    <row r="205" ht="22.5" customHeight="1">
      <c r="A205" s="116" t="str">
        <f>Actual_Data!C205</f>
        <v>Pragya jain</v>
      </c>
      <c r="B205" s="117">
        <f>Actual_Data!B205</f>
        <v>233</v>
      </c>
      <c r="C205" s="117">
        <f>IFERROR(IF(VLOOKUP(B205,Aaradhak_Details!$E:$F,2,FALSE)&lt;&gt;"",VLOOKUP(B205,Aaradhak_Details!$E:$F,2,FALSE),Actual_Data!D205),Actual_Data!D205)</f>
        <v>25</v>
      </c>
      <c r="D205" s="116" t="str">
        <f>IFERROR(VLOOKUP(B205,Aaradhak_Details!$E:$G,3,FALSE),"")</f>
        <v>O +ve</v>
      </c>
      <c r="E205" s="117">
        <f>IFERROR(IF(VLOOKUP(B205,Aaradhak_Details!$E:$I,5,FALSE)&lt;&gt;"",VLOOKUP(B205,Aaradhak_Details!$E:$I,5,FALSE),Actual_Data!E205),Actual_Data!E205)</f>
        <v>8817613555</v>
      </c>
      <c r="F205" s="118" t="str">
        <f t="array" ref="F205">IFERROR(
  INDEX(Aaradhak_Details!J:J, MATCH(B205, Aaradhak_Details!E:E, 0)),
  ""
)
</f>
        <v>https://drive.google.com/open?id=18lk26I_a7_hCmDl33bmojpGNHLR9O1HE</v>
      </c>
    </row>
    <row r="206" ht="22.5" customHeight="1">
      <c r="A206" s="116" t="str">
        <f>Actual_Data!C206</f>
        <v>Pranali raju bhandari </v>
      </c>
      <c r="B206" s="117">
        <f>Actual_Data!B206</f>
        <v>234</v>
      </c>
      <c r="C206" s="117">
        <f>IFERROR(IF(VLOOKUP(B206,Aaradhak_Details!$E:$F,2,FALSE)&lt;&gt;"",VLOOKUP(B206,Aaradhak_Details!$E:$F,2,FALSE),Actual_Data!D206),Actual_Data!D206)</f>
        <v>20</v>
      </c>
      <c r="D206" s="116" t="str">
        <f>IFERROR(VLOOKUP(B206,Aaradhak_Details!$E:$G,3,FALSE),"")</f>
        <v>B +ve</v>
      </c>
      <c r="E206" s="117">
        <f>IFERROR(IF(VLOOKUP(B206,Aaradhak_Details!$E:$I,5,FALSE)&lt;&gt;"",VLOOKUP(B206,Aaradhak_Details!$E:$I,5,FALSE),Actual_Data!E206),Actual_Data!E206)</f>
        <v>9307688441</v>
      </c>
      <c r="F206" s="118" t="str">
        <f t="array" ref="F206">IFERROR(
  INDEX(Aaradhak_Details!J:J, MATCH(B206, Aaradhak_Details!E:E, 0)),
  ""
)
</f>
        <v>https://drive.google.com/open?id=1P8VEwP_3XIN06UsRFYkcmTQzRK17KVZl</v>
      </c>
    </row>
    <row r="207" ht="22.5" customHeight="1">
      <c r="A207" s="116" t="str">
        <f>Actual_Data!C207</f>
        <v>Pranjal</v>
      </c>
      <c r="B207" s="117">
        <f>Actual_Data!B207</f>
        <v>235</v>
      </c>
      <c r="C207" s="117">
        <f>IFERROR(IF(VLOOKUP(B207,Aaradhak_Details!$E:$F,2,FALSE)&lt;&gt;"",VLOOKUP(B207,Aaradhak_Details!$E:$F,2,FALSE),Actual_Data!D207),Actual_Data!D207)</f>
        <v>19</v>
      </c>
      <c r="D207" s="116" t="str">
        <f>IFERROR(VLOOKUP(B207,Aaradhak_Details!$E:$G,3,FALSE),"")</f>
        <v>O +ve</v>
      </c>
      <c r="E207" s="117">
        <f>IFERROR(IF(VLOOKUP(B207,Aaradhak_Details!$E:$I,5,FALSE)&lt;&gt;"",VLOOKUP(B207,Aaradhak_Details!$E:$I,5,FALSE),Actual_Data!E207),Actual_Data!E207)</f>
        <v>9845261337</v>
      </c>
      <c r="F207" s="118" t="str">
        <f t="array" ref="F207">IFERROR(
  INDEX(Aaradhak_Details!J:J, MATCH(B207, Aaradhak_Details!E:E, 0)),
  ""
)
</f>
        <v>https://drive.google.com/open?id=1KGF5-2nRyvxcgTWstUTPZQixYb9i6NMo</v>
      </c>
    </row>
    <row r="208" ht="22.5" customHeight="1">
      <c r="A208" s="116" t="str">
        <f>Actual_Data!C208</f>
        <v>Pratika Khinvesara </v>
      </c>
      <c r="B208" s="117">
        <f>Actual_Data!B208</f>
        <v>237</v>
      </c>
      <c r="C208" s="117">
        <f>IFERROR(IF(VLOOKUP(B208,Aaradhak_Details!$E:$F,2,FALSE)&lt;&gt;"",VLOOKUP(B208,Aaradhak_Details!$E:$F,2,FALSE),Actual_Data!D208),Actual_Data!D208)</f>
        <v>31</v>
      </c>
      <c r="D208" s="116" t="str">
        <f>IFERROR(VLOOKUP(B208,Aaradhak_Details!$E:$G,3,FALSE),"")</f>
        <v>AB +ve</v>
      </c>
      <c r="E208" s="117">
        <f>IFERROR(IF(VLOOKUP(B208,Aaradhak_Details!$E:$I,5,FALSE)&lt;&gt;"",VLOOKUP(B208,Aaradhak_Details!$E:$I,5,FALSE),Actual_Data!E208),Actual_Data!E208)</f>
        <v>9825204301</v>
      </c>
      <c r="F208" s="118" t="str">
        <f t="array" ref="F208">IFERROR(
  INDEX(Aaradhak_Details!J:J, MATCH(B208, Aaradhak_Details!E:E, 0)),
  ""
)
</f>
        <v>https://drive.google.com/open?id=1leAlfkrYCwCVvQWfLciNXIzH0h3pQwJZ</v>
      </c>
    </row>
    <row r="209" ht="22.5" customHeight="1">
      <c r="A209" s="116" t="str">
        <f>Actual_Data!C209</f>
        <v>Preksha Barmat</v>
      </c>
      <c r="B209" s="117">
        <f>Actual_Data!B209</f>
        <v>238</v>
      </c>
      <c r="C209" s="117">
        <f>IFERROR(IF(VLOOKUP(B209,Aaradhak_Details!$E:$F,2,FALSE)&lt;&gt;"",VLOOKUP(B209,Aaradhak_Details!$E:$F,2,FALSE),Actual_Data!D209),Actual_Data!D209)</f>
        <v>21</v>
      </c>
      <c r="D209" s="116" t="str">
        <f>IFERROR(VLOOKUP(B209,Aaradhak_Details!$E:$G,3,FALSE),"")</f>
        <v>O +ve</v>
      </c>
      <c r="E209" s="117">
        <f>IFERROR(IF(VLOOKUP(B209,Aaradhak_Details!$E:$I,5,FALSE)&lt;&gt;"",VLOOKUP(B209,Aaradhak_Details!$E:$I,5,FALSE),Actual_Data!E209),Actual_Data!E209)</f>
        <v>9901712989</v>
      </c>
      <c r="F209" s="118" t="str">
        <f t="array" ref="F209">IFERROR(
  INDEX(Aaradhak_Details!J:J, MATCH(B209, Aaradhak_Details!E:E, 0)),
  ""
)
</f>
        <v>https://drive.google.com/open?id=1f0bNFRxtHtG7CRpXUNI4mRjGvx68F7b3</v>
      </c>
    </row>
    <row r="210" ht="22.5" customHeight="1">
      <c r="A210" s="116" t="str">
        <f>Actual_Data!C210</f>
        <v>Preksha Parekh</v>
      </c>
      <c r="B210" s="117">
        <f>Actual_Data!B210</f>
        <v>239</v>
      </c>
      <c r="C210" s="117">
        <f>IFERROR(IF(VLOOKUP(B210,Aaradhak_Details!$E:$F,2,FALSE)&lt;&gt;"",VLOOKUP(B210,Aaradhak_Details!$E:$F,2,FALSE),Actual_Data!D210),Actual_Data!D210)</f>
        <v>18</v>
      </c>
      <c r="D210" s="116" t="str">
        <f>IFERROR(VLOOKUP(B210,Aaradhak_Details!$E:$G,3,FALSE),"")</f>
        <v/>
      </c>
      <c r="E210" s="117">
        <f>IFERROR(IF(VLOOKUP(B210,Aaradhak_Details!$E:$I,5,FALSE)&lt;&gt;"",VLOOKUP(B210,Aaradhak_Details!$E:$I,5,FALSE),Actual_Data!E210),Actual_Data!E210)</f>
        <v>8355807373</v>
      </c>
      <c r="F210" s="94" t="str">
        <f t="array" ref="F210">IFERROR(
  INDEX(Aaradhak_Details!J:J, MATCH(B210, Aaradhak_Details!E:E, 0)),
  ""
)
</f>
        <v/>
      </c>
    </row>
    <row r="211" ht="22.5" customHeight="1">
      <c r="A211" s="116" t="str">
        <f>Actual_Data!C211</f>
        <v>Preya Vishal Shah</v>
      </c>
      <c r="B211" s="117">
        <f>Actual_Data!B211</f>
        <v>240</v>
      </c>
      <c r="C211" s="117">
        <f>IFERROR(IF(VLOOKUP(B211,Aaradhak_Details!$E:$F,2,FALSE)&lt;&gt;"",VLOOKUP(B211,Aaradhak_Details!$E:$F,2,FALSE),Actual_Data!D211),Actual_Data!D211)</f>
        <v>21</v>
      </c>
      <c r="D211" s="116" t="str">
        <f>IFERROR(VLOOKUP(B211,Aaradhak_Details!$E:$G,3,FALSE),"")</f>
        <v/>
      </c>
      <c r="E211" s="117">
        <f>IFERROR(IF(VLOOKUP(B211,Aaradhak_Details!$E:$I,5,FALSE)&lt;&gt;"",VLOOKUP(B211,Aaradhak_Details!$E:$I,5,FALSE),Actual_Data!E211),Actual_Data!E211)</f>
        <v>9022206858</v>
      </c>
      <c r="F211" s="94" t="str">
        <f t="array" ref="F211">IFERROR(
  INDEX(Aaradhak_Details!J:J, MATCH(B211, Aaradhak_Details!E:E, 0)),
  ""
)
</f>
        <v/>
      </c>
    </row>
    <row r="212" ht="22.5" customHeight="1">
      <c r="A212" s="116" t="str">
        <f>Actual_Data!C212</f>
        <v>Priya Mukesh Vora</v>
      </c>
      <c r="B212" s="117">
        <f>Actual_Data!B212</f>
        <v>243</v>
      </c>
      <c r="C212" s="117">
        <f>IFERROR(IF(VLOOKUP(B212,Aaradhak_Details!$E:$F,2,FALSE)&lt;&gt;"",VLOOKUP(B212,Aaradhak_Details!$E:$F,2,FALSE),Actual_Data!D212),Actual_Data!D212)</f>
        <v>26</v>
      </c>
      <c r="D212" s="116" t="str">
        <f>IFERROR(VLOOKUP(B212,Aaradhak_Details!$E:$G,3,FALSE),"")</f>
        <v>B +ve</v>
      </c>
      <c r="E212" s="117">
        <f>IFERROR(IF(VLOOKUP(B212,Aaradhak_Details!$E:$I,5,FALSE)&lt;&gt;"",VLOOKUP(B212,Aaradhak_Details!$E:$I,5,FALSE),Actual_Data!E212),Actual_Data!E212)</f>
        <v>9821308320</v>
      </c>
      <c r="F212" s="118" t="str">
        <f t="array" ref="F212">IFERROR(
  INDEX(Aaradhak_Details!J:J, MATCH(B212, Aaradhak_Details!E:E, 0)),
  ""
)
</f>
        <v>https://drive.google.com/open?id=1A2tL2h8VO3RyJfahGziYecsweFuIv5p9</v>
      </c>
    </row>
    <row r="213" ht="22.5" customHeight="1">
      <c r="A213" s="116" t="str">
        <f>Actual_Data!C213</f>
        <v>Priyal Pratik Shah</v>
      </c>
      <c r="B213" s="117">
        <f>Actual_Data!B213</f>
        <v>245</v>
      </c>
      <c r="C213" s="117">
        <f>IFERROR(IF(VLOOKUP(B213,Aaradhak_Details!$E:$F,2,FALSE)&lt;&gt;"",VLOOKUP(B213,Aaradhak_Details!$E:$F,2,FALSE),Actual_Data!D213),Actual_Data!D213)</f>
        <v>33</v>
      </c>
      <c r="D213" s="116" t="str">
        <f>IFERROR(VLOOKUP(B213,Aaradhak_Details!$E:$G,3,FALSE),"")</f>
        <v>O +ve</v>
      </c>
      <c r="E213" s="117">
        <f>IFERROR(IF(VLOOKUP(B213,Aaradhak_Details!$E:$I,5,FALSE)&lt;&gt;"",VLOOKUP(B213,Aaradhak_Details!$E:$I,5,FALSE),Actual_Data!E213),Actual_Data!E213)</f>
        <v>9870181050</v>
      </c>
      <c r="F213" s="118" t="str">
        <f t="array" ref="F213">IFERROR(
  INDEX(Aaradhak_Details!J:J, MATCH(B213, Aaradhak_Details!E:E, 0)),
  ""
)
</f>
        <v>https://drive.google.com/open?id=1PYrQkvBZ1bbPLzOvnI7oCQl5FRqVnMty</v>
      </c>
    </row>
    <row r="214" ht="22.5" customHeight="1">
      <c r="A214" s="116" t="str">
        <f>Actual_Data!C214</f>
        <v>Priyal Shah</v>
      </c>
      <c r="B214" s="117">
        <f>Actual_Data!B214</f>
        <v>246</v>
      </c>
      <c r="C214" s="117">
        <f>IFERROR(IF(VLOOKUP(B214,Aaradhak_Details!$E:$F,2,FALSE)&lt;&gt;"",VLOOKUP(B214,Aaradhak_Details!$E:$F,2,FALSE),Actual_Data!D214),Actual_Data!D214)</f>
        <v>21</v>
      </c>
      <c r="D214" s="116" t="str">
        <f>IFERROR(VLOOKUP(B214,Aaradhak_Details!$E:$G,3,FALSE),"")</f>
        <v>B +ve</v>
      </c>
      <c r="E214" s="117">
        <f>IFERROR(IF(VLOOKUP(B214,Aaradhak_Details!$E:$I,5,FALSE)&lt;&gt;"",VLOOKUP(B214,Aaradhak_Details!$E:$I,5,FALSE),Actual_Data!E214),Actual_Data!E214)</f>
        <v>8291183777</v>
      </c>
      <c r="F214" s="118" t="str">
        <f t="array" ref="F214">IFERROR(
  INDEX(Aaradhak_Details!J:J, MATCH(B214, Aaradhak_Details!E:E, 0)),
  ""
)
</f>
        <v>https://drive.google.com/open?id=1dYGOWkLxKA9d6SoxxQgZqxxdBBe0KC89</v>
      </c>
    </row>
    <row r="215" ht="22.5" customHeight="1">
      <c r="A215" s="116" t="str">
        <f>Actual_Data!C215</f>
        <v>Priyal shah </v>
      </c>
      <c r="B215" s="117">
        <f>Actual_Data!B215</f>
        <v>247</v>
      </c>
      <c r="C215" s="117">
        <f>IFERROR(IF(VLOOKUP(B215,Aaradhak_Details!$E:$F,2,FALSE)&lt;&gt;"",VLOOKUP(B215,Aaradhak_Details!$E:$F,2,FALSE),Actual_Data!D215),Actual_Data!D215)</f>
        <v>17</v>
      </c>
      <c r="D215" s="116" t="str">
        <f>IFERROR(VLOOKUP(B215,Aaradhak_Details!$E:$G,3,FALSE),"")</f>
        <v>B +ve</v>
      </c>
      <c r="E215" s="117">
        <f>IFERROR(IF(VLOOKUP(B215,Aaradhak_Details!$E:$I,5,FALSE)&lt;&gt;"",VLOOKUP(B215,Aaradhak_Details!$E:$I,5,FALSE),Actual_Data!E215),Actual_Data!E215)</f>
        <v>9561687799</v>
      </c>
      <c r="F215" s="118" t="str">
        <f t="array" ref="F215">IFERROR(
  INDEX(Aaradhak_Details!J:J, MATCH(B215, Aaradhak_Details!E:E, 0)),
  ""
)
</f>
        <v>https://drive.google.com/open?id=1qeIyiT8s0C2Myeb3UEpnDm_uh3P-f5ot</v>
      </c>
    </row>
    <row r="216" ht="22.5" customHeight="1">
      <c r="A216" s="116" t="str">
        <f>Actual_Data!C216</f>
        <v>Priyal Vijay Mehta</v>
      </c>
      <c r="B216" s="117">
        <f>Actual_Data!B216</f>
        <v>248</v>
      </c>
      <c r="C216" s="117">
        <f>IFERROR(IF(VLOOKUP(B216,Aaradhak_Details!$E:$F,2,FALSE)&lt;&gt;"",VLOOKUP(B216,Aaradhak_Details!$E:$F,2,FALSE),Actual_Data!D216),Actual_Data!D216)</f>
        <v>24</v>
      </c>
      <c r="D216" s="116" t="str">
        <f>IFERROR(VLOOKUP(B216,Aaradhak_Details!$E:$G,3,FALSE),"")</f>
        <v>B +ve</v>
      </c>
      <c r="E216" s="117">
        <f>IFERROR(IF(VLOOKUP(B216,Aaradhak_Details!$E:$I,5,FALSE)&lt;&gt;"",VLOOKUP(B216,Aaradhak_Details!$E:$I,5,FALSE),Actual_Data!E216),Actual_Data!E216)</f>
        <v>9423370704</v>
      </c>
      <c r="F216" s="118" t="str">
        <f t="array" ref="F216">IFERROR(
  INDEX(Aaradhak_Details!J:J, MATCH(B216, Aaradhak_Details!E:E, 0)),
  ""
)
</f>
        <v>https://drive.google.com/open?id=1YXmcRh8Uhl5689EGg8YiC8qnd_SMpGxW</v>
      </c>
    </row>
    <row r="217" ht="22.5" customHeight="1">
      <c r="A217" s="116" t="str">
        <f>Actual_Data!C217</f>
        <v>Priyanka </v>
      </c>
      <c r="B217" s="117">
        <f>Actual_Data!B217</f>
        <v>249</v>
      </c>
      <c r="C217" s="117">
        <f>IFERROR(IF(VLOOKUP(B217,Aaradhak_Details!$E:$F,2,FALSE)&lt;&gt;"",VLOOKUP(B217,Aaradhak_Details!$E:$F,2,FALSE),Actual_Data!D217),Actual_Data!D217)</f>
        <v>22</v>
      </c>
      <c r="D217" s="116" t="str">
        <f>IFERROR(VLOOKUP(B217,Aaradhak_Details!$E:$G,3,FALSE),"")</f>
        <v/>
      </c>
      <c r="E217" s="117">
        <f>IFERROR(IF(VLOOKUP(B217,Aaradhak_Details!$E:$I,5,FALSE)&lt;&gt;"",VLOOKUP(B217,Aaradhak_Details!$E:$I,5,FALSE),Actual_Data!E217),Actual_Data!E217)</f>
        <v>9302487213</v>
      </c>
      <c r="F217" s="94" t="str">
        <f t="array" ref="F217">IFERROR(
  INDEX(Aaradhak_Details!J:J, MATCH(B217, Aaradhak_Details!E:E, 0)),
  ""
)
</f>
        <v/>
      </c>
    </row>
    <row r="218" ht="22.5" customHeight="1">
      <c r="A218" s="116" t="str">
        <f>Actual_Data!C218</f>
        <v>Priyanka gelda</v>
      </c>
      <c r="B218" s="117">
        <f>Actual_Data!B218</f>
        <v>250</v>
      </c>
      <c r="C218" s="117">
        <f>IFERROR(IF(VLOOKUP(B218,Aaradhak_Details!$E:$F,2,FALSE)&lt;&gt;"",VLOOKUP(B218,Aaradhak_Details!$E:$F,2,FALSE),Actual_Data!D218),Actual_Data!D218)</f>
        <v>35</v>
      </c>
      <c r="D218" s="116" t="str">
        <f>IFERROR(VLOOKUP(B218,Aaradhak_Details!$E:$G,3,FALSE),"")</f>
        <v>AB +ve</v>
      </c>
      <c r="E218" s="117">
        <f>IFERROR(IF(VLOOKUP(B218,Aaradhak_Details!$E:$I,5,FALSE)&lt;&gt;"",VLOOKUP(B218,Aaradhak_Details!$E:$I,5,FALSE),Actual_Data!E218),Actual_Data!E218)</f>
        <v>9406860314</v>
      </c>
      <c r="F218" s="118" t="str">
        <f t="array" ref="F218">IFERROR(
  INDEX(Aaradhak_Details!J:J, MATCH(B218, Aaradhak_Details!E:E, 0)),
  ""
)
</f>
        <v>https://drive.google.com/open?id=1YZvHvBGNVbFRmY0o5yNMIYLDdHHxJFUh</v>
      </c>
    </row>
    <row r="219" ht="22.5" customHeight="1">
      <c r="A219" s="116" t="str">
        <f>Actual_Data!C219</f>
        <v>Priyanka Parmar </v>
      </c>
      <c r="B219" s="117">
        <f>Actual_Data!B219</f>
        <v>251</v>
      </c>
      <c r="C219" s="117">
        <f>IFERROR(IF(VLOOKUP(B219,Aaradhak_Details!$E:$F,2,FALSE)&lt;&gt;"",VLOOKUP(B219,Aaradhak_Details!$E:$F,2,FALSE),Actual_Data!D219),Actual_Data!D219)</f>
        <v>30</v>
      </c>
      <c r="D219" s="116" t="str">
        <f>IFERROR(VLOOKUP(B219,Aaradhak_Details!$E:$G,3,FALSE),"")</f>
        <v>B +ve</v>
      </c>
      <c r="E219" s="117">
        <f>IFERROR(IF(VLOOKUP(B219,Aaradhak_Details!$E:$I,5,FALSE)&lt;&gt;"",VLOOKUP(B219,Aaradhak_Details!$E:$I,5,FALSE),Actual_Data!E219),Actual_Data!E219)</f>
        <v>8097900893</v>
      </c>
      <c r="F219" s="118" t="str">
        <f t="array" ref="F219">IFERROR(
  INDEX(Aaradhak_Details!J:J, MATCH(B219, Aaradhak_Details!E:E, 0)),
  ""
)
</f>
        <v>https://drive.google.com/open?id=1wtcHlAsQfYkg-ztH1j2_FrCKsrPBHKWE</v>
      </c>
    </row>
    <row r="220" ht="22.5" customHeight="1">
      <c r="A220" s="116" t="str">
        <f>Actual_Data!C220</f>
        <v>Priyanshi modi</v>
      </c>
      <c r="B220" s="117">
        <f>Actual_Data!B220</f>
        <v>253</v>
      </c>
      <c r="C220" s="117">
        <f>IFERROR(IF(VLOOKUP(B220,Aaradhak_Details!$E:$F,2,FALSE)&lt;&gt;"",VLOOKUP(B220,Aaradhak_Details!$E:$F,2,FALSE),Actual_Data!D220),Actual_Data!D220)</f>
        <v>20</v>
      </c>
      <c r="D220" s="116" t="str">
        <f>IFERROR(VLOOKUP(B220,Aaradhak_Details!$E:$G,3,FALSE),"")</f>
        <v>B +ve</v>
      </c>
      <c r="E220" s="117">
        <f>IFERROR(IF(VLOOKUP(B220,Aaradhak_Details!$E:$I,5,FALSE)&lt;&gt;"",VLOOKUP(B220,Aaradhak_Details!$E:$I,5,FALSE),Actual_Data!E220),Actual_Data!E220)</f>
        <v>9926133308</v>
      </c>
      <c r="F220" s="118" t="str">
        <f t="array" ref="F220">IFERROR(
  INDEX(Aaradhak_Details!J:J, MATCH(B220, Aaradhak_Details!E:E, 0)),
  ""
)
</f>
        <v>https://drive.google.com/open?id=1oT750OsRe6h-JtnBQk6G7dIwpsuuGXCY</v>
      </c>
    </row>
    <row r="221" ht="22.5" customHeight="1">
      <c r="A221" s="116" t="str">
        <f>Actual_Data!C221</f>
        <v>Priyantham R jain</v>
      </c>
      <c r="B221" s="117">
        <f>Actual_Data!B221</f>
        <v>254</v>
      </c>
      <c r="C221" s="117">
        <f>IFERROR(IF(VLOOKUP(B221,Aaradhak_Details!$E:$F,2,FALSE)&lt;&gt;"",VLOOKUP(B221,Aaradhak_Details!$E:$F,2,FALSE),Actual_Data!D221),Actual_Data!D221)</f>
        <v>24</v>
      </c>
      <c r="D221" s="116" t="str">
        <f>IFERROR(VLOOKUP(B221,Aaradhak_Details!$E:$G,3,FALSE),"")</f>
        <v>AB +ve</v>
      </c>
      <c r="E221" s="117">
        <f>IFERROR(IF(VLOOKUP(B221,Aaradhak_Details!$E:$I,5,FALSE)&lt;&gt;"",VLOOKUP(B221,Aaradhak_Details!$E:$I,5,FALSE),Actual_Data!E221),Actual_Data!E221)</f>
        <v>9845614785</v>
      </c>
      <c r="F221" s="118" t="str">
        <f t="array" ref="F221">IFERROR(
  INDEX(Aaradhak_Details!J:J, MATCH(B221, Aaradhak_Details!E:E, 0)),
  ""
)
</f>
        <v>https://drive.google.com/open?id=1oZLMH2Ri7fh0d6eUKftx-iGLYNF3sX5i</v>
      </c>
    </row>
    <row r="222" ht="22.5" customHeight="1">
      <c r="A222" s="116" t="str">
        <f>Actual_Data!C222</f>
        <v>Purva Jain</v>
      </c>
      <c r="B222" s="117">
        <f>Actual_Data!B222</f>
        <v>255</v>
      </c>
      <c r="C222" s="117">
        <f>IFERROR(IF(VLOOKUP(B222,Aaradhak_Details!$E:$F,2,FALSE)&lt;&gt;"",VLOOKUP(B222,Aaradhak_Details!$E:$F,2,FALSE),Actual_Data!D222),Actual_Data!D222)</f>
        <v>23</v>
      </c>
      <c r="D222" s="116" t="str">
        <f>IFERROR(VLOOKUP(B222,Aaradhak_Details!$E:$G,3,FALSE),"")</f>
        <v>B +ve</v>
      </c>
      <c r="E222" s="117">
        <f>IFERROR(IF(VLOOKUP(B222,Aaradhak_Details!$E:$I,5,FALSE)&lt;&gt;"",VLOOKUP(B222,Aaradhak_Details!$E:$I,5,FALSE),Actual_Data!E222),Actual_Data!E222)</f>
        <v>9039342800</v>
      </c>
      <c r="F222" s="118" t="str">
        <f t="array" ref="F222">IFERROR(
  INDEX(Aaradhak_Details!J:J, MATCH(B222, Aaradhak_Details!E:E, 0)),
  ""
)
</f>
        <v>https://drive.google.com/open?id=1UjM4ohVs_FtyeTvB3vfeSt46yFjN5iUt</v>
      </c>
    </row>
    <row r="223" ht="22.5" customHeight="1">
      <c r="A223" s="116" t="str">
        <f>Actual_Data!C223</f>
        <v>Purvi Dangi</v>
      </c>
      <c r="B223" s="117">
        <f>Actual_Data!B223</f>
        <v>256</v>
      </c>
      <c r="C223" s="117">
        <f>IFERROR(IF(VLOOKUP(B223,Aaradhak_Details!$E:$F,2,FALSE)&lt;&gt;"",VLOOKUP(B223,Aaradhak_Details!$E:$F,2,FALSE),Actual_Data!D223),Actual_Data!D223)</f>
        <v>21</v>
      </c>
      <c r="D223" s="116" t="str">
        <f>IFERROR(VLOOKUP(B223,Aaradhak_Details!$E:$G,3,FALSE),"")</f>
        <v>A +ve</v>
      </c>
      <c r="E223" s="117">
        <f>IFERROR(IF(VLOOKUP(B223,Aaradhak_Details!$E:$I,5,FALSE)&lt;&gt;"",VLOOKUP(B223,Aaradhak_Details!$E:$I,5,FALSE),Actual_Data!E223),Actual_Data!E223)</f>
        <v>9829188428</v>
      </c>
      <c r="F223" s="118" t="str">
        <f t="array" ref="F223">IFERROR(
  INDEX(Aaradhak_Details!J:J, MATCH(B223, Aaradhak_Details!E:E, 0)),
  ""
)
</f>
        <v>https://drive.google.com/open?id=1NWbbnlJtJ63g39isgyuXtm5gGRYrtdlF</v>
      </c>
    </row>
    <row r="224" ht="22.5" customHeight="1">
      <c r="A224" s="116" t="str">
        <f>Actual_Data!C224</f>
        <v>Purvi Kishor Khivasara</v>
      </c>
      <c r="B224" s="117">
        <f>Actual_Data!B224</f>
        <v>257</v>
      </c>
      <c r="C224" s="117">
        <f>IFERROR(IF(VLOOKUP(B224,Aaradhak_Details!$E:$F,2,FALSE)&lt;&gt;"",VLOOKUP(B224,Aaradhak_Details!$E:$F,2,FALSE),Actual_Data!D224),Actual_Data!D224)</f>
        <v>20</v>
      </c>
      <c r="D224" s="116" t="str">
        <f>IFERROR(VLOOKUP(B224,Aaradhak_Details!$E:$G,3,FALSE),"")</f>
        <v>B +ve</v>
      </c>
      <c r="E224" s="117">
        <f>IFERROR(IF(VLOOKUP(B224,Aaradhak_Details!$E:$I,5,FALSE)&lt;&gt;"",VLOOKUP(B224,Aaradhak_Details!$E:$I,5,FALSE),Actual_Data!E224),Actual_Data!E224)</f>
        <v>9370005328</v>
      </c>
      <c r="F224" s="118" t="str">
        <f t="array" ref="F224">IFERROR(
  INDEX(Aaradhak_Details!J:J, MATCH(B224, Aaradhak_Details!E:E, 0)),
  ""
)
</f>
        <v>https://drive.google.com/open?id=1snmXTe3Tqb3hHnBN2Dq_oN_3odaf-gnx</v>
      </c>
    </row>
    <row r="225" ht="22.5" customHeight="1">
      <c r="A225" s="116" t="str">
        <f>Actual_Data!C225</f>
        <v>Raashi P Jain</v>
      </c>
      <c r="B225" s="117">
        <f>Actual_Data!B225</f>
        <v>258</v>
      </c>
      <c r="C225" s="117">
        <f>IFERROR(IF(VLOOKUP(B225,Aaradhak_Details!$E:$F,2,FALSE)&lt;&gt;"",VLOOKUP(B225,Aaradhak_Details!$E:$F,2,FALSE),Actual_Data!D225),Actual_Data!D225)</f>
        <v>19</v>
      </c>
      <c r="D225" s="116" t="str">
        <f>IFERROR(VLOOKUP(B225,Aaradhak_Details!$E:$G,3,FALSE),"")</f>
        <v>O +ve</v>
      </c>
      <c r="E225" s="117">
        <f>IFERROR(IF(VLOOKUP(B225,Aaradhak_Details!$E:$I,5,FALSE)&lt;&gt;"",VLOOKUP(B225,Aaradhak_Details!$E:$I,5,FALSE),Actual_Data!E225),Actual_Data!E225)</f>
        <v>7026705657</v>
      </c>
      <c r="F225" s="118" t="str">
        <f t="array" ref="F225">IFERROR(
  INDEX(Aaradhak_Details!J:J, MATCH(B225, Aaradhak_Details!E:E, 0)),
  ""
)
</f>
        <v>https://drive.google.com/open?id=17asM14iLPatgk7fVAPphENGj-xjdqgXS</v>
      </c>
    </row>
    <row r="226" ht="22.5" customHeight="1">
      <c r="A226" s="116" t="str">
        <f>Actual_Data!C226</f>
        <v>Rajul Harmit Virvadia </v>
      </c>
      <c r="B226" s="117">
        <f>Actual_Data!B226</f>
        <v>260</v>
      </c>
      <c r="C226" s="117">
        <f>IFERROR(IF(VLOOKUP(B226,Aaradhak_Details!$E:$F,2,FALSE)&lt;&gt;"",VLOOKUP(B226,Aaradhak_Details!$E:$F,2,FALSE),Actual_Data!D226),Actual_Data!D226)</f>
        <v>42</v>
      </c>
      <c r="D226" s="116" t="str">
        <f>IFERROR(VLOOKUP(B226,Aaradhak_Details!$E:$G,3,FALSE),"")</f>
        <v/>
      </c>
      <c r="E226" s="117">
        <f>IFERROR(IF(VLOOKUP(B226,Aaradhak_Details!$E:$I,5,FALSE)&lt;&gt;"",VLOOKUP(B226,Aaradhak_Details!$E:$I,5,FALSE),Actual_Data!E226),Actual_Data!E226)</f>
        <v>9920666509</v>
      </c>
      <c r="F226" s="94" t="str">
        <f t="array" ref="F226">IFERROR(
  INDEX(Aaradhak_Details!J:J, MATCH(B226, Aaradhak_Details!E:E, 0)),
  ""
)
</f>
        <v/>
      </c>
    </row>
    <row r="227" ht="22.5" customHeight="1">
      <c r="A227" s="116" t="str">
        <f>Actual_Data!C227</f>
        <v>Rajvi Dilip Dedhia</v>
      </c>
      <c r="B227" s="117">
        <f>Actual_Data!B227</f>
        <v>261</v>
      </c>
      <c r="C227" s="117">
        <f>IFERROR(IF(VLOOKUP(B227,Aaradhak_Details!$E:$F,2,FALSE)&lt;&gt;"",VLOOKUP(B227,Aaradhak_Details!$E:$F,2,FALSE),Actual_Data!D227),Actual_Data!D227)</f>
        <v>23</v>
      </c>
      <c r="D227" s="116" t="str">
        <f>IFERROR(VLOOKUP(B227,Aaradhak_Details!$E:$G,3,FALSE),"")</f>
        <v>O +ve</v>
      </c>
      <c r="E227" s="117">
        <f>IFERROR(IF(VLOOKUP(B227,Aaradhak_Details!$E:$I,5,FALSE)&lt;&gt;"",VLOOKUP(B227,Aaradhak_Details!$E:$I,5,FALSE),Actual_Data!E227),Actual_Data!E227)</f>
        <v>9323017046</v>
      </c>
      <c r="F227" s="118" t="str">
        <f t="array" ref="F227">IFERROR(
  INDEX(Aaradhak_Details!J:J, MATCH(B227, Aaradhak_Details!E:E, 0)),
  ""
)
</f>
        <v>https://drive.google.com/open?id=1i8hI4T6UQsnW4Sm-K1a-49CrnZ3UpIpj</v>
      </c>
    </row>
    <row r="228" ht="22.5" customHeight="1">
      <c r="A228" s="116" t="str">
        <f>Actual_Data!C228</f>
        <v>Rakshita chaprot </v>
      </c>
      <c r="B228" s="117">
        <f>Actual_Data!B228</f>
        <v>262</v>
      </c>
      <c r="C228" s="117">
        <f>IFERROR(IF(VLOOKUP(B228,Aaradhak_Details!$E:$F,2,FALSE)&lt;&gt;"",VLOOKUP(B228,Aaradhak_Details!$E:$F,2,FALSE),Actual_Data!D228),Actual_Data!D228)</f>
        <v>18</v>
      </c>
      <c r="D228" s="116" t="str">
        <f>IFERROR(VLOOKUP(B228,Aaradhak_Details!$E:$G,3,FALSE),"")</f>
        <v>AB +ve</v>
      </c>
      <c r="E228" s="117">
        <f>IFERROR(IF(VLOOKUP(B228,Aaradhak_Details!$E:$I,5,FALSE)&lt;&gt;"",VLOOKUP(B228,Aaradhak_Details!$E:$I,5,FALSE),Actual_Data!E228),Actual_Data!E228)</f>
        <v>8770882819</v>
      </c>
      <c r="F228" s="118" t="str">
        <f t="array" ref="F228">IFERROR(
  INDEX(Aaradhak_Details!J:J, MATCH(B228, Aaradhak_Details!E:E, 0)),
  ""
)
</f>
        <v>https://drive.google.com/open?id=1nTym023YsSIey-8Esbq-JCX2Pc4uU9QL</v>
      </c>
    </row>
    <row r="229" ht="22.5" customHeight="1">
      <c r="A229" s="116" t="str">
        <f>Actual_Data!C229</f>
        <v>Rashi Hitesh Shah</v>
      </c>
      <c r="B229" s="117">
        <f>Actual_Data!B229</f>
        <v>263</v>
      </c>
      <c r="C229" s="117">
        <f>IFERROR(IF(VLOOKUP(B229,Aaradhak_Details!$E:$F,2,FALSE)&lt;&gt;"",VLOOKUP(B229,Aaradhak_Details!$E:$F,2,FALSE),Actual_Data!D229),Actual_Data!D229)</f>
        <v>18</v>
      </c>
      <c r="D229" s="116" t="str">
        <f>IFERROR(VLOOKUP(B229,Aaradhak_Details!$E:$G,3,FALSE),"")</f>
        <v/>
      </c>
      <c r="E229" s="117">
        <f>IFERROR(IF(VLOOKUP(B229,Aaradhak_Details!$E:$I,5,FALSE)&lt;&gt;"",VLOOKUP(B229,Aaradhak_Details!$E:$I,5,FALSE),Actual_Data!E229),Actual_Data!E229)</f>
        <v>9819352307</v>
      </c>
      <c r="F229" s="94" t="str">
        <f t="array" ref="F229">IFERROR(
  INDEX(Aaradhak_Details!J:J, MATCH(B229, Aaradhak_Details!E:E, 0)),
  ""
)
</f>
        <v/>
      </c>
    </row>
    <row r="230" ht="22.5" customHeight="1">
      <c r="A230" s="116" t="str">
        <f>Actual_Data!C230</f>
        <v>Rashi Rupesh Shroff</v>
      </c>
      <c r="B230" s="117">
        <f>Actual_Data!B230</f>
        <v>264</v>
      </c>
      <c r="C230" s="117">
        <f>IFERROR(IF(VLOOKUP(B230,Aaradhak_Details!$E:$F,2,FALSE)&lt;&gt;"",VLOOKUP(B230,Aaradhak_Details!$E:$F,2,FALSE),Actual_Data!D230),Actual_Data!D230)</f>
        <v>14</v>
      </c>
      <c r="D230" s="116" t="str">
        <f>IFERROR(VLOOKUP(B230,Aaradhak_Details!$E:$G,3,FALSE),"")</f>
        <v>B +ve</v>
      </c>
      <c r="E230" s="117">
        <f>IFERROR(IF(VLOOKUP(B230,Aaradhak_Details!$E:$I,5,FALSE)&lt;&gt;"",VLOOKUP(B230,Aaradhak_Details!$E:$I,5,FALSE),Actual_Data!E230),Actual_Data!E230)</f>
        <v>9712913230</v>
      </c>
      <c r="F230" s="118" t="str">
        <f t="array" ref="F230">IFERROR(
  INDEX(Aaradhak_Details!J:J, MATCH(B230, Aaradhak_Details!E:E, 0)),
  ""
)
</f>
        <v>https://drive.google.com/open?id=1-JSwg_Bn_rpmqPvbakmHehtcC1sp8R79</v>
      </c>
    </row>
    <row r="231" ht="22.5" customHeight="1">
      <c r="A231" s="116" t="str">
        <f>Actual_Data!C231</f>
        <v>Reena Kakaria</v>
      </c>
      <c r="B231" s="117">
        <f>Actual_Data!B231</f>
        <v>265</v>
      </c>
      <c r="C231" s="117">
        <f>IFERROR(IF(VLOOKUP(B231,Aaradhak_Details!$E:$F,2,FALSE)&lt;&gt;"",VLOOKUP(B231,Aaradhak_Details!$E:$F,2,FALSE),Actual_Data!D231),Actual_Data!D231)</f>
        <v>46</v>
      </c>
      <c r="D231" s="116" t="str">
        <f>IFERROR(VLOOKUP(B231,Aaradhak_Details!$E:$G,3,FALSE),"")</f>
        <v>B +ve</v>
      </c>
      <c r="E231" s="117">
        <f>IFERROR(IF(VLOOKUP(B231,Aaradhak_Details!$E:$I,5,FALSE)&lt;&gt;"",VLOOKUP(B231,Aaradhak_Details!$E:$I,5,FALSE),Actual_Data!E231),Actual_Data!E231)</f>
        <v>9824379449</v>
      </c>
      <c r="F231" s="118" t="str">
        <f t="array" ref="F231">IFERROR(
  INDEX(Aaradhak_Details!J:J, MATCH(B231, Aaradhak_Details!E:E, 0)),
  ""
)
</f>
        <v>https://drive.google.com/open?id=138_grmmQPuAhmiREknNUT3AIBVXeeMBb</v>
      </c>
    </row>
    <row r="232" ht="22.5" customHeight="1">
      <c r="A232" s="116" t="str">
        <f>Actual_Data!C232</f>
        <v>Riddhi </v>
      </c>
      <c r="B232" s="117">
        <f>Actual_Data!B232</f>
        <v>266</v>
      </c>
      <c r="C232" s="117">
        <f>IFERROR(IF(VLOOKUP(B232,Aaradhak_Details!$E:$F,2,FALSE)&lt;&gt;"",VLOOKUP(B232,Aaradhak_Details!$E:$F,2,FALSE),Actual_Data!D232),Actual_Data!D232)</f>
        <v>20</v>
      </c>
      <c r="D232" s="116" t="str">
        <f>IFERROR(VLOOKUP(B232,Aaradhak_Details!$E:$G,3,FALSE),"")</f>
        <v>B +ve</v>
      </c>
      <c r="E232" s="117">
        <f>IFERROR(IF(VLOOKUP(B232,Aaradhak_Details!$E:$I,5,FALSE)&lt;&gt;"",VLOOKUP(B232,Aaradhak_Details!$E:$I,5,FALSE),Actual_Data!E232),Actual_Data!E232)</f>
        <v>9360628001</v>
      </c>
      <c r="F232" s="118" t="str">
        <f t="array" ref="F232">IFERROR(
  INDEX(Aaradhak_Details!J:J, MATCH(B232, Aaradhak_Details!E:E, 0)),
  ""
)
</f>
        <v>https://drive.google.com/open?id=1GmjKr__nHbbeDaoqjHwg7HD2Q7GT0LPb</v>
      </c>
    </row>
    <row r="233" ht="22.5" customHeight="1">
      <c r="A233" s="116" t="str">
        <f>Actual_Data!C233</f>
        <v>Riddhi Lalwani</v>
      </c>
      <c r="B233" s="117">
        <f>Actual_Data!B233</f>
        <v>268</v>
      </c>
      <c r="C233" s="117">
        <f>IFERROR(IF(VLOOKUP(B233,Aaradhak_Details!$E:$F,2,FALSE)&lt;&gt;"",VLOOKUP(B233,Aaradhak_Details!$E:$F,2,FALSE),Actual_Data!D233),Actual_Data!D233)</f>
        <v>18</v>
      </c>
      <c r="D233" s="116" t="str">
        <f>IFERROR(VLOOKUP(B233,Aaradhak_Details!$E:$G,3,FALSE),"")</f>
        <v/>
      </c>
      <c r="E233" s="117">
        <f>IFERROR(IF(VLOOKUP(B233,Aaradhak_Details!$E:$I,5,FALSE)&lt;&gt;"",VLOOKUP(B233,Aaradhak_Details!$E:$I,5,FALSE),Actual_Data!E233),Actual_Data!E233)</f>
        <v>8459287653</v>
      </c>
      <c r="F233" s="94" t="str">
        <f t="array" ref="F233">IFERROR(
  INDEX(Aaradhak_Details!J:J, MATCH(B233, Aaradhak_Details!E:E, 0)),
  ""
)
</f>
        <v/>
      </c>
    </row>
    <row r="234" ht="22.5" customHeight="1">
      <c r="A234" s="116" t="str">
        <f>Actual_Data!C234</f>
        <v>Rishikamehta</v>
      </c>
      <c r="B234" s="117">
        <f>Actual_Data!B234</f>
        <v>270</v>
      </c>
      <c r="C234" s="117">
        <f>IFERROR(IF(VLOOKUP(B234,Aaradhak_Details!$E:$F,2,FALSE)&lt;&gt;"",VLOOKUP(B234,Aaradhak_Details!$E:$F,2,FALSE),Actual_Data!D234),Actual_Data!D234)</f>
        <v>28</v>
      </c>
      <c r="D234" s="116" t="str">
        <f>IFERROR(VLOOKUP(B234,Aaradhak_Details!$E:$G,3,FALSE),"")</f>
        <v/>
      </c>
      <c r="E234" s="117">
        <f>IFERROR(IF(VLOOKUP(B234,Aaradhak_Details!$E:$I,5,FALSE)&lt;&gt;"",VLOOKUP(B234,Aaradhak_Details!$E:$I,5,FALSE),Actual_Data!E234),Actual_Data!E234)</f>
        <v>9398411424</v>
      </c>
      <c r="F234" s="94" t="str">
        <f t="array" ref="F234">IFERROR(
  INDEX(Aaradhak_Details!J:J, MATCH(B234, Aaradhak_Details!E:E, 0)),
  ""
)
</f>
        <v/>
      </c>
    </row>
    <row r="235" ht="22.5" customHeight="1">
      <c r="A235" s="116" t="str">
        <f>Actual_Data!C235</f>
        <v>Ritika jain</v>
      </c>
      <c r="B235" s="117">
        <f>Actual_Data!B235</f>
        <v>271</v>
      </c>
      <c r="C235" s="117">
        <f>IFERROR(IF(VLOOKUP(B235,Aaradhak_Details!$E:$F,2,FALSE)&lt;&gt;"",VLOOKUP(B235,Aaradhak_Details!$E:$F,2,FALSE),Actual_Data!D235),Actual_Data!D235)</f>
        <v>25</v>
      </c>
      <c r="D235" s="116" t="str">
        <f>IFERROR(VLOOKUP(B235,Aaradhak_Details!$E:$G,3,FALSE),"")</f>
        <v>A +ve</v>
      </c>
      <c r="E235" s="117">
        <f>IFERROR(IF(VLOOKUP(B235,Aaradhak_Details!$E:$I,5,FALSE)&lt;&gt;"",VLOOKUP(B235,Aaradhak_Details!$E:$I,5,FALSE),Actual_Data!E235),Actual_Data!E235)</f>
        <v>7000648072</v>
      </c>
      <c r="F235" s="118" t="str">
        <f t="array" ref="F235">IFERROR(
  INDEX(Aaradhak_Details!J:J, MATCH(B235, Aaradhak_Details!E:E, 0)),
  ""
)
</f>
        <v>https://drive.google.com/open?id=1Myqvd2X2Vo7z1wdxUgfUvsA673b3IKBM</v>
      </c>
    </row>
    <row r="236" ht="22.5" customHeight="1">
      <c r="A236" s="116" t="str">
        <f>Actual_Data!C236</f>
        <v>Riya Gandhi</v>
      </c>
      <c r="B236" s="117">
        <f>Actual_Data!B236</f>
        <v>272</v>
      </c>
      <c r="C236" s="117">
        <f>IFERROR(IF(VLOOKUP(B236,Aaradhak_Details!$E:$F,2,FALSE)&lt;&gt;"",VLOOKUP(B236,Aaradhak_Details!$E:$F,2,FALSE),Actual_Data!D236),Actual_Data!D236)</f>
        <v>20</v>
      </c>
      <c r="D236" s="116" t="str">
        <f>IFERROR(VLOOKUP(B236,Aaradhak_Details!$E:$G,3,FALSE),"")</f>
        <v>O +ve</v>
      </c>
      <c r="E236" s="117">
        <f>IFERROR(IF(VLOOKUP(B236,Aaradhak_Details!$E:$I,5,FALSE)&lt;&gt;"",VLOOKUP(B236,Aaradhak_Details!$E:$I,5,FALSE),Actual_Data!E236),Actual_Data!E236)</f>
        <v>9321557778</v>
      </c>
      <c r="F236" s="118" t="str">
        <f t="array" ref="F236">IFERROR(
  INDEX(Aaradhak_Details!J:J, MATCH(B236, Aaradhak_Details!E:E, 0)),
  ""
)
</f>
        <v>https://drive.google.com/open?id=1HBls6MqrI7EhvRLgXvE8KESYxKCWNlyn</v>
      </c>
    </row>
    <row r="237" ht="22.5" customHeight="1">
      <c r="A237" s="116" t="str">
        <f>Actual_Data!C237</f>
        <v>Riya jain </v>
      </c>
      <c r="B237" s="117">
        <f>Actual_Data!B237</f>
        <v>273</v>
      </c>
      <c r="C237" s="117">
        <f>IFERROR(IF(VLOOKUP(B237,Aaradhak_Details!$E:$F,2,FALSE)&lt;&gt;"",VLOOKUP(B237,Aaradhak_Details!$E:$F,2,FALSE),Actual_Data!D237),Actual_Data!D237)</f>
        <v>32</v>
      </c>
      <c r="D237" s="116" t="str">
        <f>IFERROR(VLOOKUP(B237,Aaradhak_Details!$E:$G,3,FALSE),"")</f>
        <v>B +ve</v>
      </c>
      <c r="E237" s="117">
        <f>IFERROR(IF(VLOOKUP(B237,Aaradhak_Details!$E:$I,5,FALSE)&lt;&gt;"",VLOOKUP(B237,Aaradhak_Details!$E:$I,5,FALSE),Actual_Data!E237),Actual_Data!E237)</f>
        <v>7879097104</v>
      </c>
      <c r="F237" s="118" t="str">
        <f t="array" ref="F237">IFERROR(
  INDEX(Aaradhak_Details!J:J, MATCH(B237, Aaradhak_Details!E:E, 0)),
  ""
)
</f>
        <v>https://drive.google.com/open?id=10rx2VRP-TYTySSOgPvm6QlCbgS2xvZsW</v>
      </c>
    </row>
    <row r="238" ht="22.5" customHeight="1">
      <c r="A238" s="116" t="str">
        <f>Actual_Data!C238</f>
        <v>Riya seth </v>
      </c>
      <c r="B238" s="117">
        <f>Actual_Data!B238</f>
        <v>274</v>
      </c>
      <c r="C238" s="117">
        <f>IFERROR(IF(VLOOKUP(B238,Aaradhak_Details!$E:$F,2,FALSE)&lt;&gt;"",VLOOKUP(B238,Aaradhak_Details!$E:$F,2,FALSE),Actual_Data!D238),Actual_Data!D238)</f>
        <v>22</v>
      </c>
      <c r="D238" s="116" t="str">
        <f>IFERROR(VLOOKUP(B238,Aaradhak_Details!$E:$G,3,FALSE),"")</f>
        <v>AB +ve</v>
      </c>
      <c r="E238" s="117">
        <f>IFERROR(IF(VLOOKUP(B238,Aaradhak_Details!$E:$I,5,FALSE)&lt;&gt;"",VLOOKUP(B238,Aaradhak_Details!$E:$I,5,FALSE),Actual_Data!E238),Actual_Data!E238)</f>
        <v>7737162264</v>
      </c>
      <c r="F238" s="118" t="str">
        <f t="array" ref="F238">IFERROR(
  INDEX(Aaradhak_Details!J:J, MATCH(B238, Aaradhak_Details!E:E, 0)),
  ""
)
</f>
        <v>https://drive.google.com/open?id=1bBgeAfArxExago0Z_PfqG9eufNYvFx7m</v>
      </c>
    </row>
    <row r="239" ht="22.5" customHeight="1">
      <c r="A239" s="116" t="str">
        <f>Actual_Data!C239</f>
        <v>Ruchika Jain</v>
      </c>
      <c r="B239" s="117">
        <f>Actual_Data!B239</f>
        <v>278</v>
      </c>
      <c r="C239" s="117">
        <f>IFERROR(IF(VLOOKUP(B239,Aaradhak_Details!$E:$F,2,FALSE)&lt;&gt;"",VLOOKUP(B239,Aaradhak_Details!$E:$F,2,FALSE),Actual_Data!D239),Actual_Data!D239)</f>
        <v>25</v>
      </c>
      <c r="D239" s="116" t="str">
        <f>IFERROR(VLOOKUP(B239,Aaradhak_Details!$E:$G,3,FALSE),"")</f>
        <v>O +ve</v>
      </c>
      <c r="E239" s="117">
        <f>IFERROR(IF(VLOOKUP(B239,Aaradhak_Details!$E:$I,5,FALSE)&lt;&gt;"",VLOOKUP(B239,Aaradhak_Details!$E:$I,5,FALSE),Actual_Data!E239),Actual_Data!E239)</f>
        <v>9589851870</v>
      </c>
      <c r="F239" s="118" t="str">
        <f t="array" ref="F239">IFERROR(
  INDEX(Aaradhak_Details!J:J, MATCH(B239, Aaradhak_Details!E:E, 0)),
  ""
)
</f>
        <v>https://drive.google.com/open?id=1hsqgh4vjWvJEkPrHymNKpXSTax2X0nme</v>
      </c>
    </row>
    <row r="240" ht="22.5" customHeight="1">
      <c r="A240" s="116" t="str">
        <f>Actual_Data!C240</f>
        <v>Sachi Sachin shah</v>
      </c>
      <c r="B240" s="117">
        <f>Actual_Data!B240</f>
        <v>279</v>
      </c>
      <c r="C240" s="117">
        <f>IFERROR(IF(VLOOKUP(B240,Aaradhak_Details!$E:$F,2,FALSE)&lt;&gt;"",VLOOKUP(B240,Aaradhak_Details!$E:$F,2,FALSE),Actual_Data!D240),Actual_Data!D240)</f>
        <v>21</v>
      </c>
      <c r="D240" s="116" t="str">
        <f>IFERROR(VLOOKUP(B240,Aaradhak_Details!$E:$G,3,FALSE),"")</f>
        <v>O +ve</v>
      </c>
      <c r="E240" s="117">
        <f>IFERROR(IF(VLOOKUP(B240,Aaradhak_Details!$E:$I,5,FALSE)&lt;&gt;"",VLOOKUP(B240,Aaradhak_Details!$E:$I,5,FALSE),Actual_Data!E240),Actual_Data!E240)</f>
        <v>9822500319</v>
      </c>
      <c r="F240" s="118" t="str">
        <f t="array" ref="F240">IFERROR(
  INDEX(Aaradhak_Details!J:J, MATCH(B240, Aaradhak_Details!E:E, 0)),
  ""
)
</f>
        <v>https://drive.google.com/open?id=1D4n2jPXeAl8hhEjLtRNg8FVBI_L3liSn</v>
      </c>
    </row>
    <row r="241" ht="22.5" customHeight="1">
      <c r="A241" s="116" t="str">
        <f>Actual_Data!C241</f>
        <v> Sanchi</v>
      </c>
      <c r="B241" s="117">
        <f>Actual_Data!B241</f>
        <v>280</v>
      </c>
      <c r="C241" s="117">
        <f>IFERROR(IF(VLOOKUP(B241,Aaradhak_Details!$E:$F,2,FALSE)&lt;&gt;"",VLOOKUP(B241,Aaradhak_Details!$E:$F,2,FALSE),Actual_Data!D241),Actual_Data!D241)</f>
        <v>18</v>
      </c>
      <c r="D241" s="116" t="str">
        <f>IFERROR(VLOOKUP(B241,Aaradhak_Details!$E:$G,3,FALSE),"")</f>
        <v/>
      </c>
      <c r="E241" s="117">
        <f>IFERROR(IF(VLOOKUP(B241,Aaradhak_Details!$E:$I,5,FALSE)&lt;&gt;"",VLOOKUP(B241,Aaradhak_Details!$E:$I,5,FALSE),Actual_Data!E241),Actual_Data!E241)</f>
        <v>9770826316</v>
      </c>
      <c r="F241" s="94" t="str">
        <f t="array" ref="F241">IFERROR(
  INDEX(Aaradhak_Details!J:J, MATCH(B241, Aaradhak_Details!E:E, 0)),
  ""
)
</f>
        <v/>
      </c>
    </row>
    <row r="242" ht="22.5" customHeight="1">
      <c r="A242" s="116" t="str">
        <f>Actual_Data!C242</f>
        <v>Sakshi Chetan Shah </v>
      </c>
      <c r="B242" s="117">
        <f>Actual_Data!B242</f>
        <v>282</v>
      </c>
      <c r="C242" s="117">
        <f>IFERROR(IF(VLOOKUP(B242,Aaradhak_Details!$E:$F,2,FALSE)&lt;&gt;"",VLOOKUP(B242,Aaradhak_Details!$E:$F,2,FALSE),Actual_Data!D242),Actual_Data!D242)</f>
        <v>23</v>
      </c>
      <c r="D242" s="116" t="str">
        <f>IFERROR(VLOOKUP(B242,Aaradhak_Details!$E:$G,3,FALSE),"")</f>
        <v>B +ve</v>
      </c>
      <c r="E242" s="117">
        <f>IFERROR(IF(VLOOKUP(B242,Aaradhak_Details!$E:$I,5,FALSE)&lt;&gt;"",VLOOKUP(B242,Aaradhak_Details!$E:$I,5,FALSE),Actual_Data!E242),Actual_Data!E242)</f>
        <v>9324834354</v>
      </c>
      <c r="F242" s="118" t="str">
        <f t="array" ref="F242">IFERROR(
  INDEX(Aaradhak_Details!J:J, MATCH(B242, Aaradhak_Details!E:E, 0)),
  ""
)
</f>
        <v>https://drive.google.com/open?id=1IbhzsAgRzvWA-E1i9V6MhjfqJ9-lW-C8</v>
      </c>
    </row>
    <row r="243" ht="22.5" customHeight="1">
      <c r="A243" s="116" t="str">
        <f>Actual_Data!C243</f>
        <v>Sakshi Jain </v>
      </c>
      <c r="B243" s="117">
        <f>Actual_Data!B243</f>
        <v>283</v>
      </c>
      <c r="C243" s="117">
        <f>IFERROR(IF(VLOOKUP(B243,Aaradhak_Details!$E:$F,2,FALSE)&lt;&gt;"",VLOOKUP(B243,Aaradhak_Details!$E:$F,2,FALSE),Actual_Data!D243),Actual_Data!D243)</f>
        <v>24</v>
      </c>
      <c r="D243" s="116" t="str">
        <f>IFERROR(VLOOKUP(B243,Aaradhak_Details!$E:$G,3,FALSE),"")</f>
        <v>O +ve</v>
      </c>
      <c r="E243" s="117">
        <f>IFERROR(IF(VLOOKUP(B243,Aaradhak_Details!$E:$I,5,FALSE)&lt;&gt;"",VLOOKUP(B243,Aaradhak_Details!$E:$I,5,FALSE),Actual_Data!E243),Actual_Data!E243)</f>
        <v>8290847487</v>
      </c>
      <c r="F243" s="118" t="str">
        <f t="array" ref="F243">IFERROR(
  INDEX(Aaradhak_Details!J:J, MATCH(B243, Aaradhak_Details!E:E, 0)),
  ""
)
</f>
        <v>https://drive.google.com/open?id=1NInYPdrkc2he29atjjQvx2iC8L4minL_</v>
      </c>
    </row>
    <row r="244" ht="22.5" customHeight="1">
      <c r="A244" s="116" t="str">
        <f>Actual_Data!C244</f>
        <v>Sakshi Viresh Jain </v>
      </c>
      <c r="B244" s="117">
        <f>Actual_Data!B244</f>
        <v>284</v>
      </c>
      <c r="C244" s="117">
        <f>IFERROR(IF(VLOOKUP(B244,Aaradhak_Details!$E:$F,2,FALSE)&lt;&gt;"",VLOOKUP(B244,Aaradhak_Details!$E:$F,2,FALSE),Actual_Data!D244),Actual_Data!D244)</f>
        <v>22</v>
      </c>
      <c r="D244" s="116" t="str">
        <f>IFERROR(VLOOKUP(B244,Aaradhak_Details!$E:$G,3,FALSE),"")</f>
        <v>A +ve</v>
      </c>
      <c r="E244" s="117">
        <f>IFERROR(IF(VLOOKUP(B244,Aaradhak_Details!$E:$I,5,FALSE)&lt;&gt;"",VLOOKUP(B244,Aaradhak_Details!$E:$I,5,FALSE),Actual_Data!E244),Actual_Data!E244)</f>
        <v>9004750040</v>
      </c>
      <c r="F244" s="118" t="str">
        <f t="array" ref="F244">IFERROR(
  INDEX(Aaradhak_Details!J:J, MATCH(B244, Aaradhak_Details!E:E, 0)),
  ""
)
</f>
        <v>https://drive.google.com/open?id=1letRcO4pCWFEza0-_0xvbkIsVRT8zirL</v>
      </c>
    </row>
    <row r="245" ht="22.5" customHeight="1">
      <c r="A245" s="116" t="str">
        <f>Actual_Data!C245</f>
        <v>Saloni Chandravat</v>
      </c>
      <c r="B245" s="117">
        <f>Actual_Data!B245</f>
        <v>285</v>
      </c>
      <c r="C245" s="117">
        <f>IFERROR(IF(VLOOKUP(B245,Aaradhak_Details!$E:$F,2,FALSE)&lt;&gt;"",VLOOKUP(B245,Aaradhak_Details!$E:$F,2,FALSE),Actual_Data!D245),Actual_Data!D245)</f>
        <v>28</v>
      </c>
      <c r="D245" s="116" t="str">
        <f>IFERROR(VLOOKUP(B245,Aaradhak_Details!$E:$G,3,FALSE),"")</f>
        <v>A +ve</v>
      </c>
      <c r="E245" s="117">
        <f>IFERROR(IF(VLOOKUP(B245,Aaradhak_Details!$E:$I,5,FALSE)&lt;&gt;"",VLOOKUP(B245,Aaradhak_Details!$E:$I,5,FALSE),Actual_Data!E245),Actual_Data!E245)</f>
        <v>9340793445</v>
      </c>
      <c r="F245" s="118" t="str">
        <f t="array" ref="F245">IFERROR(
  INDEX(Aaradhak_Details!J:J, MATCH(B245, Aaradhak_Details!E:E, 0)),
  ""
)
</f>
        <v>https://drive.google.com/open?id=1Pn0ANV3jkunx_wy4YhZCR_5L5__lEB0v</v>
      </c>
    </row>
    <row r="246" ht="22.5" customHeight="1">
      <c r="A246" s="116" t="str">
        <f>Actual_Data!C246</f>
        <v>Saloni Gandhi</v>
      </c>
      <c r="B246" s="117">
        <f>Actual_Data!B246</f>
        <v>286</v>
      </c>
      <c r="C246" s="117">
        <f>IFERROR(IF(VLOOKUP(B246,Aaradhak_Details!$E:$F,2,FALSE)&lt;&gt;"",VLOOKUP(B246,Aaradhak_Details!$E:$F,2,FALSE),Actual_Data!D246),Actual_Data!D246)</f>
        <v>23</v>
      </c>
      <c r="D246" s="116" t="str">
        <f>IFERROR(VLOOKUP(B246,Aaradhak_Details!$E:$G,3,FALSE),"")</f>
        <v>O +ve</v>
      </c>
      <c r="E246" s="117">
        <f>IFERROR(IF(VLOOKUP(B246,Aaradhak_Details!$E:$I,5,FALSE)&lt;&gt;"",VLOOKUP(B246,Aaradhak_Details!$E:$I,5,FALSE),Actual_Data!E246),Actual_Data!E246)</f>
        <v>7999841441</v>
      </c>
      <c r="F246" s="118" t="str">
        <f t="array" ref="F246">IFERROR(
  INDEX(Aaradhak_Details!J:J, MATCH(B246, Aaradhak_Details!E:E, 0)),
  ""
)
</f>
        <v>https://drive.google.com/open?id=1lh_updHJBeVFj18gpy7iF2ZgHw2tGBVi</v>
      </c>
    </row>
    <row r="247" ht="22.5" customHeight="1">
      <c r="A247" s="116" t="str">
        <f>Actual_Data!C247</f>
        <v>Saloni Jain</v>
      </c>
      <c r="B247" s="117">
        <f>Actual_Data!B247</f>
        <v>287</v>
      </c>
      <c r="C247" s="117">
        <f>IFERROR(IF(VLOOKUP(B247,Aaradhak_Details!$E:$F,2,FALSE)&lt;&gt;"",VLOOKUP(B247,Aaradhak_Details!$E:$F,2,FALSE),Actual_Data!D247),Actual_Data!D247)</f>
        <v>27</v>
      </c>
      <c r="D247" s="116" t="str">
        <f>IFERROR(VLOOKUP(B247,Aaradhak_Details!$E:$G,3,FALSE),"")</f>
        <v>O +ve</v>
      </c>
      <c r="E247" s="117">
        <f>IFERROR(IF(VLOOKUP(B247,Aaradhak_Details!$E:$I,5,FALSE)&lt;&gt;"",VLOOKUP(B247,Aaradhak_Details!$E:$I,5,FALSE),Actual_Data!E247),Actual_Data!E247)</f>
        <v>8980451737</v>
      </c>
      <c r="F247" s="118" t="str">
        <f t="array" ref="F247">IFERROR(
  INDEX(Aaradhak_Details!J:J, MATCH(B247, Aaradhak_Details!E:E, 0)),
  ""
)
</f>
        <v>https://drive.google.com/open?id=1eUMhqmnQLQjCdyCsiiMKtFlp2jSBx_vV</v>
      </c>
    </row>
    <row r="248" ht="22.5" customHeight="1">
      <c r="A248" s="116" t="str">
        <f>Actual_Data!C248</f>
        <v>Sanvi sachin shah</v>
      </c>
      <c r="B248" s="117">
        <f>Actual_Data!B248</f>
        <v>289</v>
      </c>
      <c r="C248" s="117">
        <f>IFERROR(IF(VLOOKUP(B248,Aaradhak_Details!$E:$F,2,FALSE)&lt;&gt;"",VLOOKUP(B248,Aaradhak_Details!$E:$F,2,FALSE),Actual_Data!D248),Actual_Data!D248)</f>
        <v>18</v>
      </c>
      <c r="D248" s="116" t="str">
        <f>IFERROR(VLOOKUP(B248,Aaradhak_Details!$E:$G,3,FALSE),"")</f>
        <v>B +ve</v>
      </c>
      <c r="E248" s="117">
        <f>IFERROR(IF(VLOOKUP(B248,Aaradhak_Details!$E:$I,5,FALSE)&lt;&gt;"",VLOOKUP(B248,Aaradhak_Details!$E:$I,5,FALSE),Actual_Data!E248),Actual_Data!E248)</f>
        <v>9822500319</v>
      </c>
      <c r="F248" s="118" t="str">
        <f t="array" ref="F248">IFERROR(
  INDEX(Aaradhak_Details!J:J, MATCH(B248, Aaradhak_Details!E:E, 0)),
  ""
)
</f>
        <v>https://drive.google.com/open?id=1xD8mMVztJWoSBak411mo8XrYz7bRrW6u</v>
      </c>
    </row>
    <row r="249" ht="22.5" customHeight="1">
      <c r="A249" s="116" t="str">
        <f>Actual_Data!C249</f>
        <v>SEEMA VIKAS JAIN</v>
      </c>
      <c r="B249" s="117">
        <f>Actual_Data!B249</f>
        <v>290</v>
      </c>
      <c r="C249" s="117">
        <f>IFERROR(IF(VLOOKUP(B249,Aaradhak_Details!$E:$F,2,FALSE)&lt;&gt;"",VLOOKUP(B249,Aaradhak_Details!$E:$F,2,FALSE),Actual_Data!D249),Actual_Data!D249)</f>
        <v>40</v>
      </c>
      <c r="D249" s="116" t="str">
        <f>IFERROR(VLOOKUP(B249,Aaradhak_Details!$E:$G,3,FALSE),"")</f>
        <v>B +ve</v>
      </c>
      <c r="E249" s="117">
        <f>IFERROR(IF(VLOOKUP(B249,Aaradhak_Details!$E:$I,5,FALSE)&lt;&gt;"",VLOOKUP(B249,Aaradhak_Details!$E:$I,5,FALSE),Actual_Data!E249),Actual_Data!E249)</f>
        <v>98198846643</v>
      </c>
      <c r="F249" s="118" t="str">
        <f t="array" ref="F249">IFERROR(
  INDEX(Aaradhak_Details!J:J, MATCH(B249, Aaradhak_Details!E:E, 0)),
  ""
)
</f>
        <v>https://drive.google.com/open?id=1E4aiAmpuGTry7VsAIBPEmnVy23vr432d</v>
      </c>
    </row>
    <row r="250" ht="22.5" customHeight="1">
      <c r="A250" s="116" t="str">
        <f>Actual_Data!C250</f>
        <v>Sejal hain</v>
      </c>
      <c r="B250" s="117">
        <f>Actual_Data!B250</f>
        <v>291</v>
      </c>
      <c r="C250" s="117">
        <f>IFERROR(IF(VLOOKUP(B250,Aaradhak_Details!$E:$F,2,FALSE)&lt;&gt;"",VLOOKUP(B250,Aaradhak_Details!$E:$F,2,FALSE),Actual_Data!D250),Actual_Data!D250)</f>
        <v>25</v>
      </c>
      <c r="D250" s="116" t="str">
        <f>IFERROR(VLOOKUP(B250,Aaradhak_Details!$E:$G,3,FALSE),"")</f>
        <v/>
      </c>
      <c r="E250" s="117">
        <f>IFERROR(IF(VLOOKUP(B250,Aaradhak_Details!$E:$I,5,FALSE)&lt;&gt;"",VLOOKUP(B250,Aaradhak_Details!$E:$I,5,FALSE),Actual_Data!E250),Actual_Data!E250)</f>
        <v>8928012880</v>
      </c>
      <c r="F250" s="94" t="str">
        <f t="array" ref="F250">IFERROR(
  INDEX(Aaradhak_Details!J:J, MATCH(B250, Aaradhak_Details!E:E, 0)),
  ""
)
</f>
        <v/>
      </c>
    </row>
    <row r="251" ht="22.5" customHeight="1">
      <c r="A251" s="116" t="str">
        <f>Actual_Data!C251</f>
        <v>Sejal jain</v>
      </c>
      <c r="B251" s="117">
        <f>Actual_Data!B251</f>
        <v>292</v>
      </c>
      <c r="C251" s="117">
        <f>IFERROR(IF(VLOOKUP(B251,Aaradhak_Details!$E:$F,2,FALSE)&lt;&gt;"",VLOOKUP(B251,Aaradhak_Details!$E:$F,2,FALSE),Actual_Data!D251),Actual_Data!D251)</f>
        <v>26</v>
      </c>
      <c r="D251" s="116" t="str">
        <f>IFERROR(VLOOKUP(B251,Aaradhak_Details!$E:$G,3,FALSE),"")</f>
        <v/>
      </c>
      <c r="E251" s="117">
        <f>IFERROR(IF(VLOOKUP(B251,Aaradhak_Details!$E:$I,5,FALSE)&lt;&gt;"",VLOOKUP(B251,Aaradhak_Details!$E:$I,5,FALSE),Actual_Data!E251),Actual_Data!E251)</f>
        <v>8080352505</v>
      </c>
      <c r="F251" s="94" t="str">
        <f t="array" ref="F251">IFERROR(
  INDEX(Aaradhak_Details!J:J, MATCH(B251, Aaradhak_Details!E:E, 0)),
  ""
)
</f>
        <v/>
      </c>
    </row>
    <row r="252" ht="22.5" customHeight="1">
      <c r="A252" s="116" t="str">
        <f>Actual_Data!C252</f>
        <v>Sejal vikas rathod</v>
      </c>
      <c r="B252" s="117">
        <f>Actual_Data!B252</f>
        <v>293</v>
      </c>
      <c r="C252" s="117">
        <f>IFERROR(IF(VLOOKUP(B252,Aaradhak_Details!$E:$F,2,FALSE)&lt;&gt;"",VLOOKUP(B252,Aaradhak_Details!$E:$F,2,FALSE),Actual_Data!D252),Actual_Data!D252)</f>
        <v>33</v>
      </c>
      <c r="D252" s="116" t="str">
        <f>IFERROR(VLOOKUP(B252,Aaradhak_Details!$E:$G,3,FALSE),"")</f>
        <v/>
      </c>
      <c r="E252" s="117">
        <f>IFERROR(IF(VLOOKUP(B252,Aaradhak_Details!$E:$I,5,FALSE)&lt;&gt;"",VLOOKUP(B252,Aaradhak_Details!$E:$I,5,FALSE),Actual_Data!E252),Actual_Data!E252)</f>
        <v>8879768484</v>
      </c>
      <c r="F252" s="94" t="str">
        <f t="array" ref="F252">IFERROR(
  INDEX(Aaradhak_Details!J:J, MATCH(B252, Aaradhak_Details!E:E, 0)),
  ""
)
</f>
        <v/>
      </c>
    </row>
    <row r="253" ht="22.5" customHeight="1">
      <c r="A253" s="116" t="str">
        <f>Actual_Data!C253</f>
        <v>Shah Drashti Timirkumar</v>
      </c>
      <c r="B253" s="117">
        <f>Actual_Data!B253</f>
        <v>295</v>
      </c>
      <c r="C253" s="117">
        <f>IFERROR(IF(VLOOKUP(B253,Aaradhak_Details!$E:$F,2,FALSE)&lt;&gt;"",VLOOKUP(B253,Aaradhak_Details!$E:$F,2,FALSE),Actual_Data!D253),Actual_Data!D253)</f>
        <v>23</v>
      </c>
      <c r="D253" s="116" t="str">
        <f>IFERROR(VLOOKUP(B253,Aaradhak_Details!$E:$G,3,FALSE),"")</f>
        <v>A +ve</v>
      </c>
      <c r="E253" s="117">
        <f>IFERROR(IF(VLOOKUP(B253,Aaradhak_Details!$E:$I,5,FALSE)&lt;&gt;"",VLOOKUP(B253,Aaradhak_Details!$E:$I,5,FALSE),Actual_Data!E253),Actual_Data!E253)</f>
        <v>8141458076</v>
      </c>
      <c r="F253" s="118" t="str">
        <f t="array" ref="F253">IFERROR(
  INDEX(Aaradhak_Details!J:J, MATCH(B253, Aaradhak_Details!E:E, 0)),
  ""
)
</f>
        <v>https://drive.google.com/open?id=1Bq9yKp3-sB8IsFWimJgor_8PsdgtzbeQ</v>
      </c>
    </row>
    <row r="254" ht="22.5" customHeight="1">
      <c r="A254" s="116" t="str">
        <f>Actual_Data!C254</f>
        <v>Shah Drashty Jignesh </v>
      </c>
      <c r="B254" s="117">
        <f>Actual_Data!B254</f>
        <v>296</v>
      </c>
      <c r="C254" s="117">
        <f>IFERROR(IF(VLOOKUP(B254,Aaradhak_Details!$E:$F,2,FALSE)&lt;&gt;"",VLOOKUP(B254,Aaradhak_Details!$E:$F,2,FALSE),Actual_Data!D254),Actual_Data!D254)</f>
        <v>22</v>
      </c>
      <c r="D254" s="116" t="str">
        <f>IFERROR(VLOOKUP(B254,Aaradhak_Details!$E:$G,3,FALSE),"")</f>
        <v>O +ve</v>
      </c>
      <c r="E254" s="117">
        <f>IFERROR(IF(VLOOKUP(B254,Aaradhak_Details!$E:$I,5,FALSE)&lt;&gt;"",VLOOKUP(B254,Aaradhak_Details!$E:$I,5,FALSE),Actual_Data!E254),Actual_Data!E254)</f>
        <v>9328715327</v>
      </c>
      <c r="F254" s="118" t="str">
        <f t="array" ref="F254">IFERROR(
  INDEX(Aaradhak_Details!J:J, MATCH(B254, Aaradhak_Details!E:E, 0)),
  ""
)
</f>
        <v>https://drive.google.com/open?id=1rB831Ma3p8NuJvg_L-3vzc99oj5oNi4z</v>
      </c>
    </row>
    <row r="255" ht="22.5" customHeight="1">
      <c r="A255" s="116" t="str">
        <f>Actual_Data!C255</f>
        <v>Shah isha divyang kumar </v>
      </c>
      <c r="B255" s="117">
        <f>Actual_Data!B255</f>
        <v>297</v>
      </c>
      <c r="C255" s="117">
        <f>IFERROR(IF(VLOOKUP(B255,Aaradhak_Details!$E:$F,2,FALSE)&lt;&gt;"",VLOOKUP(B255,Aaradhak_Details!$E:$F,2,FALSE),Actual_Data!D255),Actual_Data!D255)</f>
        <v>24</v>
      </c>
      <c r="D255" s="116" t="str">
        <f>IFERROR(VLOOKUP(B255,Aaradhak_Details!$E:$G,3,FALSE),"")</f>
        <v>B +ve</v>
      </c>
      <c r="E255" s="117">
        <f>IFERROR(IF(VLOOKUP(B255,Aaradhak_Details!$E:$I,5,FALSE)&lt;&gt;"",VLOOKUP(B255,Aaradhak_Details!$E:$I,5,FALSE),Actual_Data!E255),Actual_Data!E255)</f>
        <v>9998478588</v>
      </c>
      <c r="F255" s="118" t="str">
        <f t="array" ref="F255">IFERROR(
  INDEX(Aaradhak_Details!J:J, MATCH(B255, Aaradhak_Details!E:E, 0)),
  ""
)
</f>
        <v>https://drive.google.com/open?id=1RIeTFPmMTWKE5frObn_KcwhvcTLP1VJ8</v>
      </c>
    </row>
    <row r="256" ht="22.5" customHeight="1">
      <c r="A256" s="116" t="str">
        <f>Actual_Data!C256</f>
        <v>Shah Jinal Girishbhai </v>
      </c>
      <c r="B256" s="117">
        <f>Actual_Data!B256</f>
        <v>298</v>
      </c>
      <c r="C256" s="117">
        <f>IFERROR(IF(VLOOKUP(B256,Aaradhak_Details!$E:$F,2,FALSE)&lt;&gt;"",VLOOKUP(B256,Aaradhak_Details!$E:$F,2,FALSE),Actual_Data!D256),Actual_Data!D256)</f>
        <v>24</v>
      </c>
      <c r="D256" s="116" t="str">
        <f>IFERROR(VLOOKUP(B256,Aaradhak_Details!$E:$G,3,FALSE),"")</f>
        <v/>
      </c>
      <c r="E256" s="117">
        <f>IFERROR(IF(VLOOKUP(B256,Aaradhak_Details!$E:$I,5,FALSE)&lt;&gt;"",VLOOKUP(B256,Aaradhak_Details!$E:$I,5,FALSE),Actual_Data!E256),Actual_Data!E256)</f>
        <v>9033120743</v>
      </c>
      <c r="F256" s="94" t="str">
        <f t="array" ref="F256">IFERROR(
  INDEX(Aaradhak_Details!J:J, MATCH(B256, Aaradhak_Details!E:E, 0)),
  ""
)
</f>
        <v/>
      </c>
    </row>
    <row r="257" ht="22.5" customHeight="1">
      <c r="A257" s="116" t="str">
        <f>Actual_Data!C257</f>
        <v>Shah Mahi jigneshbhai</v>
      </c>
      <c r="B257" s="117">
        <f>Actual_Data!B257</f>
        <v>299</v>
      </c>
      <c r="C257" s="117">
        <f>IFERROR(IF(VLOOKUP(B257,Aaradhak_Details!$E:$F,2,FALSE)&lt;&gt;"",VLOOKUP(B257,Aaradhak_Details!$E:$F,2,FALSE),Actual_Data!D257),Actual_Data!D257)</f>
        <v>19</v>
      </c>
      <c r="D257" s="116" t="str">
        <f>IFERROR(VLOOKUP(B257,Aaradhak_Details!$E:$G,3,FALSE),"")</f>
        <v>B +ve</v>
      </c>
      <c r="E257" s="117">
        <f>IFERROR(IF(VLOOKUP(B257,Aaradhak_Details!$E:$I,5,FALSE)&lt;&gt;"",VLOOKUP(B257,Aaradhak_Details!$E:$I,5,FALSE),Actual_Data!E257),Actual_Data!E257)</f>
        <v>9427225286</v>
      </c>
      <c r="F257" s="118" t="str">
        <f t="array" ref="F257">IFERROR(
  INDEX(Aaradhak_Details!J:J, MATCH(B257, Aaradhak_Details!E:E, 0)),
  ""
)
</f>
        <v>https://drive.google.com/open?id=1xlkw00dUKDDtKNdOcQa_92w2kN0DwvPg</v>
      </c>
    </row>
    <row r="258" ht="22.5" customHeight="1">
      <c r="A258" s="116" t="str">
        <f>Actual_Data!C258</f>
        <v>Shah Yesha Jitendra</v>
      </c>
      <c r="B258" s="117">
        <f>Actual_Data!B258</f>
        <v>300</v>
      </c>
      <c r="C258" s="117">
        <f>IFERROR(IF(VLOOKUP(B258,Aaradhak_Details!$E:$F,2,FALSE)&lt;&gt;"",VLOOKUP(B258,Aaradhak_Details!$E:$F,2,FALSE),Actual_Data!D258),Actual_Data!D258)</f>
        <v>23</v>
      </c>
      <c r="D258" s="116" t="str">
        <f>IFERROR(VLOOKUP(B258,Aaradhak_Details!$E:$G,3,FALSE),"")</f>
        <v>O +ve</v>
      </c>
      <c r="E258" s="117">
        <f>IFERROR(IF(VLOOKUP(B258,Aaradhak_Details!$E:$I,5,FALSE)&lt;&gt;"",VLOOKUP(B258,Aaradhak_Details!$E:$I,5,FALSE),Actual_Data!E258),Actual_Data!E258)</f>
        <v>9172744300</v>
      </c>
      <c r="F258" s="118" t="str">
        <f t="array" ref="F258">IFERROR(
  INDEX(Aaradhak_Details!J:J, MATCH(B258, Aaradhak_Details!E:E, 0)),
  ""
)
</f>
        <v>https://drive.google.com/open?id=1XIGEF-DqzKOyREJFU1AI-zmDdCT0mhg0</v>
      </c>
    </row>
    <row r="259" ht="22.5" customHeight="1">
      <c r="A259" s="116" t="str">
        <f>Actual_Data!C259</f>
        <v>Shailee Dharmendra Shah</v>
      </c>
      <c r="B259" s="117">
        <f>Actual_Data!B259</f>
        <v>301</v>
      </c>
      <c r="C259" s="117">
        <f>IFERROR(IF(VLOOKUP(B259,Aaradhak_Details!$E:$F,2,FALSE)&lt;&gt;"",VLOOKUP(B259,Aaradhak_Details!$E:$F,2,FALSE),Actual_Data!D259),Actual_Data!D259)</f>
        <v>27</v>
      </c>
      <c r="D259" s="116" t="str">
        <f>IFERROR(VLOOKUP(B259,Aaradhak_Details!$E:$G,3,FALSE),"")</f>
        <v>O +ve</v>
      </c>
      <c r="E259" s="117">
        <f>IFERROR(IF(VLOOKUP(B259,Aaradhak_Details!$E:$I,5,FALSE)&lt;&gt;"",VLOOKUP(B259,Aaradhak_Details!$E:$I,5,FALSE),Actual_Data!E259),Actual_Data!E259)</f>
        <v>9820163019</v>
      </c>
      <c r="F259" s="118" t="str">
        <f t="array" ref="F259">IFERROR(
  INDEX(Aaradhak_Details!J:J, MATCH(B259, Aaradhak_Details!E:E, 0)),
  ""
)
</f>
        <v>https://drive.google.com/open?id=1dr0alW5H49CXj6iJ5NUqEhcG0F0poSuW</v>
      </c>
    </row>
    <row r="260" ht="22.5" customHeight="1">
      <c r="A260" s="116" t="str">
        <f>Actual_Data!C260</f>
        <v>Shalu</v>
      </c>
      <c r="B260" s="117">
        <f>Actual_Data!B260</f>
        <v>302</v>
      </c>
      <c r="C260" s="117">
        <f>IFERROR(IF(VLOOKUP(B260,Aaradhak_Details!$E:$F,2,FALSE)&lt;&gt;"",VLOOKUP(B260,Aaradhak_Details!$E:$F,2,FALSE),Actual_Data!D260),Actual_Data!D260)</f>
        <v>28</v>
      </c>
      <c r="D260" s="116" t="str">
        <f>IFERROR(VLOOKUP(B260,Aaradhak_Details!$E:$G,3,FALSE),"")</f>
        <v>B +ve</v>
      </c>
      <c r="E260" s="117">
        <f>IFERROR(IF(VLOOKUP(B260,Aaradhak_Details!$E:$I,5,FALSE)&lt;&gt;"",VLOOKUP(B260,Aaradhak_Details!$E:$I,5,FALSE),Actual_Data!E260),Actual_Data!E260)</f>
        <v>9461631046</v>
      </c>
      <c r="F260" s="118" t="str">
        <f t="array" ref="F260">IFERROR(
  INDEX(Aaradhak_Details!J:J, MATCH(B260, Aaradhak_Details!E:E, 0)),
  ""
)
</f>
        <v>https://drive.google.com/open?id=1j6GXWoXl18C4tCeeHoc_ogjF_Ufq-8l6</v>
      </c>
    </row>
    <row r="261" ht="22.5" customHeight="1">
      <c r="A261" s="116" t="str">
        <f>Actual_Data!C261</f>
        <v>Shalu bhandari</v>
      </c>
      <c r="B261" s="117">
        <f>Actual_Data!B261</f>
        <v>303</v>
      </c>
      <c r="C261" s="117">
        <f>IFERROR(IF(VLOOKUP(B261,Aaradhak_Details!$E:$F,2,FALSE)&lt;&gt;"",VLOOKUP(B261,Aaradhak_Details!$E:$F,2,FALSE),Actual_Data!D261),Actual_Data!D261)</f>
        <v>33</v>
      </c>
      <c r="D261" s="116" t="str">
        <f>IFERROR(VLOOKUP(B261,Aaradhak_Details!$E:$G,3,FALSE),"")</f>
        <v/>
      </c>
      <c r="E261" s="117">
        <f>IFERROR(IF(VLOOKUP(B261,Aaradhak_Details!$E:$I,5,FALSE)&lt;&gt;"",VLOOKUP(B261,Aaradhak_Details!$E:$I,5,FALSE),Actual_Data!E261),Actual_Data!E261)</f>
        <v>8435576220</v>
      </c>
      <c r="F261" s="94" t="str">
        <f t="array" ref="F261">IFERROR(
  INDEX(Aaradhak_Details!J:J, MATCH(B261, Aaradhak_Details!E:E, 0)),
  ""
)
</f>
        <v/>
      </c>
    </row>
    <row r="262" ht="22.5" customHeight="1">
      <c r="A262" s="116" t="str">
        <f>Actual_Data!C262</f>
        <v>Shiksha jain </v>
      </c>
      <c r="B262" s="117">
        <f>Actual_Data!B262</f>
        <v>304</v>
      </c>
      <c r="C262" s="117">
        <f>IFERROR(IF(VLOOKUP(B262,Aaradhak_Details!$E:$F,2,FALSE)&lt;&gt;"",VLOOKUP(B262,Aaradhak_Details!$E:$F,2,FALSE),Actual_Data!D262),Actual_Data!D262)</f>
        <v>19</v>
      </c>
      <c r="D262" s="116" t="str">
        <f>IFERROR(VLOOKUP(B262,Aaradhak_Details!$E:$G,3,FALSE),"")</f>
        <v/>
      </c>
      <c r="E262" s="117">
        <f>IFERROR(IF(VLOOKUP(B262,Aaradhak_Details!$E:$I,5,FALSE)&lt;&gt;"",VLOOKUP(B262,Aaradhak_Details!$E:$I,5,FALSE),Actual_Data!E262),Actual_Data!E262)</f>
        <v>9171396575</v>
      </c>
      <c r="F262" s="94" t="str">
        <f t="array" ref="F262">IFERROR(
  INDEX(Aaradhak_Details!J:J, MATCH(B262, Aaradhak_Details!E:E, 0)),
  ""
)
</f>
        <v/>
      </c>
    </row>
    <row r="263" ht="22.5" customHeight="1">
      <c r="A263" s="116" t="str">
        <f>Actual_Data!C263</f>
        <v>Shilpa Suryank Bafna</v>
      </c>
      <c r="B263" s="117">
        <f>Actual_Data!B263</f>
        <v>305</v>
      </c>
      <c r="C263" s="117">
        <f>IFERROR(IF(VLOOKUP(B263,Aaradhak_Details!$E:$F,2,FALSE)&lt;&gt;"",VLOOKUP(B263,Aaradhak_Details!$E:$F,2,FALSE),Actual_Data!D263),Actual_Data!D263)</f>
        <v>36</v>
      </c>
      <c r="D263" s="116" t="str">
        <f>IFERROR(VLOOKUP(B263,Aaradhak_Details!$E:$G,3,FALSE),"")</f>
        <v>O +ve</v>
      </c>
      <c r="E263" s="117">
        <f>IFERROR(IF(VLOOKUP(B263,Aaradhak_Details!$E:$I,5,FALSE)&lt;&gt;"",VLOOKUP(B263,Aaradhak_Details!$E:$I,5,FALSE),Actual_Data!E263),Actual_Data!E263)</f>
        <v>9867672320</v>
      </c>
      <c r="F263" s="118" t="str">
        <f t="array" ref="F263">IFERROR(
  INDEX(Aaradhak_Details!J:J, MATCH(B263, Aaradhak_Details!E:E, 0)),
  ""
)
</f>
        <v>https://drive.google.com/open?id=1vTER4Dpr6ZfOwvXsfc7b7BXT3cCQTSZw</v>
      </c>
    </row>
    <row r="264" ht="22.5" customHeight="1">
      <c r="A264" s="116" t="str">
        <f>Actual_Data!C264</f>
        <v>Shivani Jain</v>
      </c>
      <c r="B264" s="117">
        <f>Actual_Data!B264</f>
        <v>306</v>
      </c>
      <c r="C264" s="117" t="str">
        <f>IFERROR(IF(VLOOKUP(B264,Aaradhak_Details!$E:$F,2,FALSE)&lt;&gt;"",VLOOKUP(B264,Aaradhak_Details!$E:$F,2,FALSE),Actual_Data!D264),Actual_Data!D264)</f>
        <v/>
      </c>
      <c r="D264" s="116" t="str">
        <f>IFERROR(VLOOKUP(B264,Aaradhak_Details!$E:$G,3,FALSE),"")</f>
        <v/>
      </c>
      <c r="E264" s="117">
        <f>IFERROR(IF(VLOOKUP(B264,Aaradhak_Details!$E:$I,5,FALSE)&lt;&gt;"",VLOOKUP(B264,Aaradhak_Details!$E:$I,5,FALSE),Actual_Data!E264),Actual_Data!E264)</f>
        <v>9893664876</v>
      </c>
      <c r="F264" s="94" t="str">
        <f t="array" ref="F264">IFERROR(
  INDEX(Aaradhak_Details!J:J, MATCH(B264, Aaradhak_Details!E:E, 0)),
  ""
)
</f>
        <v/>
      </c>
    </row>
    <row r="265" ht="22.5" customHeight="1">
      <c r="A265" s="116" t="str">
        <f>Actual_Data!C265</f>
        <v>Shree jain</v>
      </c>
      <c r="B265" s="117">
        <f>Actual_Data!B265</f>
        <v>308</v>
      </c>
      <c r="C265" s="117">
        <f>IFERROR(IF(VLOOKUP(B265,Aaradhak_Details!$E:$F,2,FALSE)&lt;&gt;"",VLOOKUP(B265,Aaradhak_Details!$E:$F,2,FALSE),Actual_Data!D265),Actual_Data!D265)</f>
        <v>17</v>
      </c>
      <c r="D265" s="116" t="str">
        <f>IFERROR(VLOOKUP(B265,Aaradhak_Details!$E:$G,3,FALSE),"")</f>
        <v>A +ve</v>
      </c>
      <c r="E265" s="117">
        <f>IFERROR(IF(VLOOKUP(B265,Aaradhak_Details!$E:$I,5,FALSE)&lt;&gt;"",VLOOKUP(B265,Aaradhak_Details!$E:$I,5,FALSE),Actual_Data!E265),Actual_Data!E265)</f>
        <v>8602525986</v>
      </c>
      <c r="F265" s="118" t="str">
        <f t="array" ref="F265">IFERROR(
  INDEX(Aaradhak_Details!J:J, MATCH(B265, Aaradhak_Details!E:E, 0)),
  ""
)
</f>
        <v>https://drive.google.com/open?id=1u3cUGkr13HK5htYIhy9I9E3PRo0Zd2Hd</v>
      </c>
    </row>
    <row r="266" ht="22.5" customHeight="1">
      <c r="A266" s="116" t="str">
        <f>Actual_Data!C266</f>
        <v>Shreya Mitul Gandhi</v>
      </c>
      <c r="B266" s="117">
        <f>Actual_Data!B266</f>
        <v>309</v>
      </c>
      <c r="C266" s="117">
        <f>IFERROR(IF(VLOOKUP(B266,Aaradhak_Details!$E:$F,2,FALSE)&lt;&gt;"",VLOOKUP(B266,Aaradhak_Details!$E:$F,2,FALSE),Actual_Data!D266),Actual_Data!D266)</f>
        <v>28</v>
      </c>
      <c r="D266" s="116" t="str">
        <f>IFERROR(VLOOKUP(B266,Aaradhak_Details!$E:$G,3,FALSE),"")</f>
        <v/>
      </c>
      <c r="E266" s="117">
        <f>IFERROR(IF(VLOOKUP(B266,Aaradhak_Details!$E:$I,5,FALSE)&lt;&gt;"",VLOOKUP(B266,Aaradhak_Details!$E:$I,5,FALSE),Actual_Data!E266),Actual_Data!E266)</f>
        <v>7021355704</v>
      </c>
      <c r="F266" s="94" t="str">
        <f t="array" ref="F266">IFERROR(
  INDEX(Aaradhak_Details!J:J, MATCH(B266, Aaradhak_Details!E:E, 0)),
  ""
)
</f>
        <v/>
      </c>
    </row>
    <row r="267" ht="22.5" customHeight="1">
      <c r="A267" s="116" t="str">
        <f>Actual_Data!C267</f>
        <v>Shrusti Jayesh Dedhia</v>
      </c>
      <c r="B267" s="117">
        <f>Actual_Data!B267</f>
        <v>310</v>
      </c>
      <c r="C267" s="117">
        <f>IFERROR(IF(VLOOKUP(B267,Aaradhak_Details!$E:$F,2,FALSE)&lt;&gt;"",VLOOKUP(B267,Aaradhak_Details!$E:$F,2,FALSE),Actual_Data!D267),Actual_Data!D267)</f>
        <v>25</v>
      </c>
      <c r="D267" s="116" t="str">
        <f>IFERROR(VLOOKUP(B267,Aaradhak_Details!$E:$G,3,FALSE),"")</f>
        <v>AB +ve</v>
      </c>
      <c r="E267" s="117">
        <f>IFERROR(IF(VLOOKUP(B267,Aaradhak_Details!$E:$I,5,FALSE)&lt;&gt;"",VLOOKUP(B267,Aaradhak_Details!$E:$I,5,FALSE),Actual_Data!E267),Actual_Data!E267)</f>
        <v>9769115162</v>
      </c>
      <c r="F267" s="118" t="str">
        <f t="array" ref="F267">IFERROR(
  INDEX(Aaradhak_Details!J:J, MATCH(B267, Aaradhak_Details!E:E, 0)),
  ""
)
</f>
        <v>https://drive.google.com/open?id=1VPUMcPDgRaWgzYK6vVRd44g2frJbizzA</v>
      </c>
    </row>
    <row r="268" ht="22.5" customHeight="1">
      <c r="A268" s="116" t="str">
        <f>Actual_Data!C268</f>
        <v>Shruti mukesh Kothari</v>
      </c>
      <c r="B268" s="117">
        <f>Actual_Data!B268</f>
        <v>311</v>
      </c>
      <c r="C268" s="117">
        <f>IFERROR(IF(VLOOKUP(B268,Aaradhak_Details!$E:$F,2,FALSE)&lt;&gt;"",VLOOKUP(B268,Aaradhak_Details!$E:$F,2,FALSE),Actual_Data!D268),Actual_Data!D268)</f>
        <v>23</v>
      </c>
      <c r="D268" s="116" t="str">
        <f>IFERROR(VLOOKUP(B268,Aaradhak_Details!$E:$G,3,FALSE),"")</f>
        <v>B +ve</v>
      </c>
      <c r="E268" s="117">
        <f>IFERROR(IF(VLOOKUP(B268,Aaradhak_Details!$E:$I,5,FALSE)&lt;&gt;"",VLOOKUP(B268,Aaradhak_Details!$E:$I,5,FALSE),Actual_Data!E268),Actual_Data!E268)</f>
        <v>9004947766</v>
      </c>
      <c r="F268" s="118" t="str">
        <f t="array" ref="F268">IFERROR(
  INDEX(Aaradhak_Details!J:J, MATCH(B268, Aaradhak_Details!E:E, 0)),
  ""
)
</f>
        <v>https://drive.google.com/open?id=1GjRmmt9pT3PxcR2osxkHltN0CHJmF0pG</v>
      </c>
    </row>
    <row r="269" ht="22.5" customHeight="1">
      <c r="A269" s="116" t="str">
        <f>Actual_Data!C269</f>
        <v>Shruti Sanjay Nahar </v>
      </c>
      <c r="B269" s="117">
        <f>Actual_Data!B269</f>
        <v>312</v>
      </c>
      <c r="C269" s="117">
        <f>IFERROR(IF(VLOOKUP(B269,Aaradhak_Details!$E:$F,2,FALSE)&lt;&gt;"",VLOOKUP(B269,Aaradhak_Details!$E:$F,2,FALSE),Actual_Data!D269),Actual_Data!D269)</f>
        <v>24</v>
      </c>
      <c r="D269" s="116" t="str">
        <f>IFERROR(VLOOKUP(B269,Aaradhak_Details!$E:$G,3,FALSE),"")</f>
        <v>O -ve</v>
      </c>
      <c r="E269" s="117">
        <f>IFERROR(IF(VLOOKUP(B269,Aaradhak_Details!$E:$I,5,FALSE)&lt;&gt;"",VLOOKUP(B269,Aaradhak_Details!$E:$I,5,FALSE),Actual_Data!E269),Actual_Data!E269)</f>
        <v>9270862848</v>
      </c>
      <c r="F269" s="118" t="str">
        <f t="array" ref="F269">IFERROR(
  INDEX(Aaradhak_Details!J:J, MATCH(B269, Aaradhak_Details!E:E, 0)),
  ""
)
</f>
        <v>https://drive.google.com/open?id=1fn2FdTvil0EOkuYI4g6hqICR7RmlgxHR</v>
      </c>
    </row>
    <row r="270" ht="22.5" customHeight="1">
      <c r="A270" s="116" t="str">
        <f>Actual_Data!C270</f>
        <v>Siddhi</v>
      </c>
      <c r="B270" s="117">
        <f>Actual_Data!B270</f>
        <v>314</v>
      </c>
      <c r="C270" s="117">
        <f>IFERROR(IF(VLOOKUP(B270,Aaradhak_Details!$E:$F,2,FALSE)&lt;&gt;"",VLOOKUP(B270,Aaradhak_Details!$E:$F,2,FALSE),Actual_Data!D270),Actual_Data!D270)</f>
        <v>17</v>
      </c>
      <c r="D270" s="116" t="str">
        <f>IFERROR(VLOOKUP(B270,Aaradhak_Details!$E:$G,3,FALSE),"")</f>
        <v/>
      </c>
      <c r="E270" s="117">
        <f>IFERROR(IF(VLOOKUP(B270,Aaradhak_Details!$E:$I,5,FALSE)&lt;&gt;"",VLOOKUP(B270,Aaradhak_Details!$E:$I,5,FALSE),Actual_Data!E270),Actual_Data!E270)</f>
        <v>9739926679</v>
      </c>
      <c r="F270" s="94" t="str">
        <f t="array" ref="F270">IFERROR(
  INDEX(Aaradhak_Details!J:J, MATCH(B270, Aaradhak_Details!E:E, 0)),
  ""
)
</f>
        <v/>
      </c>
    </row>
    <row r="271" ht="22.5" customHeight="1">
      <c r="A271" s="116" t="str">
        <f>Actual_Data!C271</f>
        <v>Siddhi Oswal </v>
      </c>
      <c r="B271" s="117">
        <f>Actual_Data!B271</f>
        <v>315</v>
      </c>
      <c r="C271" s="117">
        <f>IFERROR(IF(VLOOKUP(B271,Aaradhak_Details!$E:$F,2,FALSE)&lt;&gt;"",VLOOKUP(B271,Aaradhak_Details!$E:$F,2,FALSE),Actual_Data!D271),Actual_Data!D271)</f>
        <v>16</v>
      </c>
      <c r="D271" s="116" t="str">
        <f>IFERROR(VLOOKUP(B271,Aaradhak_Details!$E:$G,3,FALSE),"")</f>
        <v/>
      </c>
      <c r="E271" s="117">
        <f>IFERROR(IF(VLOOKUP(B271,Aaradhak_Details!$E:$I,5,FALSE)&lt;&gt;"",VLOOKUP(B271,Aaradhak_Details!$E:$I,5,FALSE),Actual_Data!E271),Actual_Data!E271)</f>
        <v>7879575799</v>
      </c>
      <c r="F271" s="94" t="str">
        <f t="array" ref="F271">IFERROR(
  INDEX(Aaradhak_Details!J:J, MATCH(B271, Aaradhak_Details!E:E, 0)),
  ""
)
</f>
        <v/>
      </c>
    </row>
    <row r="272" ht="22.5" customHeight="1">
      <c r="A272" s="116" t="str">
        <f>Actual_Data!C272</f>
        <v>Somya Jain</v>
      </c>
      <c r="B272" s="117">
        <f>Actual_Data!B272</f>
        <v>316</v>
      </c>
      <c r="C272" s="117">
        <f>IFERROR(IF(VLOOKUP(B272,Aaradhak_Details!$E:$F,2,FALSE)&lt;&gt;"",VLOOKUP(B272,Aaradhak_Details!$E:$F,2,FALSE),Actual_Data!D272),Actual_Data!D272)</f>
        <v>21</v>
      </c>
      <c r="D272" s="116" t="str">
        <f>IFERROR(VLOOKUP(B272,Aaradhak_Details!$E:$G,3,FALSE),"")</f>
        <v>B +ve</v>
      </c>
      <c r="E272" s="117">
        <f>IFERROR(IF(VLOOKUP(B272,Aaradhak_Details!$E:$I,5,FALSE)&lt;&gt;"",VLOOKUP(B272,Aaradhak_Details!$E:$I,5,FALSE),Actual_Data!E272),Actual_Data!E272)</f>
        <v>9111630011</v>
      </c>
      <c r="F272" s="118" t="str">
        <f t="array" ref="F272">IFERROR(
  INDEX(Aaradhak_Details!J:J, MATCH(B272, Aaradhak_Details!E:E, 0)),
  ""
)
</f>
        <v>https://drive.google.com/open?id=1_nhLgTpmFPbMQ-y6FRly1dbB3W40JQv-</v>
      </c>
    </row>
    <row r="273" ht="22.5" customHeight="1">
      <c r="A273" s="116" t="str">
        <f>Actual_Data!C273</f>
        <v>Somya Ostwal </v>
      </c>
      <c r="B273" s="117">
        <f>Actual_Data!B273</f>
        <v>317</v>
      </c>
      <c r="C273" s="117">
        <f>IFERROR(IF(VLOOKUP(B273,Aaradhak_Details!$E:$F,2,FALSE)&lt;&gt;"",VLOOKUP(B273,Aaradhak_Details!$E:$F,2,FALSE),Actual_Data!D273),Actual_Data!D273)</f>
        <v>16</v>
      </c>
      <c r="D273" s="116" t="str">
        <f>IFERROR(VLOOKUP(B273,Aaradhak_Details!$E:$G,3,FALSE),"")</f>
        <v/>
      </c>
      <c r="E273" s="117">
        <f>IFERROR(IF(VLOOKUP(B273,Aaradhak_Details!$E:$I,5,FALSE)&lt;&gt;"",VLOOKUP(B273,Aaradhak_Details!$E:$I,5,FALSE),Actual_Data!E273),Actual_Data!E273)</f>
        <v>9479701685</v>
      </c>
      <c r="F273" s="94" t="str">
        <f t="array" ref="F273">IFERROR(
  INDEX(Aaradhak_Details!J:J, MATCH(B273, Aaradhak_Details!E:E, 0)),
  ""
)
</f>
        <v/>
      </c>
    </row>
    <row r="274" ht="22.5" customHeight="1">
      <c r="A274" s="116" t="str">
        <f>Actual_Data!C274</f>
        <v>Sonal jain</v>
      </c>
      <c r="B274" s="117">
        <f>Actual_Data!B274</f>
        <v>319</v>
      </c>
      <c r="C274" s="117">
        <f>IFERROR(IF(VLOOKUP(B274,Aaradhak_Details!$E:$F,2,FALSE)&lt;&gt;"",VLOOKUP(B274,Aaradhak_Details!$E:$F,2,FALSE),Actual_Data!D274),Actual_Data!D274)</f>
        <v>21</v>
      </c>
      <c r="D274" s="116" t="str">
        <f>IFERROR(VLOOKUP(B274,Aaradhak_Details!$E:$G,3,FALSE),"")</f>
        <v/>
      </c>
      <c r="E274" s="117">
        <f>IFERROR(IF(VLOOKUP(B274,Aaradhak_Details!$E:$I,5,FALSE)&lt;&gt;"",VLOOKUP(B274,Aaradhak_Details!$E:$I,5,FALSE),Actual_Data!E274),Actual_Data!E274)</f>
        <v>9300122738</v>
      </c>
      <c r="F274" s="94" t="str">
        <f t="array" ref="F274">IFERROR(
  INDEX(Aaradhak_Details!J:J, MATCH(B274, Aaradhak_Details!E:E, 0)),
  ""
)
</f>
        <v/>
      </c>
    </row>
    <row r="275" ht="22.5" customHeight="1">
      <c r="A275" s="116" t="str">
        <f>Actual_Data!C275</f>
        <v>SONAL KIRTI SHAH</v>
      </c>
      <c r="B275" s="117">
        <f>Actual_Data!B275</f>
        <v>320</v>
      </c>
      <c r="C275" s="117">
        <f>IFERROR(IF(VLOOKUP(B275,Aaradhak_Details!$E:$F,2,FALSE)&lt;&gt;"",VLOOKUP(B275,Aaradhak_Details!$E:$F,2,FALSE),Actual_Data!D275),Actual_Data!D275)</f>
        <v>34</v>
      </c>
      <c r="D275" s="116" t="str">
        <f>IFERROR(VLOOKUP(B275,Aaradhak_Details!$E:$G,3,FALSE),"")</f>
        <v>O +ve</v>
      </c>
      <c r="E275" s="117">
        <f>IFERROR(IF(VLOOKUP(B275,Aaradhak_Details!$E:$I,5,FALSE)&lt;&gt;"",VLOOKUP(B275,Aaradhak_Details!$E:$I,5,FALSE),Actual_Data!E275),Actual_Data!E275)</f>
        <v>9769406040</v>
      </c>
      <c r="F275" s="118" t="str">
        <f t="array" ref="F275">IFERROR(
  INDEX(Aaradhak_Details!J:J, MATCH(B275, Aaradhak_Details!E:E, 0)),
  ""
)
</f>
        <v>https://drive.google.com/open?id=1vpNs52NGmqGVp5s9V6mJvRx_g538qiUU</v>
      </c>
    </row>
    <row r="276" ht="22.5" customHeight="1">
      <c r="A276" s="116" t="str">
        <f>Actual_Data!C276</f>
        <v>Sonam Harilal Dharod</v>
      </c>
      <c r="B276" s="117">
        <f>Actual_Data!B276</f>
        <v>321</v>
      </c>
      <c r="C276" s="117">
        <f>IFERROR(IF(VLOOKUP(B276,Aaradhak_Details!$E:$F,2,FALSE)&lt;&gt;"",VLOOKUP(B276,Aaradhak_Details!$E:$F,2,FALSE),Actual_Data!D276),Actual_Data!D276)</f>
        <v>37</v>
      </c>
      <c r="D276" s="116" t="str">
        <f>IFERROR(VLOOKUP(B276,Aaradhak_Details!$E:$G,3,FALSE),"")</f>
        <v>A +ve</v>
      </c>
      <c r="E276" s="117">
        <f>IFERROR(IF(VLOOKUP(B276,Aaradhak_Details!$E:$I,5,FALSE)&lt;&gt;"",VLOOKUP(B276,Aaradhak_Details!$E:$I,5,FALSE),Actual_Data!E276),Actual_Data!E276)</f>
        <v>9820983862</v>
      </c>
      <c r="F276" s="118" t="str">
        <f t="array" ref="F276">IFERROR(
  INDEX(Aaradhak_Details!J:J, MATCH(B276, Aaradhak_Details!E:E, 0)),
  ""
)
</f>
        <v>https://drive.google.com/open?id=1cXH6R82NxvjBog8gAPdKwPQslguODA_y</v>
      </c>
    </row>
    <row r="277" ht="22.5" customHeight="1">
      <c r="A277" s="116" t="str">
        <f>Actual_Data!C277</f>
        <v>sonam jain</v>
      </c>
      <c r="B277" s="117">
        <f>Actual_Data!B277</f>
        <v>322</v>
      </c>
      <c r="C277" s="117">
        <f>IFERROR(IF(VLOOKUP(B277,Aaradhak_Details!$E:$F,2,FALSE)&lt;&gt;"",VLOOKUP(B277,Aaradhak_Details!$E:$F,2,FALSE),Actual_Data!D277),Actual_Data!D277)</f>
        <v>35</v>
      </c>
      <c r="D277" s="116" t="str">
        <f>IFERROR(VLOOKUP(B277,Aaradhak_Details!$E:$G,3,FALSE),"")</f>
        <v>AB +ve</v>
      </c>
      <c r="E277" s="117">
        <f>IFERROR(IF(VLOOKUP(B277,Aaradhak_Details!$E:$I,5,FALSE)&lt;&gt;"",VLOOKUP(B277,Aaradhak_Details!$E:$I,5,FALSE),Actual_Data!E277),Actual_Data!E277)</f>
        <v>9893260745</v>
      </c>
      <c r="F277" s="118" t="str">
        <f t="array" ref="F277">IFERROR(
  INDEX(Aaradhak_Details!J:J, MATCH(B277, Aaradhak_Details!E:E, 0)),
  ""
)
</f>
        <v>https://drive.google.com/open?id=1B0vG1zRZLZ_L1sRIM5FzZ544lPR6swMv</v>
      </c>
    </row>
    <row r="278" ht="22.5" customHeight="1">
      <c r="A278" s="116" t="str">
        <f>Actual_Data!C278</f>
        <v>Sonam Lokesh Jain</v>
      </c>
      <c r="B278" s="117">
        <f>Actual_Data!B278</f>
        <v>323</v>
      </c>
      <c r="C278" s="117">
        <f>IFERROR(IF(VLOOKUP(B278,Aaradhak_Details!$E:$F,2,FALSE)&lt;&gt;"",VLOOKUP(B278,Aaradhak_Details!$E:$F,2,FALSE),Actual_Data!D278),Actual_Data!D278)</f>
        <v>35</v>
      </c>
      <c r="D278" s="116" t="str">
        <f>IFERROR(VLOOKUP(B278,Aaradhak_Details!$E:$G,3,FALSE),"")</f>
        <v>O +ve</v>
      </c>
      <c r="E278" s="117">
        <f>IFERROR(IF(VLOOKUP(B278,Aaradhak_Details!$E:$I,5,FALSE)&lt;&gt;"",VLOOKUP(B278,Aaradhak_Details!$E:$I,5,FALSE),Actual_Data!E278),Actual_Data!E278)</f>
        <v>9821213637</v>
      </c>
      <c r="F278" s="118" t="str">
        <f t="array" ref="F278">IFERROR(
  INDEX(Aaradhak_Details!J:J, MATCH(B278, Aaradhak_Details!E:E, 0)),
  ""
)
</f>
        <v>https://drive.google.com/open?id=1kqlkuvXSY4uCKKRJG9BHuGNTKoBsC99u</v>
      </c>
    </row>
    <row r="279" ht="22.5" customHeight="1">
      <c r="A279" s="116" t="str">
        <f>Actual_Data!C279</f>
        <v>Srishti Bhandari</v>
      </c>
      <c r="B279" s="117">
        <f>Actual_Data!B279</f>
        <v>324</v>
      </c>
      <c r="C279" s="117" t="str">
        <f>IFERROR(IF(VLOOKUP(B279,Aaradhak_Details!$E:$F,2,FALSE)&lt;&gt;"",VLOOKUP(B279,Aaradhak_Details!$E:$F,2,FALSE),Actual_Data!D279),Actual_Data!D279)</f>
        <v/>
      </c>
      <c r="D279" s="116" t="str">
        <f>IFERROR(VLOOKUP(B279,Aaradhak_Details!$E:$G,3,FALSE),"")</f>
        <v/>
      </c>
      <c r="E279" s="117">
        <f>IFERROR(IF(VLOOKUP(B279,Aaradhak_Details!$E:$I,5,FALSE)&lt;&gt;"",VLOOKUP(B279,Aaradhak_Details!$E:$I,5,FALSE),Actual_Data!E279),Actual_Data!E279)</f>
        <v>6375968292</v>
      </c>
      <c r="F279" s="94" t="str">
        <f t="array" ref="F279">IFERROR(
  INDEX(Aaradhak_Details!J:J, MATCH(B279, Aaradhak_Details!E:E, 0)),
  ""
)
</f>
        <v/>
      </c>
    </row>
    <row r="280" ht="22.5" customHeight="1">
      <c r="A280" s="116" t="str">
        <f>Actual_Data!C280</f>
        <v>Srushti </v>
      </c>
      <c r="B280" s="117">
        <f>Actual_Data!B280</f>
        <v>325</v>
      </c>
      <c r="C280" s="117">
        <f>IFERROR(IF(VLOOKUP(B280,Aaradhak_Details!$E:$F,2,FALSE)&lt;&gt;"",VLOOKUP(B280,Aaradhak_Details!$E:$F,2,FALSE),Actual_Data!D280),Actual_Data!D280)</f>
        <v>25</v>
      </c>
      <c r="D280" s="116" t="str">
        <f>IFERROR(VLOOKUP(B280,Aaradhak_Details!$E:$G,3,FALSE),"")</f>
        <v>O +ve</v>
      </c>
      <c r="E280" s="117">
        <f>IFERROR(IF(VLOOKUP(B280,Aaradhak_Details!$E:$I,5,FALSE)&lt;&gt;"",VLOOKUP(B280,Aaradhak_Details!$E:$I,5,FALSE),Actual_Data!E280),Actual_Data!E280)</f>
        <v>9930259525</v>
      </c>
      <c r="F280" s="118" t="str">
        <f t="array" ref="F280">IFERROR(
  INDEX(Aaradhak_Details!J:J, MATCH(B280, Aaradhak_Details!E:E, 0)),
  ""
)
</f>
        <v>https://drive.google.com/open?id=15j5ntIgd9VFYo5goH7XqX4LS_3yhJ8Wz</v>
      </c>
    </row>
    <row r="281" ht="22.5" customHeight="1">
      <c r="A281" s="116" t="str">
        <f>Actual_Data!C281</f>
        <v>Stuti jain</v>
      </c>
      <c r="B281" s="117">
        <f>Actual_Data!B281</f>
        <v>326</v>
      </c>
      <c r="C281" s="117">
        <f>IFERROR(IF(VLOOKUP(B281,Aaradhak_Details!$E:$F,2,FALSE)&lt;&gt;"",VLOOKUP(B281,Aaradhak_Details!$E:$F,2,FALSE),Actual_Data!D281),Actual_Data!D281)</f>
        <v>16</v>
      </c>
      <c r="D281" s="116" t="str">
        <f>IFERROR(VLOOKUP(B281,Aaradhak_Details!$E:$G,3,FALSE),"")</f>
        <v/>
      </c>
      <c r="E281" s="117">
        <f>IFERROR(IF(VLOOKUP(B281,Aaradhak_Details!$E:$I,5,FALSE)&lt;&gt;"",VLOOKUP(B281,Aaradhak_Details!$E:$I,5,FALSE),Actual_Data!E281),Actual_Data!E281)</f>
        <v>7724878393</v>
      </c>
      <c r="F281" s="94" t="str">
        <f t="array" ref="F281">IFERROR(
  INDEX(Aaradhak_Details!J:J, MATCH(B281, Aaradhak_Details!E:E, 0)),
  ""
)
</f>
        <v/>
      </c>
    </row>
    <row r="282" ht="22.5" customHeight="1">
      <c r="A282" s="116" t="str">
        <f>Actual_Data!C282</f>
        <v>Stuti jain</v>
      </c>
      <c r="B282" s="117">
        <f>Actual_Data!B282</f>
        <v>327</v>
      </c>
      <c r="C282" s="117">
        <f>IFERROR(IF(VLOOKUP(B282,Aaradhak_Details!$E:$F,2,FALSE)&lt;&gt;"",VLOOKUP(B282,Aaradhak_Details!$E:$F,2,FALSE),Actual_Data!D282),Actual_Data!D282)</f>
        <v>16</v>
      </c>
      <c r="D282" s="116" t="str">
        <f>IFERROR(VLOOKUP(B282,Aaradhak_Details!$E:$G,3,FALSE),"")</f>
        <v/>
      </c>
      <c r="E282" s="117">
        <f>IFERROR(IF(VLOOKUP(B282,Aaradhak_Details!$E:$I,5,FALSE)&lt;&gt;"",VLOOKUP(B282,Aaradhak_Details!$E:$I,5,FALSE),Actual_Data!E282),Actual_Data!E282)</f>
        <v>6264523877</v>
      </c>
      <c r="F282" s="94" t="str">
        <f t="array" ref="F282">IFERROR(
  INDEX(Aaradhak_Details!J:J, MATCH(B282, Aaradhak_Details!E:E, 0)),
  ""
)
</f>
        <v/>
      </c>
    </row>
    <row r="283" ht="22.5" customHeight="1">
      <c r="A283" s="116" t="str">
        <f>Actual_Data!C283</f>
        <v>Stuti Mehta</v>
      </c>
      <c r="B283" s="117">
        <f>Actual_Data!B283</f>
        <v>328</v>
      </c>
      <c r="C283" s="117">
        <f>IFERROR(IF(VLOOKUP(B283,Aaradhak_Details!$E:$F,2,FALSE)&lt;&gt;"",VLOOKUP(B283,Aaradhak_Details!$E:$F,2,FALSE),Actual_Data!D283),Actual_Data!D283)</f>
        <v>15</v>
      </c>
      <c r="D283" s="116" t="str">
        <f>IFERROR(VLOOKUP(B283,Aaradhak_Details!$E:$G,3,FALSE),"")</f>
        <v/>
      </c>
      <c r="E283" s="117">
        <f>IFERROR(IF(VLOOKUP(B283,Aaradhak_Details!$E:$I,5,FALSE)&lt;&gt;"",VLOOKUP(B283,Aaradhak_Details!$E:$I,5,FALSE),Actual_Data!E283),Actual_Data!E283)</f>
        <v>9685079278</v>
      </c>
      <c r="F283" s="94" t="str">
        <f t="array" ref="F283">IFERROR(
  INDEX(Aaradhak_Details!J:J, MATCH(B283, Aaradhak_Details!E:E, 0)),
  ""
)
</f>
        <v/>
      </c>
    </row>
    <row r="284" ht="22.5" customHeight="1">
      <c r="A284" s="116" t="str">
        <f>Actual_Data!C284</f>
        <v>Suditi </v>
      </c>
      <c r="B284" s="117">
        <f>Actual_Data!B284</f>
        <v>329</v>
      </c>
      <c r="C284" s="117">
        <f>IFERROR(IF(VLOOKUP(B284,Aaradhak_Details!$E:$F,2,FALSE)&lt;&gt;"",VLOOKUP(B284,Aaradhak_Details!$E:$F,2,FALSE),Actual_Data!D284),Actual_Data!D284)</f>
        <v>19</v>
      </c>
      <c r="D284" s="116" t="str">
        <f>IFERROR(VLOOKUP(B284,Aaradhak_Details!$E:$G,3,FALSE),"")</f>
        <v/>
      </c>
      <c r="E284" s="117">
        <f>IFERROR(IF(VLOOKUP(B284,Aaradhak_Details!$E:$I,5,FALSE)&lt;&gt;"",VLOOKUP(B284,Aaradhak_Details!$E:$I,5,FALSE),Actual_Data!E284),Actual_Data!E284)</f>
        <v>8390128390</v>
      </c>
      <c r="F284" s="94" t="str">
        <f t="array" ref="F284">IFERROR(
  INDEX(Aaradhak_Details!J:J, MATCH(B284, Aaradhak_Details!E:E, 0)),
  ""
)
</f>
        <v/>
      </c>
    </row>
    <row r="285" ht="22.5" customHeight="1">
      <c r="A285" s="116" t="str">
        <f>Actual_Data!C285</f>
        <v>Suhani jain</v>
      </c>
      <c r="B285" s="117">
        <f>Actual_Data!B285</f>
        <v>330</v>
      </c>
      <c r="C285" s="117">
        <f>IFERROR(IF(VLOOKUP(B285,Aaradhak_Details!$E:$F,2,FALSE)&lt;&gt;"",VLOOKUP(B285,Aaradhak_Details!$E:$F,2,FALSE),Actual_Data!D285),Actual_Data!D285)</f>
        <v>14</v>
      </c>
      <c r="D285" s="116" t="str">
        <f>IFERROR(VLOOKUP(B285,Aaradhak_Details!$E:$G,3,FALSE),"")</f>
        <v/>
      </c>
      <c r="E285" s="117">
        <f>IFERROR(IF(VLOOKUP(B285,Aaradhak_Details!$E:$I,5,FALSE)&lt;&gt;"",VLOOKUP(B285,Aaradhak_Details!$E:$I,5,FALSE),Actual_Data!E285),Actual_Data!E285)</f>
        <v>7999380042</v>
      </c>
      <c r="F285" s="94" t="str">
        <f t="array" ref="F285">IFERROR(
  INDEX(Aaradhak_Details!J:J, MATCH(B285, Aaradhak_Details!E:E, 0)),
  ""
)
</f>
        <v/>
      </c>
    </row>
    <row r="286" ht="22.5" customHeight="1">
      <c r="A286" s="116" t="str">
        <f>Actual_Data!C286</f>
        <v>Suhani jain</v>
      </c>
      <c r="B286" s="117">
        <f>Actual_Data!B286</f>
        <v>331</v>
      </c>
      <c r="C286" s="117">
        <f>IFERROR(IF(VLOOKUP(B286,Aaradhak_Details!$E:$F,2,FALSE)&lt;&gt;"",VLOOKUP(B286,Aaradhak_Details!$E:$F,2,FALSE),Actual_Data!D286),Actual_Data!D286)</f>
        <v>21</v>
      </c>
      <c r="D286" s="116" t="str">
        <f>IFERROR(VLOOKUP(B286,Aaradhak_Details!$E:$G,3,FALSE),"")</f>
        <v>O +ve</v>
      </c>
      <c r="E286" s="117">
        <f>IFERROR(IF(VLOOKUP(B286,Aaradhak_Details!$E:$I,5,FALSE)&lt;&gt;"",VLOOKUP(B286,Aaradhak_Details!$E:$I,5,FALSE),Actual_Data!E286),Actual_Data!E286)</f>
        <v>8719032004</v>
      </c>
      <c r="F286" s="118" t="str">
        <f t="array" ref="F286">IFERROR(
  INDEX(Aaradhak_Details!J:J, MATCH(B286, Aaradhak_Details!E:E, 0)),
  ""
)
</f>
        <v>https://drive.google.com/open?id=1gvdXlfK02D9T_O2FAgIVE16WZk4D11E7</v>
      </c>
    </row>
    <row r="287" ht="22.5" customHeight="1">
      <c r="A287" s="116" t="str">
        <f>Actual_Data!C287</f>
        <v>Sunita jain</v>
      </c>
      <c r="B287" s="117">
        <f>Actual_Data!B287</f>
        <v>333</v>
      </c>
      <c r="C287" s="117">
        <f>IFERROR(IF(VLOOKUP(B287,Aaradhak_Details!$E:$F,2,FALSE)&lt;&gt;"",VLOOKUP(B287,Aaradhak_Details!$E:$F,2,FALSE),Actual_Data!D287),Actual_Data!D287)</f>
        <v>37</v>
      </c>
      <c r="D287" s="116" t="str">
        <f>IFERROR(VLOOKUP(B287,Aaradhak_Details!$E:$G,3,FALSE),"")</f>
        <v/>
      </c>
      <c r="E287" s="117">
        <f>IFERROR(IF(VLOOKUP(B287,Aaradhak_Details!$E:$I,5,FALSE)&lt;&gt;"",VLOOKUP(B287,Aaradhak_Details!$E:$I,5,FALSE),Actual_Data!E287),Actual_Data!E287)</f>
        <v>9752307729</v>
      </c>
      <c r="F287" s="94" t="str">
        <f t="array" ref="F287">IFERROR(
  INDEX(Aaradhak_Details!J:J, MATCH(B287, Aaradhak_Details!E:E, 0)),
  ""
)
</f>
        <v/>
      </c>
    </row>
    <row r="288" ht="22.5" customHeight="1">
      <c r="A288" s="116" t="str">
        <f>Actual_Data!C288</f>
        <v>susmita mondal</v>
      </c>
      <c r="B288" s="117">
        <f>Actual_Data!B288</f>
        <v>334</v>
      </c>
      <c r="C288" s="117">
        <f>IFERROR(IF(VLOOKUP(B288,Aaradhak_Details!$E:$F,2,FALSE)&lt;&gt;"",VLOOKUP(B288,Aaradhak_Details!$E:$F,2,FALSE),Actual_Data!D288),Actual_Data!D288)</f>
        <v>31</v>
      </c>
      <c r="D288" s="116" t="str">
        <f>IFERROR(VLOOKUP(B288,Aaradhak_Details!$E:$G,3,FALSE),"")</f>
        <v/>
      </c>
      <c r="E288" s="117">
        <f>IFERROR(IF(VLOOKUP(B288,Aaradhak_Details!$E:$I,5,FALSE)&lt;&gt;"",VLOOKUP(B288,Aaradhak_Details!$E:$I,5,FALSE),Actual_Data!E288),Actual_Data!E288)</f>
        <v>9007086765</v>
      </c>
      <c r="F288" s="94" t="str">
        <f t="array" ref="F288">IFERROR(
  INDEX(Aaradhak_Details!J:J, MATCH(B288, Aaradhak_Details!E:E, 0)),
  ""
)
</f>
        <v/>
      </c>
    </row>
    <row r="289" ht="22.5" customHeight="1">
      <c r="A289" s="116" t="str">
        <f>Actual_Data!C289</f>
        <v>Swarali Mehta</v>
      </c>
      <c r="B289" s="117">
        <f>Actual_Data!B289</f>
        <v>335</v>
      </c>
      <c r="C289" s="117">
        <f>IFERROR(IF(VLOOKUP(B289,Aaradhak_Details!$E:$F,2,FALSE)&lt;&gt;"",VLOOKUP(B289,Aaradhak_Details!$E:$F,2,FALSE),Actual_Data!D289),Actual_Data!D289)</f>
        <v>17</v>
      </c>
      <c r="D289" s="116" t="str">
        <f>IFERROR(VLOOKUP(B289,Aaradhak_Details!$E:$G,3,FALSE),"")</f>
        <v/>
      </c>
      <c r="E289" s="117">
        <f>IFERROR(IF(VLOOKUP(B289,Aaradhak_Details!$E:$I,5,FALSE)&lt;&gt;"",VLOOKUP(B289,Aaradhak_Details!$E:$I,5,FALSE),Actual_Data!E289),Actual_Data!E289)</f>
        <v>9421163161</v>
      </c>
      <c r="F289" s="94" t="str">
        <f t="array" ref="F289">IFERROR(
  INDEX(Aaradhak_Details!J:J, MATCH(B289, Aaradhak_Details!E:E, 0)),
  ""
)
</f>
        <v/>
      </c>
    </row>
    <row r="290" ht="22.5" customHeight="1">
      <c r="A290" s="116" t="str">
        <f>Actual_Data!C290</f>
        <v>Sweta Ashish Jain</v>
      </c>
      <c r="B290" s="117">
        <f>Actual_Data!B290</f>
        <v>336</v>
      </c>
      <c r="C290" s="117">
        <f>IFERROR(IF(VLOOKUP(B290,Aaradhak_Details!$E:$F,2,FALSE)&lt;&gt;"",VLOOKUP(B290,Aaradhak_Details!$E:$F,2,FALSE),Actual_Data!D290),Actual_Data!D290)</f>
        <v>36</v>
      </c>
      <c r="D290" s="116" t="str">
        <f>IFERROR(VLOOKUP(B290,Aaradhak_Details!$E:$G,3,FALSE),"")</f>
        <v>O +ve</v>
      </c>
      <c r="E290" s="117">
        <f>IFERROR(IF(VLOOKUP(B290,Aaradhak_Details!$E:$I,5,FALSE)&lt;&gt;"",VLOOKUP(B290,Aaradhak_Details!$E:$I,5,FALSE),Actual_Data!E290),Actual_Data!E290)</f>
        <v>9773532004</v>
      </c>
      <c r="F290" s="118" t="str">
        <f t="array" ref="F290">IFERROR(
  INDEX(Aaradhak_Details!J:J, MATCH(B290, Aaradhak_Details!E:E, 0)),
  ""
)
</f>
        <v>https://drive.google.com/open?id=1y7ldak6ruEmjKuHF4HBG73xofDVI0jV7</v>
      </c>
    </row>
    <row r="291" ht="22.5" customHeight="1">
      <c r="A291" s="116" t="str">
        <f>Actual_Data!C291</f>
        <v>Tanaya Rahul Bedmutha </v>
      </c>
      <c r="B291" s="117">
        <f>Actual_Data!B291</f>
        <v>337</v>
      </c>
      <c r="C291" s="117">
        <f>IFERROR(IF(VLOOKUP(B291,Aaradhak_Details!$E:$F,2,FALSE)&lt;&gt;"",VLOOKUP(B291,Aaradhak_Details!$E:$F,2,FALSE),Actual_Data!D291),Actual_Data!D291)</f>
        <v>23</v>
      </c>
      <c r="D291" s="116" t="str">
        <f>IFERROR(VLOOKUP(B291,Aaradhak_Details!$E:$G,3,FALSE),"")</f>
        <v/>
      </c>
      <c r="E291" s="117">
        <f>IFERROR(IF(VLOOKUP(B291,Aaradhak_Details!$E:$I,5,FALSE)&lt;&gt;"",VLOOKUP(B291,Aaradhak_Details!$E:$I,5,FALSE),Actual_Data!E291),Actual_Data!E291)</f>
        <v>8459510994</v>
      </c>
      <c r="F291" s="94" t="str">
        <f t="array" ref="F291">IFERROR(
  INDEX(Aaradhak_Details!J:J, MATCH(B291, Aaradhak_Details!E:E, 0)),
  ""
)
</f>
        <v/>
      </c>
    </row>
    <row r="292" ht="22.5" customHeight="1">
      <c r="A292" s="116" t="str">
        <f>Actual_Data!C292</f>
        <v>Tanisha Chopra </v>
      </c>
      <c r="B292" s="117">
        <f>Actual_Data!B292</f>
        <v>338</v>
      </c>
      <c r="C292" s="117">
        <f>IFERROR(IF(VLOOKUP(B292,Aaradhak_Details!$E:$F,2,FALSE)&lt;&gt;"",VLOOKUP(B292,Aaradhak_Details!$E:$F,2,FALSE),Actual_Data!D292),Actual_Data!D292)</f>
        <v>20</v>
      </c>
      <c r="D292" s="116" t="str">
        <f>IFERROR(VLOOKUP(B292,Aaradhak_Details!$E:$G,3,FALSE),"")</f>
        <v>O +ve</v>
      </c>
      <c r="E292" s="117">
        <f>IFERROR(IF(VLOOKUP(B292,Aaradhak_Details!$E:$I,5,FALSE)&lt;&gt;"",VLOOKUP(B292,Aaradhak_Details!$E:$I,5,FALSE),Actual_Data!E292),Actual_Data!E292)</f>
        <v>8889133721</v>
      </c>
      <c r="F292" s="118" t="str">
        <f t="array" ref="F292">IFERROR(
  INDEX(Aaradhak_Details!J:J, MATCH(B292, Aaradhak_Details!E:E, 0)),
  ""
)
</f>
        <v>https://drive.google.com/open?id=1OWhh5EOsdd_djhnsUOZrvc_HfuxQOQPV</v>
      </c>
    </row>
    <row r="293" ht="22.5" customHeight="1">
      <c r="A293" s="116" t="str">
        <f>Actual_Data!C293</f>
        <v>Tanishka Kothari</v>
      </c>
      <c r="B293" s="117">
        <f>Actual_Data!B293</f>
        <v>341</v>
      </c>
      <c r="C293" s="117">
        <f>IFERROR(IF(VLOOKUP(B293,Aaradhak_Details!$E:$F,2,FALSE)&lt;&gt;"",VLOOKUP(B293,Aaradhak_Details!$E:$F,2,FALSE),Actual_Data!D293),Actual_Data!D293)</f>
        <v>18</v>
      </c>
      <c r="D293" s="116" t="str">
        <f>IFERROR(VLOOKUP(B293,Aaradhak_Details!$E:$G,3,FALSE),"")</f>
        <v>O +ve</v>
      </c>
      <c r="E293" s="117">
        <f>IFERROR(IF(VLOOKUP(B293,Aaradhak_Details!$E:$I,5,FALSE)&lt;&gt;"",VLOOKUP(B293,Aaradhak_Details!$E:$I,5,FALSE),Actual_Data!E293),Actual_Data!E293)</f>
        <v>9425980413</v>
      </c>
      <c r="F293" s="118" t="str">
        <f t="array" ref="F293">IFERROR(
  INDEX(Aaradhak_Details!J:J, MATCH(B293, Aaradhak_Details!E:E, 0)),
  ""
)
</f>
        <v>https://drive.google.com/open?id=1n5bV-PzjVfchzXSVc-18Lj3_LBryIwb1</v>
      </c>
    </row>
    <row r="294" ht="22.5" customHeight="1">
      <c r="A294" s="116" t="str">
        <f>Actual_Data!C294</f>
        <v>Taniya Saklecha </v>
      </c>
      <c r="B294" s="117">
        <f>Actual_Data!B294</f>
        <v>343</v>
      </c>
      <c r="C294" s="117">
        <f>IFERROR(IF(VLOOKUP(B294,Aaradhak_Details!$E:$F,2,FALSE)&lt;&gt;"",VLOOKUP(B294,Aaradhak_Details!$E:$F,2,FALSE),Actual_Data!D294),Actual_Data!D294)</f>
        <v>25</v>
      </c>
      <c r="D294" s="116" t="str">
        <f>IFERROR(VLOOKUP(B294,Aaradhak_Details!$E:$G,3,FALSE),"")</f>
        <v>B +ve</v>
      </c>
      <c r="E294" s="117">
        <f>IFERROR(IF(VLOOKUP(B294,Aaradhak_Details!$E:$I,5,FALSE)&lt;&gt;"",VLOOKUP(B294,Aaradhak_Details!$E:$I,5,FALSE),Actual_Data!E294),Actual_Data!E294)</f>
        <v>9752635357</v>
      </c>
      <c r="F294" s="118" t="str">
        <f t="array" ref="F294">IFERROR(
  INDEX(Aaradhak_Details!J:J, MATCH(B294, Aaradhak_Details!E:E, 0)),
  ""
)
</f>
        <v>https://drive.google.com/open?id=1oF-9vw0n4QwhSof242P-jxCTBnLX3Wkh</v>
      </c>
    </row>
    <row r="295" ht="22.5" customHeight="1">
      <c r="A295" s="116" t="str">
        <f>Actual_Data!C295</f>
        <v>Tanu jain</v>
      </c>
      <c r="B295" s="117">
        <f>Actual_Data!B295</f>
        <v>344</v>
      </c>
      <c r="C295" s="117">
        <f>IFERROR(IF(VLOOKUP(B295,Aaradhak_Details!$E:$F,2,FALSE)&lt;&gt;"",VLOOKUP(B295,Aaradhak_Details!$E:$F,2,FALSE),Actual_Data!D295),Actual_Data!D295)</f>
        <v>16</v>
      </c>
      <c r="D295" s="116" t="str">
        <f>IFERROR(VLOOKUP(B295,Aaradhak_Details!$E:$G,3,FALSE),"")</f>
        <v/>
      </c>
      <c r="E295" s="117">
        <f>IFERROR(IF(VLOOKUP(B295,Aaradhak_Details!$E:$I,5,FALSE)&lt;&gt;"",VLOOKUP(B295,Aaradhak_Details!$E:$I,5,FALSE),Actual_Data!E295),Actual_Data!E295)</f>
        <v>6261547164</v>
      </c>
      <c r="F295" s="94" t="str">
        <f t="array" ref="F295">IFERROR(
  INDEX(Aaradhak_Details!J:J, MATCH(B295, Aaradhak_Details!E:E, 0)),
  ""
)
</f>
        <v/>
      </c>
    </row>
    <row r="296" ht="22.5" customHeight="1">
      <c r="A296" s="116" t="str">
        <f>Actual_Data!C296</f>
        <v>Tanvee rishi shah</v>
      </c>
      <c r="B296" s="117">
        <f>Actual_Data!B296</f>
        <v>345</v>
      </c>
      <c r="C296" s="117">
        <f>IFERROR(IF(VLOOKUP(B296,Aaradhak_Details!$E:$F,2,FALSE)&lt;&gt;"",VLOOKUP(B296,Aaradhak_Details!$E:$F,2,FALSE),Actual_Data!D296),Actual_Data!D296)</f>
        <v>36</v>
      </c>
      <c r="D296" s="116" t="str">
        <f>IFERROR(VLOOKUP(B296,Aaradhak_Details!$E:$G,3,FALSE),"")</f>
        <v>O +ve</v>
      </c>
      <c r="E296" s="117">
        <f>IFERROR(IF(VLOOKUP(B296,Aaradhak_Details!$E:$I,5,FALSE)&lt;&gt;"",VLOOKUP(B296,Aaradhak_Details!$E:$I,5,FALSE),Actual_Data!E296),Actual_Data!E296)</f>
        <v>9426629266</v>
      </c>
      <c r="F296" s="118" t="str">
        <f t="array" ref="F296">IFERROR(
  INDEX(Aaradhak_Details!J:J, MATCH(B296, Aaradhak_Details!E:E, 0)),
  ""
)
</f>
        <v>https://drive.google.com/open?id=1nhr9aiRGZT_HuviGrJv2PiY3nbVgQTLf</v>
      </c>
    </row>
    <row r="297" ht="22.5" customHeight="1">
      <c r="A297" s="116" t="str">
        <f>Actual_Data!C297</f>
        <v>Tatva sheth</v>
      </c>
      <c r="B297" s="117">
        <f>Actual_Data!B297</f>
        <v>346</v>
      </c>
      <c r="C297" s="117">
        <f>IFERROR(IF(VLOOKUP(B297,Aaradhak_Details!$E:$F,2,FALSE)&lt;&gt;"",VLOOKUP(B297,Aaradhak_Details!$E:$F,2,FALSE),Actual_Data!D297),Actual_Data!D297)</f>
        <v>20</v>
      </c>
      <c r="D297" s="116" t="str">
        <f>IFERROR(VLOOKUP(B297,Aaradhak_Details!$E:$G,3,FALSE),"")</f>
        <v>B +ve</v>
      </c>
      <c r="E297" s="117">
        <f>IFERROR(IF(VLOOKUP(B297,Aaradhak_Details!$E:$I,5,FALSE)&lt;&gt;"",VLOOKUP(B297,Aaradhak_Details!$E:$I,5,FALSE),Actual_Data!E297),Actual_Data!E297)</f>
        <v>7021786769</v>
      </c>
      <c r="F297" s="118" t="str">
        <f t="array" ref="F297">IFERROR(
  INDEX(Aaradhak_Details!J:J, MATCH(B297, Aaradhak_Details!E:E, 0)),
  ""
)
</f>
        <v>https://drive.google.com/open?id=11v1f28Z34l4T8dKmMx6HghrBEoreU1q-</v>
      </c>
    </row>
    <row r="298" ht="22.5" customHeight="1">
      <c r="A298" s="116" t="str">
        <f>Actual_Data!C298</f>
        <v>Tejal Ankit Bhayani</v>
      </c>
      <c r="B298" s="117">
        <f>Actual_Data!B298</f>
        <v>347</v>
      </c>
      <c r="C298" s="117">
        <f>IFERROR(IF(VLOOKUP(B298,Aaradhak_Details!$E:$F,2,FALSE)&lt;&gt;"",VLOOKUP(B298,Aaradhak_Details!$E:$F,2,FALSE),Actual_Data!D298),Actual_Data!D298)</f>
        <v>35</v>
      </c>
      <c r="D298" s="116" t="str">
        <f>IFERROR(VLOOKUP(B298,Aaradhak_Details!$E:$G,3,FALSE),"")</f>
        <v>AB +ve</v>
      </c>
      <c r="E298" s="117">
        <f>IFERROR(IF(VLOOKUP(B298,Aaradhak_Details!$E:$I,5,FALSE)&lt;&gt;"",VLOOKUP(B298,Aaradhak_Details!$E:$I,5,FALSE),Actual_Data!E298),Actual_Data!E298)</f>
        <v>9820279130</v>
      </c>
      <c r="F298" s="118" t="str">
        <f t="array" ref="F298">IFERROR(
  INDEX(Aaradhak_Details!J:J, MATCH(B298, Aaradhak_Details!E:E, 0)),
  ""
)
</f>
        <v>https://drive.google.com/open?id=1HnuJTDcSX5JB-tYpWgHSkT4YexDSWkq5</v>
      </c>
    </row>
    <row r="299" ht="22.5" customHeight="1">
      <c r="A299" s="116" t="str">
        <f>Actual_Data!C299</f>
        <v>Tejaswini Bothara</v>
      </c>
      <c r="B299" s="117">
        <f>Actual_Data!B299</f>
        <v>348</v>
      </c>
      <c r="C299" s="117">
        <f>IFERROR(IF(VLOOKUP(B299,Aaradhak_Details!$E:$F,2,FALSE)&lt;&gt;"",VLOOKUP(B299,Aaradhak_Details!$E:$F,2,FALSE),Actual_Data!D299),Actual_Data!D299)</f>
        <v>26</v>
      </c>
      <c r="D299" s="116" t="str">
        <f>IFERROR(VLOOKUP(B299,Aaradhak_Details!$E:$G,3,FALSE),"")</f>
        <v>O +ve</v>
      </c>
      <c r="E299" s="117">
        <f>IFERROR(IF(VLOOKUP(B299,Aaradhak_Details!$E:$I,5,FALSE)&lt;&gt;"",VLOOKUP(B299,Aaradhak_Details!$E:$I,5,FALSE),Actual_Data!E299),Actual_Data!E299)</f>
        <v>9689588922</v>
      </c>
      <c r="F299" s="118" t="str">
        <f t="array" ref="F299">IFERROR(
  INDEX(Aaradhak_Details!J:J, MATCH(B299, Aaradhak_Details!E:E, 0)),
  ""
)
</f>
        <v>https://drive.google.com/open?id=1PMCgclbx2aQFeNg78RPTNIoZbsB5p2Xz</v>
      </c>
    </row>
    <row r="300" ht="22.5" customHeight="1">
      <c r="A300" s="116" t="str">
        <f>Actual_Data!C300</f>
        <v>Tisha Sandeep punmiya </v>
      </c>
      <c r="B300" s="117">
        <f>Actual_Data!B300</f>
        <v>349</v>
      </c>
      <c r="C300" s="117">
        <f>IFERROR(IF(VLOOKUP(B300,Aaradhak_Details!$E:$F,2,FALSE)&lt;&gt;"",VLOOKUP(B300,Aaradhak_Details!$E:$F,2,FALSE),Actual_Data!D300),Actual_Data!D300)</f>
        <v>19</v>
      </c>
      <c r="D300" s="116" t="str">
        <f>IFERROR(VLOOKUP(B300,Aaradhak_Details!$E:$G,3,FALSE),"")</f>
        <v>B +ve</v>
      </c>
      <c r="E300" s="117">
        <f>IFERROR(IF(VLOOKUP(B300,Aaradhak_Details!$E:$I,5,FALSE)&lt;&gt;"",VLOOKUP(B300,Aaradhak_Details!$E:$I,5,FALSE),Actual_Data!E300),Actual_Data!E300)</f>
        <v>8779505934</v>
      </c>
      <c r="F300" s="118" t="str">
        <f t="array" ref="F300">IFERROR(
  INDEX(Aaradhak_Details!J:J, MATCH(B300, Aaradhak_Details!E:E, 0)),
  ""
)
</f>
        <v>https://drive.google.com/open?id=1fJHtL9TdoMJmvE6LD9jC8d7hcuVqO87v</v>
      </c>
    </row>
    <row r="301" ht="22.5" customHeight="1">
      <c r="A301" s="116" t="str">
        <f>Actual_Data!C301</f>
        <v>Tithi Vikas Shah</v>
      </c>
      <c r="B301" s="117">
        <f>Actual_Data!B301</f>
        <v>350</v>
      </c>
      <c r="C301" s="117">
        <f>IFERROR(IF(VLOOKUP(B301,Aaradhak_Details!$E:$F,2,FALSE)&lt;&gt;"",VLOOKUP(B301,Aaradhak_Details!$E:$F,2,FALSE),Actual_Data!D301),Actual_Data!D301)</f>
        <v>20</v>
      </c>
      <c r="D301" s="116" t="str">
        <f>IFERROR(VLOOKUP(B301,Aaradhak_Details!$E:$G,3,FALSE),"")</f>
        <v>O -ve</v>
      </c>
      <c r="E301" s="117">
        <f>IFERROR(IF(VLOOKUP(B301,Aaradhak_Details!$E:$I,5,FALSE)&lt;&gt;"",VLOOKUP(B301,Aaradhak_Details!$E:$I,5,FALSE),Actual_Data!E301),Actual_Data!E301)</f>
        <v>9987442429</v>
      </c>
      <c r="F301" s="118" t="str">
        <f t="array" ref="F301">IFERROR(
  INDEX(Aaradhak_Details!J:J, MATCH(B301, Aaradhak_Details!E:E, 0)),
  ""
)
</f>
        <v>https://drive.google.com/open?id=1qQmYNM50Bmfh0dqh2Ut8n4UnNg8gRHEm</v>
      </c>
    </row>
    <row r="302" ht="22.5" customHeight="1">
      <c r="A302" s="116" t="str">
        <f>Actual_Data!C302</f>
        <v>Upagna tejas Shah </v>
      </c>
      <c r="B302" s="117">
        <f>Actual_Data!B302</f>
        <v>351</v>
      </c>
      <c r="C302" s="117">
        <f>IFERROR(IF(VLOOKUP(B302,Aaradhak_Details!$E:$F,2,FALSE)&lt;&gt;"",VLOOKUP(B302,Aaradhak_Details!$E:$F,2,FALSE),Actual_Data!D302),Actual_Data!D302)</f>
        <v>19</v>
      </c>
      <c r="D302" s="116" t="str">
        <f>IFERROR(VLOOKUP(B302,Aaradhak_Details!$E:$G,3,FALSE),"")</f>
        <v>B +ve</v>
      </c>
      <c r="E302" s="117">
        <f>IFERROR(IF(VLOOKUP(B302,Aaradhak_Details!$E:$I,5,FALSE)&lt;&gt;"",VLOOKUP(B302,Aaradhak_Details!$E:$I,5,FALSE),Actual_Data!E302),Actual_Data!E302)</f>
        <v>8306636404</v>
      </c>
      <c r="F302" s="118" t="str">
        <f t="array" ref="F302">IFERROR(
  INDEX(Aaradhak_Details!J:J, MATCH(B302, Aaradhak_Details!E:E, 0)),
  ""
)
</f>
        <v>https://drive.google.com/open?id=1w4RHOTGA3qUiX24uybg1-oO_bP8-QN-S</v>
      </c>
    </row>
    <row r="303" ht="22.5" customHeight="1">
      <c r="A303" s="116" t="str">
        <f>Actual_Data!C303</f>
        <v>Urmi Mukesh Vora </v>
      </c>
      <c r="B303" s="117">
        <f>Actual_Data!B303</f>
        <v>352</v>
      </c>
      <c r="C303" s="117">
        <f>IFERROR(IF(VLOOKUP(B303,Aaradhak_Details!$E:$F,2,FALSE)&lt;&gt;"",VLOOKUP(B303,Aaradhak_Details!$E:$F,2,FALSE),Actual_Data!D303),Actual_Data!D303)</f>
        <v>23</v>
      </c>
      <c r="D303" s="116" t="str">
        <f>IFERROR(VLOOKUP(B303,Aaradhak_Details!$E:$G,3,FALSE),"")</f>
        <v>O -ve</v>
      </c>
      <c r="E303" s="117">
        <f>IFERROR(IF(VLOOKUP(B303,Aaradhak_Details!$E:$I,5,FALSE)&lt;&gt;"",VLOOKUP(B303,Aaradhak_Details!$E:$I,5,FALSE),Actual_Data!E303),Actual_Data!E303)</f>
        <v>9922408775</v>
      </c>
      <c r="F303" s="118" t="str">
        <f t="array" ref="F303">IFERROR(
  INDEX(Aaradhak_Details!J:J, MATCH(B303, Aaradhak_Details!E:E, 0)),
  ""
)
</f>
        <v>https://drive.google.com/open?id=1QC_g8UZ0MKEv7sJ2cwPOnhUn1bXIiMBa</v>
      </c>
    </row>
    <row r="304" ht="22.5" customHeight="1">
      <c r="A304" s="116" t="str">
        <f>Actual_Data!C304</f>
        <v>Utkarsha abhay bothara</v>
      </c>
      <c r="B304" s="117">
        <f>Actual_Data!B304</f>
        <v>353</v>
      </c>
      <c r="C304" s="117">
        <f>IFERROR(IF(VLOOKUP(B304,Aaradhak_Details!$E:$F,2,FALSE)&lt;&gt;"",VLOOKUP(B304,Aaradhak_Details!$E:$F,2,FALSE),Actual_Data!D304),Actual_Data!D304)</f>
        <v>20</v>
      </c>
      <c r="D304" s="116" t="str">
        <f>IFERROR(VLOOKUP(B304,Aaradhak_Details!$E:$G,3,FALSE),"")</f>
        <v>O +ve</v>
      </c>
      <c r="E304" s="117">
        <f>IFERROR(IF(VLOOKUP(B304,Aaradhak_Details!$E:$I,5,FALSE)&lt;&gt;"",VLOOKUP(B304,Aaradhak_Details!$E:$I,5,FALSE),Actual_Data!E304),Actual_Data!E304)</f>
        <v>9712759705</v>
      </c>
      <c r="F304" s="118" t="str">
        <f t="array" ref="F304">IFERROR(
  INDEX(Aaradhak_Details!J:J, MATCH(B304, Aaradhak_Details!E:E, 0)),
  ""
)
</f>
        <v>https://drive.google.com/open?id=1Eb_1SOyXWLjLyY7kwDqMa42aLzJ0BpVq</v>
      </c>
    </row>
    <row r="305" ht="22.5" customHeight="1">
      <c r="A305" s="116" t="str">
        <f>Actual_Data!C305</f>
        <v>Vaishvi Ketan Gosar</v>
      </c>
      <c r="B305" s="117">
        <f>Actual_Data!B305</f>
        <v>354</v>
      </c>
      <c r="C305" s="117">
        <f>IFERROR(IF(VLOOKUP(B305,Aaradhak_Details!$E:$F,2,FALSE)&lt;&gt;"",VLOOKUP(B305,Aaradhak_Details!$E:$F,2,FALSE),Actual_Data!D305),Actual_Data!D305)</f>
        <v>19</v>
      </c>
      <c r="D305" s="116" t="str">
        <f>IFERROR(VLOOKUP(B305,Aaradhak_Details!$E:$G,3,FALSE),"")</f>
        <v>B +ve</v>
      </c>
      <c r="E305" s="117">
        <f>IFERROR(IF(VLOOKUP(B305,Aaradhak_Details!$E:$I,5,FALSE)&lt;&gt;"",VLOOKUP(B305,Aaradhak_Details!$E:$I,5,FALSE),Actual_Data!E305),Actual_Data!E305)</f>
        <v>9870538394</v>
      </c>
      <c r="F305" s="118" t="str">
        <f t="array" ref="F305">IFERROR(
  INDEX(Aaradhak_Details!J:J, MATCH(B305, Aaradhak_Details!E:E, 0)),
  ""
)
</f>
        <v>https://drive.google.com/open?id=1xaL02wx7zGSpkseC19OxopehHd-4YN0a</v>
      </c>
    </row>
    <row r="306" ht="22.5" customHeight="1">
      <c r="A306" s="116" t="str">
        <f>Actual_Data!C306</f>
        <v>Vanshika Atul Mehta</v>
      </c>
      <c r="B306" s="117">
        <f>Actual_Data!B306</f>
        <v>355</v>
      </c>
      <c r="C306" s="117">
        <f>IFERROR(IF(VLOOKUP(B306,Aaradhak_Details!$E:$F,2,FALSE)&lt;&gt;"",VLOOKUP(B306,Aaradhak_Details!$E:$F,2,FALSE),Actual_Data!D306),Actual_Data!D306)</f>
        <v>21</v>
      </c>
      <c r="D306" s="116" t="str">
        <f>IFERROR(VLOOKUP(B306,Aaradhak_Details!$E:$G,3,FALSE),"")</f>
        <v>A +ve</v>
      </c>
      <c r="E306" s="117">
        <f>IFERROR(IF(VLOOKUP(B306,Aaradhak_Details!$E:$I,5,FALSE)&lt;&gt;"",VLOOKUP(B306,Aaradhak_Details!$E:$I,5,FALSE),Actual_Data!E306),Actual_Data!E306)</f>
        <v>9821257265</v>
      </c>
      <c r="F306" s="118" t="str">
        <f t="array" ref="F306">IFERROR(
  INDEX(Aaradhak_Details!J:J, MATCH(B306, Aaradhak_Details!E:E, 0)),
  ""
)
</f>
        <v>https://drive.google.com/open?id=1jtaG9tPRMOUcGuw_p9NhALiORQwiX13V</v>
      </c>
    </row>
    <row r="307" ht="22.5" customHeight="1">
      <c r="A307" s="116" t="str">
        <f>Actual_Data!C307</f>
        <v>Varsha chhajed</v>
      </c>
      <c r="B307" s="117">
        <f>Actual_Data!B307</f>
        <v>357</v>
      </c>
      <c r="C307" s="117">
        <f>IFERROR(IF(VLOOKUP(B307,Aaradhak_Details!$E:$F,2,FALSE)&lt;&gt;"",VLOOKUP(B307,Aaradhak_Details!$E:$F,2,FALSE),Actual_Data!D307),Actual_Data!D307)</f>
        <v>35</v>
      </c>
      <c r="D307" s="116" t="str">
        <f>IFERROR(VLOOKUP(B307,Aaradhak_Details!$E:$G,3,FALSE),"")</f>
        <v>B +ve</v>
      </c>
      <c r="E307" s="117">
        <f>IFERROR(IF(VLOOKUP(B307,Aaradhak_Details!$E:$I,5,FALSE)&lt;&gt;"",VLOOKUP(B307,Aaradhak_Details!$E:$I,5,FALSE),Actual_Data!E307),Actual_Data!E307)</f>
        <v>7000496236</v>
      </c>
      <c r="F307" s="118" t="str">
        <f t="array" ref="F307">IFERROR(
  INDEX(Aaradhak_Details!J:J, MATCH(B307, Aaradhak_Details!E:E, 0)),
  ""
)
</f>
        <v>https://drive.google.com/open?id=1hmriic46QE0DblZ-UQ04gwFSzR_bmcJY</v>
      </c>
    </row>
    <row r="308" ht="22.5" customHeight="1">
      <c r="A308" s="116" t="str">
        <f>Actual_Data!C308</f>
        <v>Varsha Dheeng</v>
      </c>
      <c r="B308" s="117">
        <f>Actual_Data!B308</f>
        <v>358</v>
      </c>
      <c r="C308" s="117">
        <f>IFERROR(IF(VLOOKUP(B308,Aaradhak_Details!$E:$F,2,FALSE)&lt;&gt;"",VLOOKUP(B308,Aaradhak_Details!$E:$F,2,FALSE),Actual_Data!D308),Actual_Data!D308)</f>
        <v>42</v>
      </c>
      <c r="D308" s="116" t="str">
        <f>IFERROR(VLOOKUP(B308,Aaradhak_Details!$E:$G,3,FALSE),"")</f>
        <v>O +ve</v>
      </c>
      <c r="E308" s="117">
        <f>IFERROR(IF(VLOOKUP(B308,Aaradhak_Details!$E:$I,5,FALSE)&lt;&gt;"",VLOOKUP(B308,Aaradhak_Details!$E:$I,5,FALSE),Actual_Data!E308),Actual_Data!E308)</f>
        <v>9649566062</v>
      </c>
      <c r="F308" s="118" t="str">
        <f t="array" ref="F308">IFERROR(
  INDEX(Aaradhak_Details!J:J, MATCH(B308, Aaradhak_Details!E:E, 0)),
  ""
)
</f>
        <v>https://drive.google.com/open?id=1uoS2Vc7j0tw8cTJ1R9i5ZvAw-JLP9Mcr</v>
      </c>
    </row>
    <row r="309" ht="22.5" customHeight="1">
      <c r="A309" s="116" t="str">
        <f>Actual_Data!C309</f>
        <v>Vedika nahata</v>
      </c>
      <c r="B309" s="117">
        <f>Actual_Data!B309</f>
        <v>359</v>
      </c>
      <c r="C309" s="117">
        <f>IFERROR(IF(VLOOKUP(B309,Aaradhak_Details!$E:$F,2,FALSE)&lt;&gt;"",VLOOKUP(B309,Aaradhak_Details!$E:$F,2,FALSE),Actual_Data!D309),Actual_Data!D309)</f>
        <v>17</v>
      </c>
      <c r="D309" s="116" t="str">
        <f>IFERROR(VLOOKUP(B309,Aaradhak_Details!$E:$G,3,FALSE),"")</f>
        <v/>
      </c>
      <c r="E309" s="117">
        <f>IFERROR(IF(VLOOKUP(B309,Aaradhak_Details!$E:$I,5,FALSE)&lt;&gt;"",VLOOKUP(B309,Aaradhak_Details!$E:$I,5,FALSE),Actual_Data!E309),Actual_Data!E309)</f>
        <v>7869495296</v>
      </c>
      <c r="F309" s="94" t="str">
        <f t="array" ref="F309">IFERROR(
  INDEX(Aaradhak_Details!J:J, MATCH(B309, Aaradhak_Details!E:E, 0)),
  ""
)
</f>
        <v/>
      </c>
    </row>
    <row r="310" ht="22.5" customHeight="1">
      <c r="A310" s="116" t="str">
        <f>Actual_Data!C310</f>
        <v>vidhi</v>
      </c>
      <c r="B310" s="117">
        <f>Actual_Data!B310</f>
        <v>360</v>
      </c>
      <c r="C310" s="117">
        <f>IFERROR(IF(VLOOKUP(B310,Aaradhak_Details!$E:$F,2,FALSE)&lt;&gt;"",VLOOKUP(B310,Aaradhak_Details!$E:$F,2,FALSE),Actual_Data!D310),Actual_Data!D310)</f>
        <v>19</v>
      </c>
      <c r="D310" s="116" t="str">
        <f>IFERROR(VLOOKUP(B310,Aaradhak_Details!$E:$G,3,FALSE),"")</f>
        <v>B +ve</v>
      </c>
      <c r="E310" s="117">
        <f>IFERROR(IF(VLOOKUP(B310,Aaradhak_Details!$E:$I,5,FALSE)&lt;&gt;"",VLOOKUP(B310,Aaradhak_Details!$E:$I,5,FALSE),Actual_Data!E310),Actual_Data!E310)</f>
        <v>7024325588</v>
      </c>
      <c r="F310" s="118" t="str">
        <f t="array" ref="F310">IFERROR(
  INDEX(Aaradhak_Details!J:J, MATCH(B310, Aaradhak_Details!E:E, 0)),
  ""
)
</f>
        <v>https://drive.google.com/open?id=1Unvq84gkvbXTUD70YE3eNg7sBYHPg_9A</v>
      </c>
    </row>
    <row r="311" ht="22.5" customHeight="1">
      <c r="A311" s="116" t="str">
        <f>Actual_Data!C311</f>
        <v>VIDHI Girish Kothari</v>
      </c>
      <c r="B311" s="117">
        <f>Actual_Data!B311</f>
        <v>361</v>
      </c>
      <c r="C311" s="117">
        <f>IFERROR(IF(VLOOKUP(B311,Aaradhak_Details!$E:$F,2,FALSE)&lt;&gt;"",VLOOKUP(B311,Aaradhak_Details!$E:$F,2,FALSE),Actual_Data!D311),Actual_Data!D311)</f>
        <v>18</v>
      </c>
      <c r="D311" s="116" t="str">
        <f>IFERROR(VLOOKUP(B311,Aaradhak_Details!$E:$G,3,FALSE),"")</f>
        <v>A -ve</v>
      </c>
      <c r="E311" s="117">
        <f>IFERROR(IF(VLOOKUP(B311,Aaradhak_Details!$E:$I,5,FALSE)&lt;&gt;"",VLOOKUP(B311,Aaradhak_Details!$E:$I,5,FALSE),Actual_Data!E311),Actual_Data!E311)</f>
        <v>7039033501</v>
      </c>
      <c r="F311" s="118" t="str">
        <f t="array" ref="F311">IFERROR(
  INDEX(Aaradhak_Details!J:J, MATCH(B311, Aaradhak_Details!E:E, 0)),
  ""
)
</f>
        <v>https://drive.google.com/open?id=16Ax_mnR3QiswHcItWG0cFqeOe1oOOfjX</v>
      </c>
    </row>
    <row r="312" ht="22.5" customHeight="1">
      <c r="A312" s="116" t="str">
        <f>Actual_Data!C312</f>
        <v>Vidhi Jain</v>
      </c>
      <c r="B312" s="117">
        <f>Actual_Data!B312</f>
        <v>362</v>
      </c>
      <c r="C312" s="117">
        <f>IFERROR(IF(VLOOKUP(B312,Aaradhak_Details!$E:$F,2,FALSE)&lt;&gt;"",VLOOKUP(B312,Aaradhak_Details!$E:$F,2,FALSE),Actual_Data!D312),Actual_Data!D312)</f>
        <v>20</v>
      </c>
      <c r="D312" s="116" t="str">
        <f>IFERROR(VLOOKUP(B312,Aaradhak_Details!$E:$G,3,FALSE),"")</f>
        <v>B +ve</v>
      </c>
      <c r="E312" s="117">
        <f>IFERROR(IF(VLOOKUP(B312,Aaradhak_Details!$E:$I,5,FALSE)&lt;&gt;"",VLOOKUP(B312,Aaradhak_Details!$E:$I,5,FALSE),Actual_Data!E312),Actual_Data!E312)</f>
        <v>9892981015</v>
      </c>
      <c r="F312" s="118" t="str">
        <f t="array" ref="F312">IFERROR(
  INDEX(Aaradhak_Details!J:J, MATCH(B312, Aaradhak_Details!E:E, 0)),
  ""
)
</f>
        <v>https://drive.google.com/open?id=1u3hSW6eYN6G_S0m4vipsSz0ffbstsykT</v>
      </c>
    </row>
    <row r="313" ht="22.5" customHeight="1">
      <c r="A313" s="116" t="str">
        <f>Actual_Data!C313</f>
        <v>Vidhi kumari .R</v>
      </c>
      <c r="B313" s="117">
        <f>Actual_Data!B313</f>
        <v>363</v>
      </c>
      <c r="C313" s="117">
        <f>IFERROR(IF(VLOOKUP(B313,Aaradhak_Details!$E:$F,2,FALSE)&lt;&gt;"",VLOOKUP(B313,Aaradhak_Details!$E:$F,2,FALSE),Actual_Data!D313),Actual_Data!D313)</f>
        <v>23</v>
      </c>
      <c r="D313" s="116" t="str">
        <f>IFERROR(VLOOKUP(B313,Aaradhak_Details!$E:$G,3,FALSE),"")</f>
        <v>A +ve</v>
      </c>
      <c r="E313" s="117">
        <f>IFERROR(IF(VLOOKUP(B313,Aaradhak_Details!$E:$I,5,FALSE)&lt;&gt;"",VLOOKUP(B313,Aaradhak_Details!$E:$I,5,FALSE),Actual_Data!E313),Actual_Data!E313)</f>
        <v>8147304722</v>
      </c>
      <c r="F313" s="118" t="str">
        <f t="array" ref="F313">IFERROR(
  INDEX(Aaradhak_Details!J:J, MATCH(B313, Aaradhak_Details!E:E, 0)),
  ""
)
</f>
        <v>https://drive.google.com/open?id=1nMyZjGlAyHqtsjGxxiw4EhHC9Ov4kSQo</v>
      </c>
    </row>
    <row r="314" ht="22.5" customHeight="1">
      <c r="A314" s="116" t="str">
        <f>Actual_Data!C314</f>
        <v>Vidhi Nilesh Malde</v>
      </c>
      <c r="B314" s="117">
        <f>Actual_Data!B314</f>
        <v>364</v>
      </c>
      <c r="C314" s="117">
        <f>IFERROR(IF(VLOOKUP(B314,Aaradhak_Details!$E:$F,2,FALSE)&lt;&gt;"",VLOOKUP(B314,Aaradhak_Details!$E:$F,2,FALSE),Actual_Data!D314),Actual_Data!D314)</f>
        <v>22</v>
      </c>
      <c r="D314" s="116" t="str">
        <f>IFERROR(VLOOKUP(B314,Aaradhak_Details!$E:$G,3,FALSE),"")</f>
        <v>O +ve</v>
      </c>
      <c r="E314" s="117">
        <f>IFERROR(IF(VLOOKUP(B314,Aaradhak_Details!$E:$I,5,FALSE)&lt;&gt;"",VLOOKUP(B314,Aaradhak_Details!$E:$I,5,FALSE),Actual_Data!E314),Actual_Data!E314)</f>
        <v>9320864365</v>
      </c>
      <c r="F314" s="118" t="str">
        <f t="array" ref="F314">IFERROR(
  INDEX(Aaradhak_Details!J:J, MATCH(B314, Aaradhak_Details!E:E, 0)),
  ""
)
</f>
        <v>https://drive.google.com/open?id=1QAk5uuF9WgfnGWV4yDl9cwsKnXWXx0gF</v>
      </c>
    </row>
    <row r="315" ht="22.5" customHeight="1">
      <c r="A315" s="116" t="str">
        <f>Actual_Data!C315</f>
        <v>Vidhi Prakash Patel</v>
      </c>
      <c r="B315" s="117">
        <f>Actual_Data!B315</f>
        <v>365</v>
      </c>
      <c r="C315" s="117">
        <f>IFERROR(IF(VLOOKUP(B315,Aaradhak_Details!$E:$F,2,FALSE)&lt;&gt;"",VLOOKUP(B315,Aaradhak_Details!$E:$F,2,FALSE),Actual_Data!D315),Actual_Data!D315)</f>
        <v>16</v>
      </c>
      <c r="D315" s="116" t="str">
        <f>IFERROR(VLOOKUP(B315,Aaradhak_Details!$E:$G,3,FALSE),"")</f>
        <v>O +ve</v>
      </c>
      <c r="E315" s="117">
        <f>IFERROR(IF(VLOOKUP(B315,Aaradhak_Details!$E:$I,5,FALSE)&lt;&gt;"",VLOOKUP(B315,Aaradhak_Details!$E:$I,5,FALSE),Actual_Data!E315),Actual_Data!E315)</f>
        <v>9821180660</v>
      </c>
      <c r="F315" s="118" t="str">
        <f t="array" ref="F315">IFERROR(
  INDEX(Aaradhak_Details!J:J, MATCH(B315, Aaradhak_Details!E:E, 0)),
  ""
)
</f>
        <v>https://drive.google.com/open?id=1TdcPVZums7E3Im-K5r4Tcn4wkZH2tB3i</v>
      </c>
    </row>
    <row r="316" ht="22.5" customHeight="1">
      <c r="A316" s="116" t="str">
        <f>Actual_Data!C316</f>
        <v>Vidhi Rajesh Mehta</v>
      </c>
      <c r="B316" s="117">
        <f>Actual_Data!B316</f>
        <v>366</v>
      </c>
      <c r="C316" s="117">
        <f>IFERROR(IF(VLOOKUP(B316,Aaradhak_Details!$E:$F,2,FALSE)&lt;&gt;"",VLOOKUP(B316,Aaradhak_Details!$E:$F,2,FALSE),Actual_Data!D316),Actual_Data!D316)</f>
        <v>20</v>
      </c>
      <c r="D316" s="116" t="str">
        <f>IFERROR(VLOOKUP(B316,Aaradhak_Details!$E:$G,3,FALSE),"")</f>
        <v>B +ve</v>
      </c>
      <c r="E316" s="117">
        <f>IFERROR(IF(VLOOKUP(B316,Aaradhak_Details!$E:$I,5,FALSE)&lt;&gt;"",VLOOKUP(B316,Aaradhak_Details!$E:$I,5,FALSE),Actual_Data!E316),Actual_Data!E316)</f>
        <v>9869076421</v>
      </c>
      <c r="F316" s="118" t="str">
        <f t="array" ref="F316">IFERROR(
  INDEX(Aaradhak_Details!J:J, MATCH(B316, Aaradhak_Details!E:E, 0)),
  ""
)
</f>
        <v>https://drive.google.com/open?id=1CB1FRTT_oAyfKADca7icGYWISdCxHbDM</v>
      </c>
    </row>
    <row r="317" ht="22.5" customHeight="1">
      <c r="A317" s="116" t="str">
        <f>Actual_Data!C317</f>
        <v>Vidhi Sandeep Mehta</v>
      </c>
      <c r="B317" s="117">
        <f>Actual_Data!B317</f>
        <v>367</v>
      </c>
      <c r="C317" s="117">
        <f>IFERROR(IF(VLOOKUP(B317,Aaradhak_Details!$E:$F,2,FALSE)&lt;&gt;"",VLOOKUP(B317,Aaradhak_Details!$E:$F,2,FALSE),Actual_Data!D317),Actual_Data!D317)</f>
        <v>16</v>
      </c>
      <c r="D317" s="116" t="str">
        <f>IFERROR(VLOOKUP(B317,Aaradhak_Details!$E:$G,3,FALSE),"")</f>
        <v>B -ve</v>
      </c>
      <c r="E317" s="117">
        <f>IFERROR(IF(VLOOKUP(B317,Aaradhak_Details!$E:$I,5,FALSE)&lt;&gt;"",VLOOKUP(B317,Aaradhak_Details!$E:$I,5,FALSE),Actual_Data!E317),Actual_Data!E317)</f>
        <v>8149880999</v>
      </c>
      <c r="F317" s="118" t="str">
        <f t="array" ref="F317">IFERROR(
  INDEX(Aaradhak_Details!J:J, MATCH(B317, Aaradhak_Details!E:E, 0)),
  ""
)
</f>
        <v>https://drive.google.com/open?id=1TJWH59duQfJBHqx2J6cdRp5p94S1HvQ5</v>
      </c>
    </row>
    <row r="318" ht="22.5" customHeight="1">
      <c r="A318" s="116" t="str">
        <f>Actual_Data!C318</f>
        <v>Vidhi vimal gosrani </v>
      </c>
      <c r="B318" s="117">
        <f>Actual_Data!B318</f>
        <v>368</v>
      </c>
      <c r="C318" s="117">
        <f>IFERROR(IF(VLOOKUP(B318,Aaradhak_Details!$E:$F,2,FALSE)&lt;&gt;"",VLOOKUP(B318,Aaradhak_Details!$E:$F,2,FALSE),Actual_Data!D318),Actual_Data!D318)</f>
        <v>23</v>
      </c>
      <c r="D318" s="116" t="str">
        <f>IFERROR(VLOOKUP(B318,Aaradhak_Details!$E:$G,3,FALSE),"")</f>
        <v>A +ve</v>
      </c>
      <c r="E318" s="117">
        <f>IFERROR(IF(VLOOKUP(B318,Aaradhak_Details!$E:$I,5,FALSE)&lt;&gt;"",VLOOKUP(B318,Aaradhak_Details!$E:$I,5,FALSE),Actual_Data!E318),Actual_Data!E318)</f>
        <v>9511634320</v>
      </c>
      <c r="F318" s="118" t="str">
        <f t="array" ref="F318">IFERROR(
  INDEX(Aaradhak_Details!J:J, MATCH(B318, Aaradhak_Details!E:E, 0)),
  ""
)
</f>
        <v>https://drive.google.com/open?id=1ybYmx3mUB-RTzDZ_RYTX0Br0eBb47hHq</v>
      </c>
    </row>
    <row r="319" ht="22.5" customHeight="1">
      <c r="A319" s="116" t="str">
        <f>Actual_Data!C319</f>
        <v>Vijeta Rajendra Bafna</v>
      </c>
      <c r="B319" s="117">
        <f>Actual_Data!B319</f>
        <v>369</v>
      </c>
      <c r="C319" s="117">
        <f>IFERROR(IF(VLOOKUP(B319,Aaradhak_Details!$E:$F,2,FALSE)&lt;&gt;"",VLOOKUP(B319,Aaradhak_Details!$E:$F,2,FALSE),Actual_Data!D319),Actual_Data!D319)</f>
        <v>21</v>
      </c>
      <c r="D319" s="116" t="str">
        <f>IFERROR(VLOOKUP(B319,Aaradhak_Details!$E:$G,3,FALSE),"")</f>
        <v/>
      </c>
      <c r="E319" s="117">
        <f>IFERROR(IF(VLOOKUP(B319,Aaradhak_Details!$E:$I,5,FALSE)&lt;&gt;"",VLOOKUP(B319,Aaradhak_Details!$E:$I,5,FALSE),Actual_Data!E319),Actual_Data!E319)</f>
        <v>9309875185</v>
      </c>
      <c r="F319" s="94" t="str">
        <f t="array" ref="F319">IFERROR(
  INDEX(Aaradhak_Details!J:J, MATCH(B319, Aaradhak_Details!E:E, 0)),
  ""
)
</f>
        <v/>
      </c>
    </row>
    <row r="320" ht="22.5" customHeight="1">
      <c r="A320" s="116" t="str">
        <f>Actual_Data!C320</f>
        <v>Vini Jain</v>
      </c>
      <c r="B320" s="117">
        <f>Actual_Data!B320</f>
        <v>370</v>
      </c>
      <c r="C320" s="117">
        <f>IFERROR(IF(VLOOKUP(B320,Aaradhak_Details!$E:$F,2,FALSE)&lt;&gt;"",VLOOKUP(B320,Aaradhak_Details!$E:$F,2,FALSE),Actual_Data!D320),Actual_Data!D320)</f>
        <v>19</v>
      </c>
      <c r="D320" s="116" t="str">
        <f>IFERROR(VLOOKUP(B320,Aaradhak_Details!$E:$G,3,FALSE),"")</f>
        <v>A +ve</v>
      </c>
      <c r="E320" s="117">
        <f>IFERROR(IF(VLOOKUP(B320,Aaradhak_Details!$E:$I,5,FALSE)&lt;&gt;"",VLOOKUP(B320,Aaradhak_Details!$E:$I,5,FALSE),Actual_Data!E320),Actual_Data!E320)</f>
        <v>8369404892</v>
      </c>
      <c r="F320" s="118" t="str">
        <f t="array" ref="F320">IFERROR(
  INDEX(Aaradhak_Details!J:J, MATCH(B320, Aaradhak_Details!E:E, 0)),
  ""
)
</f>
        <v>https://drive.google.com/open?id=1Zyu2JbrfBAtBrE9A0Gh48EZOT8UfMgb-</v>
      </c>
    </row>
    <row r="321" ht="22.5" customHeight="1">
      <c r="A321" s="116" t="str">
        <f>Actual_Data!C321</f>
        <v>Viral naitik bavisi</v>
      </c>
      <c r="B321" s="117">
        <f>Actual_Data!B321</f>
        <v>371</v>
      </c>
      <c r="C321" s="117">
        <f>IFERROR(IF(VLOOKUP(B321,Aaradhak_Details!$E:$F,2,FALSE)&lt;&gt;"",VLOOKUP(B321,Aaradhak_Details!$E:$F,2,FALSE),Actual_Data!D321),Actual_Data!D321)</f>
        <v>35</v>
      </c>
      <c r="D321" s="116" t="str">
        <f>IFERROR(VLOOKUP(B321,Aaradhak_Details!$E:$G,3,FALSE),"")</f>
        <v/>
      </c>
      <c r="E321" s="117">
        <f>IFERROR(IF(VLOOKUP(B321,Aaradhak_Details!$E:$I,5,FALSE)&lt;&gt;"",VLOOKUP(B321,Aaradhak_Details!$E:$I,5,FALSE),Actual_Data!E321),Actual_Data!E321)</f>
        <v>9978126500</v>
      </c>
      <c r="F321" s="94" t="str">
        <f t="array" ref="F321">IFERROR(
  INDEX(Aaradhak_Details!J:J, MATCH(B321, Aaradhak_Details!E:E, 0)),
  ""
)
</f>
        <v/>
      </c>
    </row>
    <row r="322" ht="22.5" customHeight="1">
      <c r="A322" s="116" t="str">
        <f>Actual_Data!C322</f>
        <v>Virti ravish shah </v>
      </c>
      <c r="B322" s="117">
        <f>Actual_Data!B322</f>
        <v>372</v>
      </c>
      <c r="C322" s="117">
        <f>IFERROR(IF(VLOOKUP(B322,Aaradhak_Details!$E:$F,2,FALSE)&lt;&gt;"",VLOOKUP(B322,Aaradhak_Details!$E:$F,2,FALSE),Actual_Data!D322),Actual_Data!D322)</f>
        <v>33</v>
      </c>
      <c r="D322" s="116" t="str">
        <f>IFERROR(VLOOKUP(B322,Aaradhak_Details!$E:$G,3,FALSE),"")</f>
        <v>O +ve</v>
      </c>
      <c r="E322" s="117">
        <f>IFERROR(IF(VLOOKUP(B322,Aaradhak_Details!$E:$I,5,FALSE)&lt;&gt;"",VLOOKUP(B322,Aaradhak_Details!$E:$I,5,FALSE),Actual_Data!E322),Actual_Data!E322)</f>
        <v>9833199923</v>
      </c>
      <c r="F322" s="118" t="str">
        <f t="array" ref="F322">IFERROR(
  INDEX(Aaradhak_Details!J:J, MATCH(B322, Aaradhak_Details!E:E, 0)),
  ""
)
</f>
        <v>https://drive.google.com/open?id=1BT1eAmUnbliy-Un28vac3bngGpsMFrI3</v>
      </c>
    </row>
    <row r="323" ht="22.5" customHeight="1">
      <c r="A323" s="116" t="str">
        <f>Actual_Data!C323</f>
        <v>Virti Ronak Vora</v>
      </c>
      <c r="B323" s="117">
        <f>Actual_Data!B323</f>
        <v>373</v>
      </c>
      <c r="C323" s="117">
        <f>IFERROR(IF(VLOOKUP(B323,Aaradhak_Details!$E:$F,2,FALSE)&lt;&gt;"",VLOOKUP(B323,Aaradhak_Details!$E:$F,2,FALSE),Actual_Data!D323),Actual_Data!D323)</f>
        <v>41</v>
      </c>
      <c r="D323" s="116" t="str">
        <f>IFERROR(VLOOKUP(B323,Aaradhak_Details!$E:$G,3,FALSE),"")</f>
        <v>O +ve</v>
      </c>
      <c r="E323" s="117">
        <f>IFERROR(IF(VLOOKUP(B323,Aaradhak_Details!$E:$I,5,FALSE)&lt;&gt;"",VLOOKUP(B323,Aaradhak_Details!$E:$I,5,FALSE),Actual_Data!E323),Actual_Data!E323)</f>
        <v>9725555541</v>
      </c>
      <c r="F323" s="118" t="str">
        <f t="array" ref="F323">IFERROR(
  INDEX(Aaradhak_Details!J:J, MATCH(B323, Aaradhak_Details!E:E, 0)),
  ""
)
</f>
        <v>https://drive.google.com/open?id=1fDFgD7pcVJaY5s-IEqXXlB9dblHH5ErU</v>
      </c>
    </row>
    <row r="324" ht="22.5" customHeight="1">
      <c r="A324" s="116" t="str">
        <f>Actual_Data!C324</f>
        <v>Vishwa Chetan Shah</v>
      </c>
      <c r="B324" s="117">
        <f>Actual_Data!B324</f>
        <v>374</v>
      </c>
      <c r="C324" s="117">
        <f>IFERROR(IF(VLOOKUP(B324,Aaradhak_Details!$E:$F,2,FALSE)&lt;&gt;"",VLOOKUP(B324,Aaradhak_Details!$E:$F,2,FALSE),Actual_Data!D324),Actual_Data!D324)</f>
        <v>25</v>
      </c>
      <c r="D324" s="116" t="str">
        <f>IFERROR(VLOOKUP(B324,Aaradhak_Details!$E:$G,3,FALSE),"")</f>
        <v>O +ve</v>
      </c>
      <c r="E324" s="117">
        <f>IFERROR(IF(VLOOKUP(B324,Aaradhak_Details!$E:$I,5,FALSE)&lt;&gt;"",VLOOKUP(B324,Aaradhak_Details!$E:$I,5,FALSE),Actual_Data!E324),Actual_Data!E324)</f>
        <v>9324834354</v>
      </c>
      <c r="F324" s="118" t="str">
        <f t="array" ref="F324">IFERROR(
  INDEX(Aaradhak_Details!J:J, MATCH(B324, Aaradhak_Details!E:E, 0)),
  ""
)
</f>
        <v>https://drive.google.com/open?id=11O2cG97nz6zOGZQG4YLhiq71qKSuHbRG</v>
      </c>
    </row>
    <row r="325" ht="22.5" customHeight="1">
      <c r="A325" s="116" t="str">
        <f>Actual_Data!C325</f>
        <v>Vishwa Rupeshbhai Shroff</v>
      </c>
      <c r="B325" s="117">
        <f>Actual_Data!B325</f>
        <v>375</v>
      </c>
      <c r="C325" s="117">
        <f>IFERROR(IF(VLOOKUP(B325,Aaradhak_Details!$E:$F,2,FALSE)&lt;&gt;"",VLOOKUP(B325,Aaradhak_Details!$E:$F,2,FALSE),Actual_Data!D325),Actual_Data!D325)</f>
        <v>23</v>
      </c>
      <c r="D325" s="116" t="str">
        <f>IFERROR(VLOOKUP(B325,Aaradhak_Details!$E:$G,3,FALSE),"")</f>
        <v>B +ve</v>
      </c>
      <c r="E325" s="117">
        <f>IFERROR(IF(VLOOKUP(B325,Aaradhak_Details!$E:$I,5,FALSE)&lt;&gt;"",VLOOKUP(B325,Aaradhak_Details!$E:$I,5,FALSE),Actual_Data!E325),Actual_Data!E325)</f>
        <v>9712913230</v>
      </c>
      <c r="F325" s="118" t="str">
        <f t="array" ref="F325">IFERROR(
  INDEX(Aaradhak_Details!J:J, MATCH(B325, Aaradhak_Details!E:E, 0)),
  ""
)
</f>
        <v>https://drive.google.com/open?id=1gL9EtKGrGZ26hOptX5YtaovkRkOHUbi8</v>
      </c>
    </row>
    <row r="326" ht="22.5" customHeight="1">
      <c r="A326" s="116" t="str">
        <f>Actual_Data!C326</f>
        <v>Vrushti Gaurav Shah</v>
      </c>
      <c r="B326" s="117">
        <f>Actual_Data!B326</f>
        <v>376</v>
      </c>
      <c r="C326" s="117">
        <f>IFERROR(IF(VLOOKUP(B326,Aaradhak_Details!$E:$F,2,FALSE)&lt;&gt;"",VLOOKUP(B326,Aaradhak_Details!$E:$F,2,FALSE),Actual_Data!D326),Actual_Data!D326)</f>
        <v>20</v>
      </c>
      <c r="D326" s="116" t="str">
        <f>IFERROR(VLOOKUP(B326,Aaradhak_Details!$E:$G,3,FALSE),"")</f>
        <v>O +ve</v>
      </c>
      <c r="E326" s="117">
        <f>IFERROR(IF(VLOOKUP(B326,Aaradhak_Details!$E:$I,5,FALSE)&lt;&gt;"",VLOOKUP(B326,Aaradhak_Details!$E:$I,5,FALSE),Actual_Data!E326),Actual_Data!E326)</f>
        <v>9819528088</v>
      </c>
      <c r="F326" s="118" t="str">
        <f t="array" ref="F326">IFERROR(
  INDEX(Aaradhak_Details!J:J, MATCH(B326, Aaradhak_Details!E:E, 0)),
  ""
)
</f>
        <v>https://drive.google.com/open?id=1XnyqCJCDYO6Hm6TJ9huhOo7iEDiL_ODt</v>
      </c>
    </row>
    <row r="327" ht="22.5" customHeight="1">
      <c r="A327" s="116" t="str">
        <f>Actual_Data!C327</f>
        <v>Vrushti Saurabh Shah</v>
      </c>
      <c r="B327" s="117">
        <f>Actual_Data!B327</f>
        <v>377</v>
      </c>
      <c r="C327" s="117">
        <f>IFERROR(IF(VLOOKUP(B327,Aaradhak_Details!$E:$F,2,FALSE)&lt;&gt;"",VLOOKUP(B327,Aaradhak_Details!$E:$F,2,FALSE),Actual_Data!D327),Actual_Data!D327)</f>
        <v>19</v>
      </c>
      <c r="D327" s="116" t="str">
        <f>IFERROR(VLOOKUP(B327,Aaradhak_Details!$E:$G,3,FALSE),"")</f>
        <v>O +ve</v>
      </c>
      <c r="E327" s="117">
        <f>IFERROR(IF(VLOOKUP(B327,Aaradhak_Details!$E:$I,5,FALSE)&lt;&gt;"",VLOOKUP(B327,Aaradhak_Details!$E:$I,5,FALSE),Actual_Data!E327),Actual_Data!E327)</f>
        <v>9892613366</v>
      </c>
      <c r="F327" s="118" t="str">
        <f t="array" ref="F327">IFERROR(
  INDEX(Aaradhak_Details!J:J, MATCH(B327, Aaradhak_Details!E:E, 0)),
  ""
)
</f>
        <v>https://drive.google.com/open?id=1ycroAPGCtJ9puQkWw9iIlqUlEg42yhj7</v>
      </c>
    </row>
    <row r="328" ht="22.5" customHeight="1">
      <c r="A328" s="116" t="str">
        <f>Actual_Data!C328</f>
        <v>Yashaswini Dangi </v>
      </c>
      <c r="B328" s="117">
        <f>Actual_Data!B328</f>
        <v>378</v>
      </c>
      <c r="C328" s="117">
        <f>IFERROR(IF(VLOOKUP(B328,Aaradhak_Details!$E:$F,2,FALSE)&lt;&gt;"",VLOOKUP(B328,Aaradhak_Details!$E:$F,2,FALSE),Actual_Data!D328),Actual_Data!D328)</f>
        <v>28</v>
      </c>
      <c r="D328" s="116" t="str">
        <f>IFERROR(VLOOKUP(B328,Aaradhak_Details!$E:$G,3,FALSE),"")</f>
        <v>O +ve</v>
      </c>
      <c r="E328" s="117">
        <f>IFERROR(IF(VLOOKUP(B328,Aaradhak_Details!$E:$I,5,FALSE)&lt;&gt;"",VLOOKUP(B328,Aaradhak_Details!$E:$I,5,FALSE),Actual_Data!E328),Actual_Data!E328)</f>
        <v>9829188428</v>
      </c>
      <c r="F328" s="118" t="str">
        <f t="array" ref="F328">IFERROR(
  INDEX(Aaradhak_Details!J:J, MATCH(B328, Aaradhak_Details!E:E, 0)),
  ""
)
</f>
        <v>https://drive.google.com/open?id=1GtDDCOpDWw-P29V3S12qpObhDTo4HMGb</v>
      </c>
    </row>
    <row r="329" ht="22.5" customHeight="1">
      <c r="A329" s="116" t="str">
        <f>Actual_Data!C329</f>
        <v>Yashi Kevin Shah</v>
      </c>
      <c r="B329" s="117">
        <f>Actual_Data!B329</f>
        <v>379</v>
      </c>
      <c r="C329" s="117">
        <f>IFERROR(IF(VLOOKUP(B329,Aaradhak_Details!$E:$F,2,FALSE)&lt;&gt;"",VLOOKUP(B329,Aaradhak_Details!$E:$F,2,FALSE),Actual_Data!D329),Actual_Data!D329)</f>
        <v>18</v>
      </c>
      <c r="D329" s="116" t="str">
        <f>IFERROR(VLOOKUP(B329,Aaradhak_Details!$E:$G,3,FALSE),"")</f>
        <v>B +ve</v>
      </c>
      <c r="E329" s="117">
        <f>IFERROR(IF(VLOOKUP(B329,Aaradhak_Details!$E:$I,5,FALSE)&lt;&gt;"",VLOOKUP(B329,Aaradhak_Details!$E:$I,5,FALSE),Actual_Data!E329),Actual_Data!E329)</f>
        <v>9422666062</v>
      </c>
      <c r="F329" s="118" t="str">
        <f t="array" ref="F329">IFERROR(
  INDEX(Aaradhak_Details!J:J, MATCH(B329, Aaradhak_Details!E:E, 0)),
  ""
)
</f>
        <v>https://drive.google.com/open?id=1UK4If4UV_oSDa8fNgc_nrov1HYHKfi8n</v>
      </c>
    </row>
    <row r="330" ht="22.5" customHeight="1">
      <c r="A330" s="116" t="str">
        <f>Actual_Data!C330</f>
        <v>Yashika Jain</v>
      </c>
      <c r="B330" s="117">
        <f>Actual_Data!B330</f>
        <v>380</v>
      </c>
      <c r="C330" s="117">
        <f>IFERROR(IF(VLOOKUP(B330,Aaradhak_Details!$E:$F,2,FALSE)&lt;&gt;"",VLOOKUP(B330,Aaradhak_Details!$E:$F,2,FALSE),Actual_Data!D330),Actual_Data!D330)</f>
        <v>24</v>
      </c>
      <c r="D330" s="116" t="str">
        <f>IFERROR(VLOOKUP(B330,Aaradhak_Details!$E:$G,3,FALSE),"")</f>
        <v>B +ve</v>
      </c>
      <c r="E330" s="117">
        <f>IFERROR(IF(VLOOKUP(B330,Aaradhak_Details!$E:$I,5,FALSE)&lt;&gt;"",VLOOKUP(B330,Aaradhak_Details!$E:$I,5,FALSE),Actual_Data!E330),Actual_Data!E330)</f>
        <v>8160783410</v>
      </c>
      <c r="F330" s="118" t="str">
        <f t="array" ref="F330">IFERROR(
  INDEX(Aaradhak_Details!J:J, MATCH(B330, Aaradhak_Details!E:E, 0)),
  ""
)
</f>
        <v>https://drive.google.com/open?id=1osQjPZkQOyDp6BtewdaA6wx9uhnhcr69</v>
      </c>
    </row>
    <row r="331" ht="22.5" customHeight="1">
      <c r="A331" s="116" t="str">
        <f>Actual_Data!C331</f>
        <v>Yashvi Himanshu Gandhi </v>
      </c>
      <c r="B331" s="117">
        <f>Actual_Data!B331</f>
        <v>382</v>
      </c>
      <c r="C331" s="117">
        <f>IFERROR(IF(VLOOKUP(B331,Aaradhak_Details!$E:$F,2,FALSE)&lt;&gt;"",VLOOKUP(B331,Aaradhak_Details!$E:$F,2,FALSE),Actual_Data!D331),Actual_Data!D331)</f>
        <v>18</v>
      </c>
      <c r="D331" s="116" t="str">
        <f>IFERROR(VLOOKUP(B331,Aaradhak_Details!$E:$G,3,FALSE),"")</f>
        <v>B +ve</v>
      </c>
      <c r="E331" s="117">
        <f>IFERROR(IF(VLOOKUP(B331,Aaradhak_Details!$E:$I,5,FALSE)&lt;&gt;"",VLOOKUP(B331,Aaradhak_Details!$E:$I,5,FALSE),Actual_Data!E331),Actual_Data!E331)</f>
        <v>9427066925</v>
      </c>
      <c r="F331" s="118" t="str">
        <f t="array" ref="F331">IFERROR(
  INDEX(Aaradhak_Details!J:J, MATCH(B331, Aaradhak_Details!E:E, 0)),
  ""
)
</f>
        <v>https://drive.google.com/open?id=10D-ky4rMuSFT24Xq9X4gT4e-N3m_c8az</v>
      </c>
    </row>
    <row r="332" ht="22.5" customHeight="1">
      <c r="A332" s="116" t="str">
        <f>Actual_Data!C332</f>
        <v>Yatri Jayeshkumar Shah </v>
      </c>
      <c r="B332" s="117">
        <f>Actual_Data!B332</f>
        <v>383</v>
      </c>
      <c r="C332" s="117">
        <f>IFERROR(IF(VLOOKUP(B332,Aaradhak_Details!$E:$F,2,FALSE)&lt;&gt;"",VLOOKUP(B332,Aaradhak_Details!$E:$F,2,FALSE),Actual_Data!D332),Actual_Data!D332)</f>
        <v>21</v>
      </c>
      <c r="D332" s="116" t="str">
        <f>IFERROR(VLOOKUP(B332,Aaradhak_Details!$E:$G,3,FALSE),"")</f>
        <v>O +ve</v>
      </c>
      <c r="E332" s="117">
        <f>IFERROR(IF(VLOOKUP(B332,Aaradhak_Details!$E:$I,5,FALSE)&lt;&gt;"",VLOOKUP(B332,Aaradhak_Details!$E:$I,5,FALSE),Actual_Data!E332),Actual_Data!E332)</f>
        <v>9925995882</v>
      </c>
      <c r="F332" s="118" t="str">
        <f t="array" ref="F332">IFERROR(
  INDEX(Aaradhak_Details!J:J, MATCH(B332, Aaradhak_Details!E:E, 0)),
  ""
)
</f>
        <v>https://drive.google.com/open?id=11Gm934vtE39jonx85RcHLBy5ziC0Nlq2</v>
      </c>
    </row>
    <row r="333" ht="22.5" customHeight="1">
      <c r="A333" s="116" t="str">
        <f>Actual_Data!C333</f>
        <v>Yesha Deepak shah</v>
      </c>
      <c r="B333" s="117">
        <f>Actual_Data!B333</f>
        <v>384</v>
      </c>
      <c r="C333" s="117">
        <f>IFERROR(IF(VLOOKUP(B333,Aaradhak_Details!$E:$F,2,FALSE)&lt;&gt;"",VLOOKUP(B333,Aaradhak_Details!$E:$F,2,FALSE),Actual_Data!D333),Actual_Data!D333)</f>
        <v>16</v>
      </c>
      <c r="D333" s="116" t="str">
        <f>IFERROR(VLOOKUP(B333,Aaradhak_Details!$E:$G,3,FALSE),"")</f>
        <v>B +ve</v>
      </c>
      <c r="E333" s="117">
        <f>IFERROR(IF(VLOOKUP(B333,Aaradhak_Details!$E:$I,5,FALSE)&lt;&gt;"",VLOOKUP(B333,Aaradhak_Details!$E:$I,5,FALSE),Actual_Data!E333),Actual_Data!E333)</f>
        <v>7058053936</v>
      </c>
      <c r="F333" s="118" t="str">
        <f t="array" ref="F333">IFERROR(
  INDEX(Aaradhak_Details!J:J, MATCH(B333, Aaradhak_Details!E:E, 0)),
  ""
)
</f>
        <v>https://drive.google.com/open?id=1lu3JTsuyiqBjC0GJe2-RJ6zoOaNc-ggx</v>
      </c>
    </row>
    <row r="334" ht="22.5" customHeight="1">
      <c r="A334" s="116" t="str">
        <f>Actual_Data!C334</f>
        <v>Heena Jain</v>
      </c>
      <c r="B334" s="117">
        <f>Actual_Data!B334</f>
        <v>386</v>
      </c>
      <c r="C334" s="117">
        <f>IFERROR(IF(VLOOKUP(B334,Aaradhak_Details!$E:$F,2,FALSE)&lt;&gt;"",VLOOKUP(B334,Aaradhak_Details!$E:$F,2,FALSE),Actual_Data!D334),Actual_Data!D334)</f>
        <v>37</v>
      </c>
      <c r="D334" s="116" t="str">
        <f>IFERROR(VLOOKUP(B334,Aaradhak_Details!$E:$G,3,FALSE),"")</f>
        <v>B +ve</v>
      </c>
      <c r="E334" s="117">
        <f>IFERROR(IF(VLOOKUP(B334,Aaradhak_Details!$E:$I,5,FALSE)&lt;&gt;"",VLOOKUP(B334,Aaradhak_Details!$E:$I,5,FALSE),Actual_Data!E334),Actual_Data!E334)</f>
        <v>9960840282</v>
      </c>
      <c r="F334" s="118" t="str">
        <f t="array" ref="F334">IFERROR(
  INDEX(Aaradhak_Details!J:J, MATCH(B334, Aaradhak_Details!E:E, 0)),
  ""
)
</f>
        <v>https://drive.google.com/open?id=1zzx88G6Y88tO_Lh1lYrJcD01P7nOtYjB</v>
      </c>
    </row>
    <row r="335" ht="22.5" customHeight="1">
      <c r="A335" s="116" t="str">
        <f>Actual_Data!C335</f>
        <v>Darshna Jain</v>
      </c>
      <c r="B335" s="117">
        <f>Actual_Data!B335</f>
        <v>387</v>
      </c>
      <c r="C335" s="117">
        <f>IFERROR(IF(VLOOKUP(B335,Aaradhak_Details!$E:$F,2,FALSE)&lt;&gt;"",VLOOKUP(B335,Aaradhak_Details!$E:$F,2,FALSE),Actual_Data!D335),Actual_Data!D335)</f>
        <v>22</v>
      </c>
      <c r="D335" s="116" t="str">
        <f>IFERROR(VLOOKUP(B335,Aaradhak_Details!$E:$G,3,FALSE),"")</f>
        <v>B +ve</v>
      </c>
      <c r="E335" s="117">
        <f>IFERROR(IF(VLOOKUP(B335,Aaradhak_Details!$E:$I,5,FALSE)&lt;&gt;"",VLOOKUP(B335,Aaradhak_Details!$E:$I,5,FALSE),Actual_Data!E335),Actual_Data!E335)</f>
        <v>7849873562</v>
      </c>
      <c r="F335" s="118" t="str">
        <f t="array" ref="F335">IFERROR(
  INDEX(Aaradhak_Details!J:J, MATCH(B335, Aaradhak_Details!E:E, 0)),
  ""
)
</f>
        <v>https://drive.google.com/open?id=1d_w1wLlT-XuMutTDk3JG-8CGqfsFmnBI</v>
      </c>
    </row>
    <row r="336" ht="22.5" customHeight="1">
      <c r="A336" s="116" t="str">
        <f>Actual_Data!C336</f>
        <v>Karishma Gandhi</v>
      </c>
      <c r="B336" s="117">
        <f>Actual_Data!B336</f>
        <v>388</v>
      </c>
      <c r="C336" s="117">
        <f>IFERROR(IF(VLOOKUP(B336,Aaradhak_Details!$E:$F,2,FALSE)&lt;&gt;"",VLOOKUP(B336,Aaradhak_Details!$E:$F,2,FALSE),Actual_Data!D336),Actual_Data!D336)</f>
        <v>33</v>
      </c>
      <c r="D336" s="116" t="str">
        <f>IFERROR(VLOOKUP(B336,Aaradhak_Details!$E:$G,3,FALSE),"")</f>
        <v>B +ve</v>
      </c>
      <c r="E336" s="117">
        <f>IFERROR(IF(VLOOKUP(B336,Aaradhak_Details!$E:$I,5,FALSE)&lt;&gt;"",VLOOKUP(B336,Aaradhak_Details!$E:$I,5,FALSE),Actual_Data!E336),Actual_Data!E336)</f>
        <v>9893285655</v>
      </c>
      <c r="F336" s="118" t="str">
        <f t="array" ref="F336">IFERROR(
  INDEX(Aaradhak_Details!J:J, MATCH(B336, Aaradhak_Details!E:E, 0)),
  ""
)
</f>
        <v>https://drive.google.com/open?id=1gci4u90s3416rw7qHcmDG7shErbqQ7TP</v>
      </c>
    </row>
    <row r="337" ht="22.5" customHeight="1">
      <c r="A337" s="116" t="str">
        <f>Actual_Data!C337</f>
        <v>Ekta jain</v>
      </c>
      <c r="B337" s="117">
        <f>Actual_Data!B337</f>
        <v>390</v>
      </c>
      <c r="C337" s="117">
        <f>IFERROR(IF(VLOOKUP(B337,Aaradhak_Details!$E:$F,2,FALSE)&lt;&gt;"",VLOOKUP(B337,Aaradhak_Details!$E:$F,2,FALSE),Actual_Data!D337),Actual_Data!D337)</f>
        <v>33</v>
      </c>
      <c r="D337" s="116" t="str">
        <f>IFERROR(VLOOKUP(B337,Aaradhak_Details!$E:$G,3,FALSE),"")</f>
        <v>O +ve</v>
      </c>
      <c r="E337" s="117">
        <f>IFERROR(IF(VLOOKUP(B337,Aaradhak_Details!$E:$I,5,FALSE)&lt;&gt;"",VLOOKUP(B337,Aaradhak_Details!$E:$I,5,FALSE),Actual_Data!E337),Actual_Data!E337)</f>
        <v>9619402561</v>
      </c>
      <c r="F337" s="118" t="str">
        <f t="array" ref="F337">IFERROR(
  INDEX(Aaradhak_Details!J:J, MATCH(B337, Aaradhak_Details!E:E, 0)),
  ""
)
</f>
        <v>https://drive.google.com/open?id=1sb9dOgDz42VQhhFVwWNkuP_nhhvJ5Xi5</v>
      </c>
    </row>
    <row r="338" ht="22.5" customHeight="1">
      <c r="A338" s="116" t="str">
        <f>Actual_Data!C338</f>
        <v>Aayushi</v>
      </c>
      <c r="B338" s="117">
        <f>Actual_Data!B338</f>
        <v>391</v>
      </c>
      <c r="C338" s="117">
        <f>IFERROR(IF(VLOOKUP(B338,Aaradhak_Details!$E:$F,2,FALSE)&lt;&gt;"",VLOOKUP(B338,Aaradhak_Details!$E:$F,2,FALSE),Actual_Data!D338),Actual_Data!D338)</f>
        <v>18</v>
      </c>
      <c r="D338" s="116" t="str">
        <f>IFERROR(VLOOKUP(B338,Aaradhak_Details!$E:$G,3,FALSE),"")</f>
        <v>O +ve</v>
      </c>
      <c r="E338" s="117">
        <f>IFERROR(IF(VLOOKUP(B338,Aaradhak_Details!$E:$I,5,FALSE)&lt;&gt;"",VLOOKUP(B338,Aaradhak_Details!$E:$I,5,FALSE),Actual_Data!E338),Actual_Data!E338)</f>
        <v>9993993381</v>
      </c>
      <c r="F338" s="118" t="str">
        <f t="array" ref="F338">IFERROR(
  INDEX(Aaradhak_Details!J:J, MATCH(B338, Aaradhak_Details!E:E, 0)),
  ""
)
</f>
        <v>https://drive.google.com/open?id=1tXoPeuEwCwZi6i8ODmxmJl8uyNzw3FVN</v>
      </c>
    </row>
    <row r="339" ht="22.5" customHeight="1">
      <c r="A339" s="116" t="str">
        <f>Actual_Data!C339</f>
        <v>Bhavna Bhandari</v>
      </c>
      <c r="B339" s="117">
        <f>Actual_Data!B339</f>
        <v>392</v>
      </c>
      <c r="C339" s="117">
        <f>IFERROR(IF(VLOOKUP(B339,Aaradhak_Details!$E:$F,2,FALSE)&lt;&gt;"",VLOOKUP(B339,Aaradhak_Details!$E:$F,2,FALSE),Actual_Data!D339),Actual_Data!D339)</f>
        <v>31</v>
      </c>
      <c r="D339" s="116" t="str">
        <f>IFERROR(VLOOKUP(B339,Aaradhak_Details!$E:$G,3,FALSE),"")</f>
        <v>B +ve</v>
      </c>
      <c r="E339" s="117">
        <f>IFERROR(IF(VLOOKUP(B339,Aaradhak_Details!$E:$I,5,FALSE)&lt;&gt;"",VLOOKUP(B339,Aaradhak_Details!$E:$I,5,FALSE),Actual_Data!E339),Actual_Data!E339)</f>
        <v>9413805414</v>
      </c>
      <c r="F339" s="118" t="str">
        <f t="array" ref="F339">IFERROR(
  INDEX(Aaradhak_Details!J:J, MATCH(B339, Aaradhak_Details!E:E, 0)),
  ""
)
</f>
        <v>https://drive.google.com/open?id=1tqAWs0VY2goICihktdR7t9h3_RdfIYmj</v>
      </c>
    </row>
    <row r="340" ht="22.5" customHeight="1">
      <c r="A340" s="116" t="str">
        <f>Actual_Data!C340</f>
        <v>Esha Shah</v>
      </c>
      <c r="B340" s="117">
        <f>Actual_Data!B340</f>
        <v>393</v>
      </c>
      <c r="C340" s="117">
        <f>IFERROR(IF(VLOOKUP(B340,Aaradhak_Details!$E:$F,2,FALSE)&lt;&gt;"",VLOOKUP(B340,Aaradhak_Details!$E:$F,2,FALSE),Actual_Data!D340),Actual_Data!D340)</f>
        <v>24</v>
      </c>
      <c r="D340" s="116" t="str">
        <f>IFERROR(VLOOKUP(B340,Aaradhak_Details!$E:$G,3,FALSE),"")</f>
        <v>A +ve</v>
      </c>
      <c r="E340" s="117">
        <f>IFERROR(IF(VLOOKUP(B340,Aaradhak_Details!$E:$I,5,FALSE)&lt;&gt;"",VLOOKUP(B340,Aaradhak_Details!$E:$I,5,FALSE),Actual_Data!E340),Actual_Data!E340)</f>
        <v>9226144134</v>
      </c>
      <c r="F340" s="118" t="str">
        <f t="array" ref="F340">IFERROR(
  INDEX(Aaradhak_Details!J:J, MATCH(B340, Aaradhak_Details!E:E, 0)),
  ""
)
</f>
        <v>https://drive.google.com/open?id=156WpmK_PiEUgOU_ERl0RTpxu2C33zyRj</v>
      </c>
    </row>
    <row r="341" ht="22.5" customHeight="1">
      <c r="A341" s="116" t="str">
        <f>Actual_Data!C341</f>
        <v>Dahita</v>
      </c>
      <c r="B341" s="117">
        <f>Actual_Data!B341</f>
        <v>394</v>
      </c>
      <c r="C341" s="117">
        <f>IFERROR(IF(VLOOKUP(B341,Aaradhak_Details!$E:$F,2,FALSE)&lt;&gt;"",VLOOKUP(B341,Aaradhak_Details!$E:$F,2,FALSE),Actual_Data!D341),Actual_Data!D341)</f>
        <v>42</v>
      </c>
      <c r="D341" s="116" t="str">
        <f>IFERROR(VLOOKUP(B341,Aaradhak_Details!$E:$G,3,FALSE),"")</f>
        <v>O -ve</v>
      </c>
      <c r="E341" s="117">
        <f>IFERROR(IF(VLOOKUP(B341,Aaradhak_Details!$E:$I,5,FALSE)&lt;&gt;"",VLOOKUP(B341,Aaradhak_Details!$E:$I,5,FALSE),Actual_Data!E341),Actual_Data!E341)</f>
        <v>9820306577</v>
      </c>
      <c r="F341" s="118" t="str">
        <f t="array" ref="F341">IFERROR(
  INDEX(Aaradhak_Details!J:J, MATCH(B341, Aaradhak_Details!E:E, 0)),
  ""
)
</f>
        <v>https://drive.google.com/open?id=1nggRYpSajINYcyuGWWVl59GSdI1ksuW-</v>
      </c>
    </row>
    <row r="342" ht="22.5" customHeight="1">
      <c r="A342" s="116" t="str">
        <f>Actual_Data!C342</f>
        <v>Mansi</v>
      </c>
      <c r="B342" s="117">
        <f>Actual_Data!B342</f>
        <v>395</v>
      </c>
      <c r="C342" s="117">
        <f>IFERROR(IF(VLOOKUP(B342,Aaradhak_Details!$E:$F,2,FALSE)&lt;&gt;"",VLOOKUP(B342,Aaradhak_Details!$E:$F,2,FALSE),Actual_Data!D342),Actual_Data!D342)</f>
        <v>37</v>
      </c>
      <c r="D342" s="116" t="str">
        <f>IFERROR(VLOOKUP(B342,Aaradhak_Details!$E:$G,3,FALSE),"")</f>
        <v>A +ve</v>
      </c>
      <c r="E342" s="117">
        <f>IFERROR(IF(VLOOKUP(B342,Aaradhak_Details!$E:$I,5,FALSE)&lt;&gt;"",VLOOKUP(B342,Aaradhak_Details!$E:$I,5,FALSE),Actual_Data!E342),Actual_Data!E342)</f>
        <v>9819882008</v>
      </c>
      <c r="F342" s="118" t="str">
        <f t="array" ref="F342">IFERROR(
  INDEX(Aaradhak_Details!J:J, MATCH(B342, Aaradhak_Details!E:E, 0)),
  ""
)
</f>
        <v>https://drive.google.com/open?id=1ZgxaCYX-CkH2UDSNQ3nl3w9VGvtm7_j-</v>
      </c>
    </row>
    <row r="343" ht="22.5" customHeight="1">
      <c r="A343" s="116" t="str">
        <f>Actual_Data!C343</f>
        <v>Aarya</v>
      </c>
      <c r="B343" s="117">
        <f>Actual_Data!B343</f>
        <v>396</v>
      </c>
      <c r="C343" s="117" t="str">
        <f>IFERROR(IF(VLOOKUP(B343,Aaradhak_Details!$E:$F,2,FALSE)&lt;&gt;"",VLOOKUP(B343,Aaradhak_Details!$E:$F,2,FALSE),Actual_Data!D343),Actual_Data!D343)</f>
        <v/>
      </c>
      <c r="D343" s="116" t="str">
        <f>IFERROR(VLOOKUP(B343,Aaradhak_Details!$E:$G,3,FALSE),"")</f>
        <v/>
      </c>
      <c r="E343" s="117">
        <f>IFERROR(IF(VLOOKUP(B343,Aaradhak_Details!$E:$I,5,FALSE)&lt;&gt;"",VLOOKUP(B343,Aaradhak_Details!$E:$I,5,FALSE),Actual_Data!E343),Actual_Data!E343)</f>
        <v>7987411677</v>
      </c>
      <c r="F343" s="94" t="str">
        <f t="array" ref="F343">IFERROR(
  INDEX(Aaradhak_Details!J:J, MATCH(B343, Aaradhak_Details!E:E, 0)),
  ""
)
</f>
        <v/>
      </c>
    </row>
    <row r="344" ht="22.5" customHeight="1">
      <c r="A344" s="116" t="str">
        <f>Actual_Data!C344</f>
        <v>Megha Parekh</v>
      </c>
      <c r="B344" s="117">
        <f>Actual_Data!B344</f>
        <v>397</v>
      </c>
      <c r="C344" s="117">
        <f>IFERROR(IF(VLOOKUP(B344,Aaradhak_Details!$E:$F,2,FALSE)&lt;&gt;"",VLOOKUP(B344,Aaradhak_Details!$E:$F,2,FALSE),Actual_Data!D344),Actual_Data!D344)</f>
        <v>32</v>
      </c>
      <c r="D344" s="116" t="str">
        <f>IFERROR(VLOOKUP(B344,Aaradhak_Details!$E:$G,3,FALSE),"")</f>
        <v>B +ve</v>
      </c>
      <c r="E344" s="117">
        <f>IFERROR(IF(VLOOKUP(B344,Aaradhak_Details!$E:$I,5,FALSE)&lt;&gt;"",VLOOKUP(B344,Aaradhak_Details!$E:$I,5,FALSE),Actual_Data!E344),Actual_Data!E344)</f>
        <v>9870914343</v>
      </c>
      <c r="F344" s="118" t="str">
        <f t="array" ref="F344">IFERROR(
  INDEX(Aaradhak_Details!J:J, MATCH(B344, Aaradhak_Details!E:E, 0)),
  ""
)
</f>
        <v>https://drive.google.com/open?id=1_0093nf3Sf6JTmmVe5u1-3eIqDBrf-wf</v>
      </c>
    </row>
    <row r="345" ht="22.5" customHeight="1">
      <c r="A345" s="116" t="str">
        <f>Actual_Data!C345</f>
        <v>Shraddha Parekh</v>
      </c>
      <c r="B345" s="117">
        <f>Actual_Data!B345</f>
        <v>398</v>
      </c>
      <c r="C345" s="117">
        <f>IFERROR(IF(VLOOKUP(B345,Aaradhak_Details!$E:$F,2,FALSE)&lt;&gt;"",VLOOKUP(B345,Aaradhak_Details!$E:$F,2,FALSE),Actual_Data!D345),Actual_Data!D345)</f>
        <v>29</v>
      </c>
      <c r="D345" s="116" t="str">
        <f>IFERROR(VLOOKUP(B345,Aaradhak_Details!$E:$G,3,FALSE),"")</f>
        <v>O -ve</v>
      </c>
      <c r="E345" s="117">
        <f>IFERROR(IF(VLOOKUP(B345,Aaradhak_Details!$E:$I,5,FALSE)&lt;&gt;"",VLOOKUP(B345,Aaradhak_Details!$E:$I,5,FALSE),Actual_Data!E345),Actual_Data!E345)</f>
        <v>9773070052</v>
      </c>
      <c r="F345" s="118" t="str">
        <f t="array" ref="F345">IFERROR(
  INDEX(Aaradhak_Details!J:J, MATCH(B345, Aaradhak_Details!E:E, 0)),
  ""
)
</f>
        <v>https://drive.google.com/open?id=1atTJJsBKucpvQDqrYzIAt1_rhrFvo4uU</v>
      </c>
    </row>
    <row r="346" ht="22.5" customHeight="1">
      <c r="A346" s="116" t="str">
        <f>Actual_Data!C346</f>
        <v>Riya</v>
      </c>
      <c r="B346" s="117">
        <f>Actual_Data!B346</f>
        <v>399</v>
      </c>
      <c r="C346" s="117">
        <f>IFERROR(IF(VLOOKUP(B346,Aaradhak_Details!$E:$F,2,FALSE)&lt;&gt;"",VLOOKUP(B346,Aaradhak_Details!$E:$F,2,FALSE),Actual_Data!D346),Actual_Data!D346)</f>
        <v>26</v>
      </c>
      <c r="D346" s="116" t="str">
        <f>IFERROR(VLOOKUP(B346,Aaradhak_Details!$E:$G,3,FALSE),"")</f>
        <v>A +ve</v>
      </c>
      <c r="E346" s="117">
        <f>IFERROR(IF(VLOOKUP(B346,Aaradhak_Details!$E:$I,5,FALSE)&lt;&gt;"",VLOOKUP(B346,Aaradhak_Details!$E:$I,5,FALSE),Actual_Data!E346),Actual_Data!E346)</f>
        <v>8839742689</v>
      </c>
      <c r="F346" s="118" t="str">
        <f t="array" ref="F346">IFERROR(
  INDEX(Aaradhak_Details!J:J, MATCH(B346, Aaradhak_Details!E:E, 0)),
  ""
)
</f>
        <v>https://drive.google.com/open?id=1DVSgH8lhD1ZgXirkppC2NcOlnz5XSQWw</v>
      </c>
    </row>
    <row r="347" ht="22.5" customHeight="1">
      <c r="A347" s="116" t="str">
        <f>Actual_Data!C347</f>
        <v>Aayushi Golecha</v>
      </c>
      <c r="B347" s="117">
        <f>Actual_Data!B347</f>
        <v>400</v>
      </c>
      <c r="C347" s="117" t="str">
        <f>IFERROR(IF(VLOOKUP(B347,Aaradhak_Details!$E:$F,2,FALSE)&lt;&gt;"",VLOOKUP(B347,Aaradhak_Details!$E:$F,2,FALSE),Actual_Data!D347),Actual_Data!D347)</f>
        <v/>
      </c>
      <c r="D347" s="116" t="str">
        <f>IFERROR(VLOOKUP(B347,Aaradhak_Details!$E:$G,3,FALSE),"")</f>
        <v/>
      </c>
      <c r="E347" s="117">
        <f>IFERROR(IF(VLOOKUP(B347,Aaradhak_Details!$E:$I,5,FALSE)&lt;&gt;"",VLOOKUP(B347,Aaradhak_Details!$E:$I,5,FALSE),Actual_Data!E347),Actual_Data!E347)</f>
        <v>9755410101</v>
      </c>
      <c r="F347" s="94" t="str">
        <f t="array" ref="F347">IFERROR(
  INDEX(Aaradhak_Details!J:J, MATCH(B347, Aaradhak_Details!E:E, 0)),
  ""
)
</f>
        <v/>
      </c>
    </row>
    <row r="348" ht="22.5" customHeight="1">
      <c r="A348" s="116" t="str">
        <f>Actual_Data!C348</f>
        <v>Rashi Jain</v>
      </c>
      <c r="B348" s="117">
        <f>Actual_Data!B348</f>
        <v>401</v>
      </c>
      <c r="C348" s="117" t="str">
        <f>IFERROR(IF(VLOOKUP(B348,Aaradhak_Details!$E:$F,2,FALSE)&lt;&gt;"",VLOOKUP(B348,Aaradhak_Details!$E:$F,2,FALSE),Actual_Data!D348),Actual_Data!D348)</f>
        <v/>
      </c>
      <c r="D348" s="116" t="str">
        <f>IFERROR(VLOOKUP(B348,Aaradhak_Details!$E:$G,3,FALSE),"")</f>
        <v/>
      </c>
      <c r="E348" s="117">
        <f>IFERROR(IF(VLOOKUP(B348,Aaradhak_Details!$E:$I,5,FALSE)&lt;&gt;"",VLOOKUP(B348,Aaradhak_Details!$E:$I,5,FALSE),Actual_Data!E348),Actual_Data!E348)</f>
        <v>7710839615</v>
      </c>
      <c r="F348" s="94" t="str">
        <f t="array" ref="F348">IFERROR(
  INDEX(Aaradhak_Details!J:J, MATCH(B348, Aaradhak_Details!E:E, 0)),
  ""
)
</f>
        <v/>
      </c>
    </row>
    <row r="349" ht="22.5" customHeight="1">
      <c r="A349" s="116" t="str">
        <f>Actual_Data!C349</f>
        <v>Tithi Chhajed</v>
      </c>
      <c r="B349" s="117">
        <f>Actual_Data!B349</f>
        <v>403</v>
      </c>
      <c r="C349" s="117">
        <f>IFERROR(IF(VLOOKUP(B349,Aaradhak_Details!$E:$F,2,FALSE)&lt;&gt;"",VLOOKUP(B349,Aaradhak_Details!$E:$F,2,FALSE),Actual_Data!D349),Actual_Data!D349)</f>
        <v>17</v>
      </c>
      <c r="D349" s="116" t="str">
        <f>IFERROR(VLOOKUP(B349,Aaradhak_Details!$E:$G,3,FALSE),"")</f>
        <v>O +ve</v>
      </c>
      <c r="E349" s="117">
        <f>IFERROR(IF(VLOOKUP(B349,Aaradhak_Details!$E:$I,5,FALSE)&lt;&gt;"",VLOOKUP(B349,Aaradhak_Details!$E:$I,5,FALSE),Actual_Data!E349),Actual_Data!E349)</f>
        <v>9584532700</v>
      </c>
      <c r="F349" s="118" t="str">
        <f t="array" ref="F349">IFERROR(
  INDEX(Aaradhak_Details!J:J, MATCH(B349, Aaradhak_Details!E:E, 0)),
  ""
)
</f>
        <v>https://drive.google.com/open?id=1Asc7123-Am1O5nLUIbbvuj-NIbOsH9dq</v>
      </c>
    </row>
    <row r="350" ht="22.5" customHeight="1">
      <c r="A350" s="116" t="str">
        <f>Actual_Data!C350</f>
        <v>Siddhi Jain</v>
      </c>
      <c r="B350" s="117">
        <f>Actual_Data!B350</f>
        <v>404</v>
      </c>
      <c r="C350" s="117">
        <f>IFERROR(IF(VLOOKUP(B350,Aaradhak_Details!$E:$F,2,FALSE)&lt;&gt;"",VLOOKUP(B350,Aaradhak_Details!$E:$F,2,FALSE),Actual_Data!D350),Actual_Data!D350)</f>
        <v>19</v>
      </c>
      <c r="D350" s="116" t="str">
        <f>IFERROR(VLOOKUP(B350,Aaradhak_Details!$E:$G,3,FALSE),"")</f>
        <v>O +ve</v>
      </c>
      <c r="E350" s="117">
        <f>IFERROR(IF(VLOOKUP(B350,Aaradhak_Details!$E:$I,5,FALSE)&lt;&gt;"",VLOOKUP(B350,Aaradhak_Details!$E:$I,5,FALSE),Actual_Data!E350),Actual_Data!E350)</f>
        <v>6353246842</v>
      </c>
      <c r="F350" s="118" t="str">
        <f t="array" ref="F350">IFERROR(
  INDEX(Aaradhak_Details!J:J, MATCH(B350, Aaradhak_Details!E:E, 0)),
  ""
)
</f>
        <v>https://drive.google.com/open?id=1dgsOFWBTeQQUl9mJvdAi591RehkntY73</v>
      </c>
    </row>
    <row r="351" ht="22.5" customHeight="1">
      <c r="A351" s="116" t="str">
        <f>Actual_Data!C351</f>
        <v>Paridhi</v>
      </c>
      <c r="B351" s="117">
        <f>Actual_Data!B351</f>
        <v>405</v>
      </c>
      <c r="C351" s="117">
        <f>IFERROR(IF(VLOOKUP(B351,Aaradhak_Details!$E:$F,2,FALSE)&lt;&gt;"",VLOOKUP(B351,Aaradhak_Details!$E:$F,2,FALSE),Actual_Data!D351),Actual_Data!D351)</f>
        <v>21</v>
      </c>
      <c r="D351" s="116" t="str">
        <f>IFERROR(VLOOKUP(B351,Aaradhak_Details!$E:$G,3,FALSE),"")</f>
        <v>A +ve</v>
      </c>
      <c r="E351" s="117">
        <f>IFERROR(IF(VLOOKUP(B351,Aaradhak_Details!$E:$I,5,FALSE)&lt;&gt;"",VLOOKUP(B351,Aaradhak_Details!$E:$I,5,FALSE),Actual_Data!E351),Actual_Data!E351)</f>
        <v>6261254231</v>
      </c>
      <c r="F351" s="118" t="str">
        <f t="array" ref="F351">IFERROR(
  INDEX(Aaradhak_Details!J:J, MATCH(B351, Aaradhak_Details!E:E, 0)),
  ""
)
</f>
        <v>https://drive.google.com/open?id=1RNUkQ4YE2vkVrsb0cbB0i6LG_lTbEaId</v>
      </c>
    </row>
    <row r="352" ht="22.5" customHeight="1">
      <c r="A352" s="116" t="str">
        <f>Actual_Data!C352</f>
        <v>Miti</v>
      </c>
      <c r="B352" s="117">
        <f>Actual_Data!B352</f>
        <v>406</v>
      </c>
      <c r="C352" s="117">
        <f>IFERROR(IF(VLOOKUP(B352,Aaradhak_Details!$E:$F,2,FALSE)&lt;&gt;"",VLOOKUP(B352,Aaradhak_Details!$E:$F,2,FALSE),Actual_Data!D352),Actual_Data!D352)</f>
        <v>37</v>
      </c>
      <c r="D352" s="116" t="str">
        <f>IFERROR(VLOOKUP(B352,Aaradhak_Details!$E:$G,3,FALSE),"")</f>
        <v>B -ve</v>
      </c>
      <c r="E352" s="117">
        <f>IFERROR(IF(VLOOKUP(B352,Aaradhak_Details!$E:$I,5,FALSE)&lt;&gt;"",VLOOKUP(B352,Aaradhak_Details!$E:$I,5,FALSE),Actual_Data!E352),Actual_Data!E352)</f>
        <v>8779142101</v>
      </c>
      <c r="F352" s="118" t="str">
        <f t="array" ref="F352">IFERROR(
  INDEX(Aaradhak_Details!J:J, MATCH(B352, Aaradhak_Details!E:E, 0)),
  ""
)
</f>
        <v>https://drive.google.com/open?id=1q3iMC3K92Z4Mb_VqIdZpUYqef3fz74AQ</v>
      </c>
    </row>
    <row r="353" ht="22.5" customHeight="1">
      <c r="A353" s="116" t="str">
        <f>Actual_Data!C353</f>
        <v>Ashita Dhariwal</v>
      </c>
      <c r="B353" s="117">
        <f>Actual_Data!B353</f>
        <v>407</v>
      </c>
      <c r="C353" s="117">
        <f>IFERROR(IF(VLOOKUP(B353,Aaradhak_Details!$E:$F,2,FALSE)&lt;&gt;"",VLOOKUP(B353,Aaradhak_Details!$E:$F,2,FALSE),Actual_Data!D353),Actual_Data!D353)</f>
        <v>25</v>
      </c>
      <c r="D353" s="116" t="str">
        <f>IFERROR(VLOOKUP(B353,Aaradhak_Details!$E:$G,3,FALSE),"")</f>
        <v>B +ve</v>
      </c>
      <c r="E353" s="117">
        <f>IFERROR(IF(VLOOKUP(B353,Aaradhak_Details!$E:$I,5,FALSE)&lt;&gt;"",VLOOKUP(B353,Aaradhak_Details!$E:$I,5,FALSE),Actual_Data!E353),Actual_Data!E353)</f>
        <v>9424881377</v>
      </c>
      <c r="F353" s="118" t="str">
        <f t="array" ref="F353">IFERROR(
  INDEX(Aaradhak_Details!J:J, MATCH(B353, Aaradhak_Details!E:E, 0)),
  ""
)
</f>
        <v>https://drive.google.com/open?id=1EXWG06dnuu-oX7ZJJHxoRYJ0V6ymXMth</v>
      </c>
    </row>
    <row r="354" ht="22.5" customHeight="1">
      <c r="A354" s="116" t="str">
        <f>Actual_Data!C354</f>
        <v>Nirali Gudhka</v>
      </c>
      <c r="B354" s="117">
        <f>Actual_Data!B354</f>
        <v>408</v>
      </c>
      <c r="C354" s="117">
        <f>IFERROR(IF(VLOOKUP(B354,Aaradhak_Details!$E:$F,2,FALSE)&lt;&gt;"",VLOOKUP(B354,Aaradhak_Details!$E:$F,2,FALSE),Actual_Data!D354),Actual_Data!D354)</f>
        <v>24</v>
      </c>
      <c r="D354" s="116" t="str">
        <f>IFERROR(VLOOKUP(B354,Aaradhak_Details!$E:$G,3,FALSE),"")</f>
        <v>B +ve</v>
      </c>
      <c r="E354" s="117">
        <f>IFERROR(IF(VLOOKUP(B354,Aaradhak_Details!$E:$I,5,FALSE)&lt;&gt;"",VLOOKUP(B354,Aaradhak_Details!$E:$I,5,FALSE),Actual_Data!E354),Actual_Data!E354)</f>
        <v>9766550372</v>
      </c>
      <c r="F354" s="118" t="str">
        <f t="array" ref="F354">IFERROR(
  INDEX(Aaradhak_Details!J:J, MATCH(B354, Aaradhak_Details!E:E, 0)),
  ""
)
</f>
        <v>https://drive.google.com/open?id=1jNytwAN86p1CpZG7DtlmoLsrgZKMCKBe</v>
      </c>
    </row>
    <row r="355" ht="22.5" customHeight="1">
      <c r="A355" s="116" t="str">
        <f>Actual_Data!C355</f>
        <v>Avani</v>
      </c>
      <c r="B355" s="117">
        <f>Actual_Data!B355</f>
        <v>409</v>
      </c>
      <c r="C355" s="117">
        <f>IFERROR(IF(VLOOKUP(B355,Aaradhak_Details!$E:$F,2,FALSE)&lt;&gt;"",VLOOKUP(B355,Aaradhak_Details!$E:$F,2,FALSE),Actual_Data!D355),Actual_Data!D355)</f>
        <v>28</v>
      </c>
      <c r="D355" s="116" t="str">
        <f>IFERROR(VLOOKUP(B355,Aaradhak_Details!$E:$G,3,FALSE),"")</f>
        <v>B +ve</v>
      </c>
      <c r="E355" s="117">
        <f>IFERROR(IF(VLOOKUP(B355,Aaradhak_Details!$E:$I,5,FALSE)&lt;&gt;"",VLOOKUP(B355,Aaradhak_Details!$E:$I,5,FALSE),Actual_Data!E355),Actual_Data!E355)</f>
        <v>9321546930</v>
      </c>
      <c r="F355" s="118" t="str">
        <f t="array" ref="F355">IFERROR(
  INDEX(Aaradhak_Details!J:J, MATCH(B355, Aaradhak_Details!E:E, 0)),
  ""
)
</f>
        <v>https://drive.google.com/open?id=1DBSnLZ8YKTUqW2axAqjEDLFxsoKyvloZ</v>
      </c>
    </row>
    <row r="356" ht="22.5" customHeight="1">
      <c r="A356" s="116" t="str">
        <f>Actual_Data!C356</f>
        <v>Saloni Jain</v>
      </c>
      <c r="B356" s="117">
        <f>Actual_Data!B356</f>
        <v>410</v>
      </c>
      <c r="C356" s="117" t="str">
        <f>IFERROR(IF(VLOOKUP(B356,Aaradhak_Details!$E:$F,2,FALSE)&lt;&gt;"",VLOOKUP(B356,Aaradhak_Details!$E:$F,2,FALSE),Actual_Data!D356),Actual_Data!D356)</f>
        <v/>
      </c>
      <c r="D356" s="116" t="str">
        <f>IFERROR(VLOOKUP(B356,Aaradhak_Details!$E:$G,3,FALSE),"")</f>
        <v/>
      </c>
      <c r="E356" s="117">
        <f>IFERROR(IF(VLOOKUP(B356,Aaradhak_Details!$E:$I,5,FALSE)&lt;&gt;"",VLOOKUP(B356,Aaradhak_Details!$E:$I,5,FALSE),Actual_Data!E356),Actual_Data!E356)</f>
        <v>9409480931</v>
      </c>
      <c r="F356" s="94" t="str">
        <f t="array" ref="F356">IFERROR(
  INDEX(Aaradhak_Details!J:J, MATCH(B356, Aaradhak_Details!E:E, 0)),
  ""
)
</f>
        <v/>
      </c>
    </row>
    <row r="357" ht="22.5" customHeight="1">
      <c r="A357" s="116" t="str">
        <f>Actual_Data!C357</f>
        <v>Leena Jain</v>
      </c>
      <c r="B357" s="117">
        <f>Actual_Data!B357</f>
        <v>411</v>
      </c>
      <c r="C357" s="117">
        <f>IFERROR(IF(VLOOKUP(B357,Aaradhak_Details!$E:$F,2,FALSE)&lt;&gt;"",VLOOKUP(B357,Aaradhak_Details!$E:$F,2,FALSE),Actual_Data!D357),Actual_Data!D357)</f>
        <v>23</v>
      </c>
      <c r="D357" s="116" t="str">
        <f>IFERROR(VLOOKUP(B357,Aaradhak_Details!$E:$G,3,FALSE),"")</f>
        <v>O -ve</v>
      </c>
      <c r="E357" s="117">
        <f>IFERROR(IF(VLOOKUP(B357,Aaradhak_Details!$E:$I,5,FALSE)&lt;&gt;"",VLOOKUP(B357,Aaradhak_Details!$E:$I,5,FALSE),Actual_Data!E357),Actual_Data!E357)</f>
        <v>8320260005</v>
      </c>
      <c r="F357" s="118" t="str">
        <f t="array" ref="F357">IFERROR(
  INDEX(Aaradhak_Details!J:J, MATCH(B357, Aaradhak_Details!E:E, 0)),
  ""
)
</f>
        <v>https://drive.google.com/open?id=1W6UK6Atgdcp2fVZhsEywaZY4FEnSbDBc</v>
      </c>
    </row>
    <row r="358" ht="22.5" customHeight="1">
      <c r="A358" s="116" t="str">
        <f>Actual_Data!C358</f>
        <v>Hasti</v>
      </c>
      <c r="B358" s="117">
        <f>Actual_Data!B358</f>
        <v>412</v>
      </c>
      <c r="C358" s="117">
        <f>IFERROR(IF(VLOOKUP(B358,Aaradhak_Details!$E:$F,2,FALSE)&lt;&gt;"",VLOOKUP(B358,Aaradhak_Details!$E:$F,2,FALSE),Actual_Data!D358),Actual_Data!D358)</f>
        <v>20</v>
      </c>
      <c r="D358" s="116" t="str">
        <f>IFERROR(VLOOKUP(B358,Aaradhak_Details!$E:$G,3,FALSE),"")</f>
        <v>O +ve</v>
      </c>
      <c r="E358" s="117">
        <f>IFERROR(IF(VLOOKUP(B358,Aaradhak_Details!$E:$I,5,FALSE)&lt;&gt;"",VLOOKUP(B358,Aaradhak_Details!$E:$I,5,FALSE),Actual_Data!E358),Actual_Data!E358)</f>
        <v>9167040701</v>
      </c>
      <c r="F358" s="118" t="str">
        <f t="array" ref="F358">IFERROR(
  INDEX(Aaradhak_Details!J:J, MATCH(B358, Aaradhak_Details!E:E, 0)),
  ""
)
</f>
        <v>https://drive.google.com/open?id=1BWGk_EsoTCV38P1fw9-1ye4GVQqCZO2v</v>
      </c>
    </row>
    <row r="359" ht="22.5" customHeight="1">
      <c r="A359" s="116" t="str">
        <f>Actual_Data!C359</f>
        <v>Kria Shah</v>
      </c>
      <c r="B359" s="117">
        <f>Actual_Data!B359</f>
        <v>413</v>
      </c>
      <c r="C359" s="117">
        <f>IFERROR(IF(VLOOKUP(B359,Aaradhak_Details!$E:$F,2,FALSE)&lt;&gt;"",VLOOKUP(B359,Aaradhak_Details!$E:$F,2,FALSE),Actual_Data!D359),Actual_Data!D359)</f>
        <v>20</v>
      </c>
      <c r="D359" s="116" t="str">
        <f>IFERROR(VLOOKUP(B359,Aaradhak_Details!$E:$G,3,FALSE),"")</f>
        <v>A +ve</v>
      </c>
      <c r="E359" s="117">
        <f>IFERROR(IF(VLOOKUP(B359,Aaradhak_Details!$E:$I,5,FALSE)&lt;&gt;"",VLOOKUP(B359,Aaradhak_Details!$E:$I,5,FALSE),Actual_Data!E359),Actual_Data!E359)</f>
        <v>9323011729</v>
      </c>
      <c r="F359" s="118" t="str">
        <f t="array" ref="F359">IFERROR(
  INDEX(Aaradhak_Details!J:J, MATCH(B359, Aaradhak_Details!E:E, 0)),
  ""
)
</f>
        <v>https://drive.google.com/open?id=1m_A1Wq30vh8WxNxuQ01A6gPcSSblf7Gh</v>
      </c>
    </row>
    <row r="360" ht="22.5" customHeight="1">
      <c r="A360" s="116" t="str">
        <f>Actual_Data!C360</f>
        <v>Teesha</v>
      </c>
      <c r="B360" s="117">
        <f>Actual_Data!B360</f>
        <v>414</v>
      </c>
      <c r="C360" s="117">
        <f>IFERROR(IF(VLOOKUP(B360,Aaradhak_Details!$E:$F,2,FALSE)&lt;&gt;"",VLOOKUP(B360,Aaradhak_Details!$E:$F,2,FALSE),Actual_Data!D360),Actual_Data!D360)</f>
        <v>22</v>
      </c>
      <c r="D360" s="116" t="str">
        <f>IFERROR(VLOOKUP(B360,Aaradhak_Details!$E:$G,3,FALSE),"")</f>
        <v>O -ve</v>
      </c>
      <c r="E360" s="117">
        <f>IFERROR(IF(VLOOKUP(B360,Aaradhak_Details!$E:$I,5,FALSE)&lt;&gt;"",VLOOKUP(B360,Aaradhak_Details!$E:$I,5,FALSE),Actual_Data!E360),Actual_Data!E360)</f>
        <v>7066886661</v>
      </c>
      <c r="F360" s="118" t="str">
        <f t="array" ref="F360">IFERROR(
  INDEX(Aaradhak_Details!J:J, MATCH(B360, Aaradhak_Details!E:E, 0)),
  ""
)
</f>
        <v>https://drive.google.com/open?id=1th9Osv1hfWNCZpwlX9r78XCXl3C_1yxX</v>
      </c>
    </row>
    <row r="361" ht="22.5" customHeight="1">
      <c r="A361" s="116" t="str">
        <f>Actual_Data!C361</f>
        <v>Princy Jain</v>
      </c>
      <c r="B361" s="117">
        <f>Actual_Data!B361</f>
        <v>415</v>
      </c>
      <c r="C361" s="117">
        <f>IFERROR(IF(VLOOKUP(B361,Aaradhak_Details!$E:$F,2,FALSE)&lt;&gt;"",VLOOKUP(B361,Aaradhak_Details!$E:$F,2,FALSE),Actual_Data!D361),Actual_Data!D361)</f>
        <v>23</v>
      </c>
      <c r="D361" s="116" t="str">
        <f>IFERROR(VLOOKUP(B361,Aaradhak_Details!$E:$G,3,FALSE),"")</f>
        <v>B +ve</v>
      </c>
      <c r="E361" s="117">
        <f>IFERROR(IF(VLOOKUP(B361,Aaradhak_Details!$E:$I,5,FALSE)&lt;&gt;"",VLOOKUP(B361,Aaradhak_Details!$E:$I,5,FALSE),Actual_Data!E361),Actual_Data!E361)</f>
        <v>9374732037</v>
      </c>
      <c r="F361" s="118" t="str">
        <f t="array" ref="F361">IFERROR(
  INDEX(Aaradhak_Details!J:J, MATCH(B361, Aaradhak_Details!E:E, 0)),
  ""
)
</f>
        <v>https://drive.google.com/open?id=1ZpX6ovoumBVF1eI-MBz3LL6_OkH5smI5</v>
      </c>
    </row>
    <row r="362" ht="22.5" customHeight="1">
      <c r="A362" s="116" t="str">
        <f>Actual_Data!C362</f>
        <v>Devanshi Shah</v>
      </c>
      <c r="B362" s="117">
        <f>Actual_Data!B362</f>
        <v>416</v>
      </c>
      <c r="C362" s="117">
        <f>IFERROR(IF(VLOOKUP(B362,Aaradhak_Details!$E:$F,2,FALSE)&lt;&gt;"",VLOOKUP(B362,Aaradhak_Details!$E:$F,2,FALSE),Actual_Data!D362),Actual_Data!D362)</f>
        <v>23</v>
      </c>
      <c r="D362" s="116" t="str">
        <f>IFERROR(VLOOKUP(B362,Aaradhak_Details!$E:$G,3,FALSE),"")</f>
        <v>B +ve</v>
      </c>
      <c r="E362" s="117">
        <f>IFERROR(IF(VLOOKUP(B362,Aaradhak_Details!$E:$I,5,FALSE)&lt;&gt;"",VLOOKUP(B362,Aaradhak_Details!$E:$I,5,FALSE),Actual_Data!E362),Actual_Data!E362)</f>
        <v>9769563099</v>
      </c>
      <c r="F362" s="118" t="str">
        <f t="array" ref="F362">IFERROR(
  INDEX(Aaradhak_Details!J:J, MATCH(B362, Aaradhak_Details!E:E, 0)),
  ""
)
</f>
        <v>https://drive.google.com/open?id=1MrFVfTzvdlAAqIUxKLwoOBTJpjEcyE2w</v>
      </c>
    </row>
    <row r="363" ht="22.5" customHeight="1">
      <c r="A363" s="116" t="str">
        <f>Actual_Data!C363</f>
        <v>Jyoti</v>
      </c>
      <c r="B363" s="117">
        <f>Actual_Data!B363</f>
        <v>417</v>
      </c>
      <c r="C363" s="117">
        <f>IFERROR(IF(VLOOKUP(B363,Aaradhak_Details!$E:$F,2,FALSE)&lt;&gt;"",VLOOKUP(B363,Aaradhak_Details!$E:$F,2,FALSE),Actual_Data!D363),Actual_Data!D363)</f>
        <v>45</v>
      </c>
      <c r="D363" s="116" t="str">
        <f>IFERROR(VLOOKUP(B363,Aaradhak_Details!$E:$G,3,FALSE),"")</f>
        <v>AB +ve</v>
      </c>
      <c r="E363" s="117">
        <f>IFERROR(IF(VLOOKUP(B363,Aaradhak_Details!$E:$I,5,FALSE)&lt;&gt;"",VLOOKUP(B363,Aaradhak_Details!$E:$I,5,FALSE),Actual_Data!E363),Actual_Data!E363)</f>
        <v>9890196748</v>
      </c>
      <c r="F363" s="118" t="str">
        <f t="array" ref="F363">IFERROR(
  INDEX(Aaradhak_Details!J:J, MATCH(B363, Aaradhak_Details!E:E, 0)),
  ""
)
</f>
        <v>https://drive.google.com/open?id=1Ma24b4t8SNr_U2_UgWqXUs3mZYl-BJyJ</v>
      </c>
    </row>
    <row r="364" ht="22.5" customHeight="1">
      <c r="A364" s="116" t="str">
        <f>Actual_Data!C364</f>
        <v>Jainy</v>
      </c>
      <c r="B364" s="117">
        <f>Actual_Data!B364</f>
        <v>418</v>
      </c>
      <c r="C364" s="117">
        <f>IFERROR(IF(VLOOKUP(B364,Aaradhak_Details!$E:$F,2,FALSE)&lt;&gt;"",VLOOKUP(B364,Aaradhak_Details!$E:$F,2,FALSE),Actual_Data!D364),Actual_Data!D364)</f>
        <v>24</v>
      </c>
      <c r="D364" s="116" t="str">
        <f>IFERROR(VLOOKUP(B364,Aaradhak_Details!$E:$G,3,FALSE),"")</f>
        <v>A +ve</v>
      </c>
      <c r="E364" s="117">
        <f>IFERROR(IF(VLOOKUP(B364,Aaradhak_Details!$E:$I,5,FALSE)&lt;&gt;"",VLOOKUP(B364,Aaradhak_Details!$E:$I,5,FALSE),Actual_Data!E364),Actual_Data!E364)</f>
        <v>9977273462</v>
      </c>
      <c r="F364" s="118" t="str">
        <f t="array" ref="F364">IFERROR(
  INDEX(Aaradhak_Details!J:J, MATCH(B364, Aaradhak_Details!E:E, 0)),
  ""
)
</f>
        <v>https://drive.google.com/open?id=1sWkCilQViyaDrA3y8rtWyOrjUAGgL-lK</v>
      </c>
    </row>
    <row r="365" ht="22.5" customHeight="1">
      <c r="A365" s="116" t="str">
        <f>Actual_Data!C365</f>
        <v>Shweta</v>
      </c>
      <c r="B365" s="117">
        <f>Actual_Data!B365</f>
        <v>419</v>
      </c>
      <c r="C365" s="117">
        <f>IFERROR(IF(VLOOKUP(B365,Aaradhak_Details!$E:$F,2,FALSE)&lt;&gt;"",VLOOKUP(B365,Aaradhak_Details!$E:$F,2,FALSE),Actual_Data!D365),Actual_Data!D365)</f>
        <v>35</v>
      </c>
      <c r="D365" s="116" t="str">
        <f>IFERROR(VLOOKUP(B365,Aaradhak_Details!$E:$G,3,FALSE),"")</f>
        <v>AB +ve</v>
      </c>
      <c r="E365" s="117">
        <f>IFERROR(IF(VLOOKUP(B365,Aaradhak_Details!$E:$I,5,FALSE)&lt;&gt;"",VLOOKUP(B365,Aaradhak_Details!$E:$I,5,FALSE),Actual_Data!E365),Actual_Data!E365)</f>
        <v>9686941500</v>
      </c>
      <c r="F365" s="118" t="str">
        <f t="array" ref="F365">IFERROR(
  INDEX(Aaradhak_Details!J:J, MATCH(B365, Aaradhak_Details!E:E, 0)),
  ""
)
</f>
        <v>https://drive.google.com/open?id=1K4kudGpfbwb0q9HFCmRRLNyQGYghWfCP</v>
      </c>
    </row>
    <row r="366" ht="22.5" customHeight="1">
      <c r="A366" s="116" t="str">
        <f>Actual_Data!C366</f>
        <v>Virti Shah</v>
      </c>
      <c r="B366" s="117">
        <f>Actual_Data!B366</f>
        <v>420</v>
      </c>
      <c r="C366" s="117">
        <f>IFERROR(IF(VLOOKUP(B366,Aaradhak_Details!$E:$F,2,FALSE)&lt;&gt;"",VLOOKUP(B366,Aaradhak_Details!$E:$F,2,FALSE),Actual_Data!D366),Actual_Data!D366)</f>
        <v>22</v>
      </c>
      <c r="D366" s="116" t="str">
        <f>IFERROR(VLOOKUP(B366,Aaradhak_Details!$E:$G,3,FALSE),"")</f>
        <v>O +ve</v>
      </c>
      <c r="E366" s="117">
        <f>IFERROR(IF(VLOOKUP(B366,Aaradhak_Details!$E:$I,5,FALSE)&lt;&gt;"",VLOOKUP(B366,Aaradhak_Details!$E:$I,5,FALSE),Actual_Data!E366),Actual_Data!E366)</f>
        <v>9224617878</v>
      </c>
      <c r="F366" s="118" t="str">
        <f t="array" ref="F366">IFERROR(
  INDEX(Aaradhak_Details!J:J, MATCH(B366, Aaradhak_Details!E:E, 0)),
  ""
)
</f>
        <v>https://drive.google.com/open?id=1KWt7It9WJPRUjoxcC-wLaF3h2Yeu5xwk</v>
      </c>
    </row>
    <row r="367" ht="22.5" customHeight="1">
      <c r="A367" s="116" t="str">
        <f>Actual_Data!C367</f>
        <v>Falak</v>
      </c>
      <c r="B367" s="117">
        <f>Actual_Data!B367</f>
        <v>421</v>
      </c>
      <c r="C367" s="117">
        <f>IFERROR(IF(VLOOKUP(B367,Aaradhak_Details!$E:$F,2,FALSE)&lt;&gt;"",VLOOKUP(B367,Aaradhak_Details!$E:$F,2,FALSE),Actual_Data!D367),Actual_Data!D367)</f>
        <v>19</v>
      </c>
      <c r="D367" s="116" t="str">
        <f>IFERROR(VLOOKUP(B367,Aaradhak_Details!$E:$G,3,FALSE),"")</f>
        <v>A +ve</v>
      </c>
      <c r="E367" s="117">
        <f>IFERROR(IF(VLOOKUP(B367,Aaradhak_Details!$E:$I,5,FALSE)&lt;&gt;"",VLOOKUP(B367,Aaradhak_Details!$E:$I,5,FALSE),Actual_Data!E367),Actual_Data!E367)</f>
        <v>9327620328</v>
      </c>
      <c r="F367" s="118" t="str">
        <f t="array" ref="F367">IFERROR(
  INDEX(Aaradhak_Details!J:J, MATCH(B367, Aaradhak_Details!E:E, 0)),
  ""
)
</f>
        <v>https://drive.google.com/open?id=1Ldox18dnApJ03Pd4MDrYBjz3JYU1gWQ3</v>
      </c>
    </row>
    <row r="368" ht="22.5" customHeight="1">
      <c r="A368" s="116" t="str">
        <f>Actual_Data!C368</f>
        <v>Janvi</v>
      </c>
      <c r="B368" s="117">
        <f>Actual_Data!B368</f>
        <v>422</v>
      </c>
      <c r="C368" s="117">
        <f>IFERROR(IF(VLOOKUP(B368,Aaradhak_Details!$E:$F,2,FALSE)&lt;&gt;"",VLOOKUP(B368,Aaradhak_Details!$E:$F,2,FALSE),Actual_Data!D368),Actual_Data!D368)</f>
        <v>20</v>
      </c>
      <c r="D368" s="116" t="str">
        <f>IFERROR(VLOOKUP(B368,Aaradhak_Details!$E:$G,3,FALSE),"")</f>
        <v>A +ve</v>
      </c>
      <c r="E368" s="117">
        <f>IFERROR(IF(VLOOKUP(B368,Aaradhak_Details!$E:$I,5,FALSE)&lt;&gt;"",VLOOKUP(B368,Aaradhak_Details!$E:$I,5,FALSE),Actual_Data!E368),Actual_Data!E368)</f>
        <v>9029907634</v>
      </c>
      <c r="F368" s="118" t="str">
        <f t="array" ref="F368">IFERROR(
  INDEX(Aaradhak_Details!J:J, MATCH(B368, Aaradhak_Details!E:E, 0)),
  ""
)
</f>
        <v>https://drive.google.com/open?id=1pAWLfvxYLOhP9-0J-QBaphhvIyrVuWpy</v>
      </c>
    </row>
    <row r="369" ht="22.5" customHeight="1">
      <c r="A369" s="116" t="str">
        <f>Actual_Data!C369</f>
        <v>Drishti Sumariya</v>
      </c>
      <c r="B369" s="117">
        <f>Actual_Data!B369</f>
        <v>423</v>
      </c>
      <c r="C369" s="117" t="str">
        <f>IFERROR(IF(VLOOKUP(B369,Aaradhak_Details!$E:$F,2,FALSE)&lt;&gt;"",VLOOKUP(B369,Aaradhak_Details!$E:$F,2,FALSE),Actual_Data!D369),Actual_Data!D369)</f>
        <v/>
      </c>
      <c r="D369" s="116" t="str">
        <f>IFERROR(VLOOKUP(B369,Aaradhak_Details!$E:$G,3,FALSE),"")</f>
        <v/>
      </c>
      <c r="E369" s="117">
        <f>IFERROR(IF(VLOOKUP(B369,Aaradhak_Details!$E:$I,5,FALSE)&lt;&gt;"",VLOOKUP(B369,Aaradhak_Details!$E:$I,5,FALSE),Actual_Data!E369),Actual_Data!E369)</f>
        <v>7666868225</v>
      </c>
      <c r="F369" s="94" t="str">
        <f t="array" ref="F369">IFERROR(
  INDEX(Aaradhak_Details!J:J, MATCH(B369, Aaradhak_Details!E:E, 0)),
  ""
)
</f>
        <v/>
      </c>
    </row>
    <row r="370" ht="22.5" customHeight="1">
      <c r="A370" s="116" t="str">
        <f>Actual_Data!C370</f>
        <v>Visha Shah</v>
      </c>
      <c r="B370" s="117">
        <f>Actual_Data!B370</f>
        <v>424</v>
      </c>
      <c r="C370" s="117">
        <f>IFERROR(IF(VLOOKUP(B370,Aaradhak_Details!$E:$F,2,FALSE)&lt;&gt;"",VLOOKUP(B370,Aaradhak_Details!$E:$F,2,FALSE),Actual_Data!D370),Actual_Data!D370)</f>
        <v>21</v>
      </c>
      <c r="D370" s="116" t="str">
        <f>IFERROR(VLOOKUP(B370,Aaradhak_Details!$E:$G,3,FALSE),"")</f>
        <v>B +ve</v>
      </c>
      <c r="E370" s="117">
        <f>IFERROR(IF(VLOOKUP(B370,Aaradhak_Details!$E:$I,5,FALSE)&lt;&gt;"",VLOOKUP(B370,Aaradhak_Details!$E:$I,5,FALSE),Actual_Data!E370),Actual_Data!E370)</f>
        <v>9327661474</v>
      </c>
      <c r="F370" s="118" t="str">
        <f t="array" ref="F370">IFERROR(
  INDEX(Aaradhak_Details!J:J, MATCH(B370, Aaradhak_Details!E:E, 0)),
  ""
)
</f>
        <v>https://drive.google.com/open?id=1u5t7Y-cs-kgogUyx0YgAw_ly0She84Ie</v>
      </c>
    </row>
    <row r="371" ht="22.5" customHeight="1">
      <c r="A371" s="116" t="str">
        <f>Actual_Data!C371</f>
        <v>Khushi </v>
      </c>
      <c r="B371" s="117">
        <f>Actual_Data!B371</f>
        <v>425</v>
      </c>
      <c r="C371" s="117">
        <f>IFERROR(IF(VLOOKUP(B371,Aaradhak_Details!$E:$F,2,FALSE)&lt;&gt;"",VLOOKUP(B371,Aaradhak_Details!$E:$F,2,FALSE),Actual_Data!D371),Actual_Data!D371)</f>
        <v>22</v>
      </c>
      <c r="D371" s="116" t="str">
        <f>IFERROR(VLOOKUP(B371,Aaradhak_Details!$E:$G,3,FALSE),"")</f>
        <v>O +ve</v>
      </c>
      <c r="E371" s="117">
        <f>IFERROR(IF(VLOOKUP(B371,Aaradhak_Details!$E:$I,5,FALSE)&lt;&gt;"",VLOOKUP(B371,Aaradhak_Details!$E:$I,5,FALSE),Actual_Data!E371),Actual_Data!E371)</f>
        <v>9376221223</v>
      </c>
      <c r="F371" s="118" t="str">
        <f t="array" ref="F371">IFERROR(
  INDEX(Aaradhak_Details!J:J, MATCH(B371, Aaradhak_Details!E:E, 0)),
  ""
)
</f>
        <v>https://drive.google.com/open?id=1v12PMXM0uVxJRKOrPyHM0awGilriTcp7</v>
      </c>
    </row>
    <row r="372" ht="22.5" customHeight="1">
      <c r="A372" s="116" t="str">
        <f>Actual_Data!C372</f>
        <v>Ashvi Shah</v>
      </c>
      <c r="B372" s="117">
        <f>Actual_Data!B372</f>
        <v>426</v>
      </c>
      <c r="C372" s="117">
        <f>IFERROR(IF(VLOOKUP(B372,Aaradhak_Details!$E:$F,2,FALSE)&lt;&gt;"",VLOOKUP(B372,Aaradhak_Details!$E:$F,2,FALSE),Actual_Data!D372),Actual_Data!D372)</f>
        <v>21</v>
      </c>
      <c r="D372" s="116" t="str">
        <f>IFERROR(VLOOKUP(B372,Aaradhak_Details!$E:$G,3,FALSE),"")</f>
        <v>A +ve</v>
      </c>
      <c r="E372" s="117">
        <f>IFERROR(IF(VLOOKUP(B372,Aaradhak_Details!$E:$I,5,FALSE)&lt;&gt;"",VLOOKUP(B372,Aaradhak_Details!$E:$I,5,FALSE),Actual_Data!E372),Actual_Data!E372)</f>
        <v>9322516954</v>
      </c>
      <c r="F372" s="118" t="str">
        <f t="array" ref="F372">IFERROR(
  INDEX(Aaradhak_Details!J:J, MATCH(B372, Aaradhak_Details!E:E, 0)),
  ""
)
</f>
        <v>https://drive.google.com/open?id=1kH7_tWsM2K39Tw1t8ly2i_Yq1cPAEgDc</v>
      </c>
    </row>
    <row r="373" ht="22.5" customHeight="1">
      <c r="A373" s="116" t="str">
        <f>Actual_Data!C373</f>
        <v>Siya Shah</v>
      </c>
      <c r="B373" s="117">
        <f>Actual_Data!B373</f>
        <v>427</v>
      </c>
      <c r="C373" s="117">
        <f>IFERROR(IF(VLOOKUP(B373,Aaradhak_Details!$E:$F,2,FALSE)&lt;&gt;"",VLOOKUP(B373,Aaradhak_Details!$E:$F,2,FALSE),Actual_Data!D373),Actual_Data!D373)</f>
        <v>19</v>
      </c>
      <c r="D373" s="116" t="str">
        <f>IFERROR(VLOOKUP(B373,Aaradhak_Details!$E:$G,3,FALSE),"")</f>
        <v>O +ve</v>
      </c>
      <c r="E373" s="117">
        <f>IFERROR(IF(VLOOKUP(B373,Aaradhak_Details!$E:$I,5,FALSE)&lt;&gt;"",VLOOKUP(B373,Aaradhak_Details!$E:$I,5,FALSE),Actual_Data!E373),Actual_Data!E373)</f>
        <v>9376221223</v>
      </c>
      <c r="F373" s="118" t="str">
        <f t="array" ref="F373">IFERROR(
  INDEX(Aaradhak_Details!J:J, MATCH(B373, Aaradhak_Details!E:E, 0)),
  ""
)
</f>
        <v>https://drive.google.com/open?id=1ZxQgUCivlo9GlIV66G86acSiN0Wdy134</v>
      </c>
    </row>
    <row r="374" ht="22.5" customHeight="1">
      <c r="A374" s="116" t="str">
        <f>Actual_Data!C374</f>
        <v>Manasvi Bhadviya</v>
      </c>
      <c r="B374" s="117">
        <f>Actual_Data!B374</f>
        <v>429</v>
      </c>
      <c r="C374" s="117">
        <f>IFERROR(IF(VLOOKUP(B374,Aaradhak_Details!$E:$F,2,FALSE)&lt;&gt;"",VLOOKUP(B374,Aaradhak_Details!$E:$F,2,FALSE),Actual_Data!D374),Actual_Data!D374)</f>
        <v>21</v>
      </c>
      <c r="D374" s="116" t="str">
        <f>IFERROR(VLOOKUP(B374,Aaradhak_Details!$E:$G,3,FALSE),"")</f>
        <v>B +ve</v>
      </c>
      <c r="E374" s="117">
        <f>IFERROR(IF(VLOOKUP(B374,Aaradhak_Details!$E:$I,5,FALSE)&lt;&gt;"",VLOOKUP(B374,Aaradhak_Details!$E:$I,5,FALSE),Actual_Data!E374),Actual_Data!E374)</f>
        <v>9427106123</v>
      </c>
      <c r="F374" s="118" t="str">
        <f t="array" ref="F374">IFERROR(
  INDEX(Aaradhak_Details!J:J, MATCH(B374, Aaradhak_Details!E:E, 0)),
  ""
)
</f>
        <v>https://drive.google.com/open?id=1tvaGhY2316WHJir-GWZKb_MyJHBsR4vS</v>
      </c>
    </row>
    <row r="375" ht="22.5" customHeight="1">
      <c r="A375" s="116" t="str">
        <f>Actual_Data!C375</f>
        <v>Prachi Shah</v>
      </c>
      <c r="B375" s="117">
        <f>Actual_Data!B375</f>
        <v>430</v>
      </c>
      <c r="C375" s="117">
        <f>IFERROR(IF(VLOOKUP(B375,Aaradhak_Details!$E:$F,2,FALSE)&lt;&gt;"",VLOOKUP(B375,Aaradhak_Details!$E:$F,2,FALSE),Actual_Data!D375),Actual_Data!D375)</f>
        <v>18</v>
      </c>
      <c r="D375" s="116" t="str">
        <f>IFERROR(VLOOKUP(B375,Aaradhak_Details!$E:$G,3,FALSE),"")</f>
        <v>A +ve</v>
      </c>
      <c r="E375" s="117">
        <f>IFERROR(IF(VLOOKUP(B375,Aaradhak_Details!$E:$I,5,FALSE)&lt;&gt;"",VLOOKUP(B375,Aaradhak_Details!$E:$I,5,FALSE),Actual_Data!E375),Actual_Data!E375)</f>
        <v>9228241495</v>
      </c>
      <c r="F375" s="118" t="str">
        <f t="array" ref="F375">IFERROR(
  INDEX(Aaradhak_Details!J:J, MATCH(B375, Aaradhak_Details!E:E, 0)),
  ""
)
</f>
        <v>https://drive.google.com/open?id=1EAAWvLRAAS3UsX1CopLIodWjitnrQ9I4</v>
      </c>
    </row>
    <row r="376" ht="22.5" customHeight="1">
      <c r="A376" s="116" t="str">
        <f>Actual_Data!C376</f>
        <v>Mahi</v>
      </c>
      <c r="B376" s="117">
        <f>Actual_Data!B376</f>
        <v>431</v>
      </c>
      <c r="C376" s="117">
        <f>IFERROR(IF(VLOOKUP(B376,Aaradhak_Details!$E:$F,2,FALSE)&lt;&gt;"",VLOOKUP(B376,Aaradhak_Details!$E:$F,2,FALSE),Actual_Data!D376),Actual_Data!D376)</f>
        <v>31</v>
      </c>
      <c r="D376" s="116" t="str">
        <f>IFERROR(VLOOKUP(B376,Aaradhak_Details!$E:$G,3,FALSE),"")</f>
        <v>B +ve</v>
      </c>
      <c r="E376" s="117">
        <f>IFERROR(IF(VLOOKUP(B376,Aaradhak_Details!$E:$I,5,FALSE)&lt;&gt;"",VLOOKUP(B376,Aaradhak_Details!$E:$I,5,FALSE),Actual_Data!E376),Actual_Data!E376)</f>
        <v>8817771516</v>
      </c>
      <c r="F376" s="118" t="str">
        <f t="array" ref="F376">IFERROR(
  INDEX(Aaradhak_Details!J:J, MATCH(B376, Aaradhak_Details!E:E, 0)),
  ""
)
</f>
        <v>https://drive.google.com/open?id=1Vp-XjiT2CmcHbLMj5KRFleajxKpBl2Nt</v>
      </c>
    </row>
    <row r="377" ht="22.5" customHeight="1">
      <c r="A377" s="116" t="str">
        <f>Actual_Data!C377</f>
        <v>Bhakti Shah</v>
      </c>
      <c r="B377" s="117">
        <f>Actual_Data!B377</f>
        <v>432</v>
      </c>
      <c r="C377" s="117">
        <f>IFERROR(IF(VLOOKUP(B377,Aaradhak_Details!$E:$F,2,FALSE)&lt;&gt;"",VLOOKUP(B377,Aaradhak_Details!$E:$F,2,FALSE),Actual_Data!D377),Actual_Data!D377)</f>
        <v>22</v>
      </c>
      <c r="D377" s="116" t="str">
        <f>IFERROR(VLOOKUP(B377,Aaradhak_Details!$E:$G,3,FALSE),"")</f>
        <v>O +ve</v>
      </c>
      <c r="E377" s="117">
        <f>IFERROR(IF(VLOOKUP(B377,Aaradhak_Details!$E:$I,5,FALSE)&lt;&gt;"",VLOOKUP(B377,Aaradhak_Details!$E:$I,5,FALSE),Actual_Data!E377),Actual_Data!E377)</f>
        <v>7862919657</v>
      </c>
      <c r="F377" s="118" t="str">
        <f t="array" ref="F377">IFERROR(
  INDEX(Aaradhak_Details!J:J, MATCH(B377, Aaradhak_Details!E:E, 0)),
  ""
)
</f>
        <v>https://drive.google.com/open?id=11ZaONFphwaBLnHk4tIarGRLXAkuG4Elg</v>
      </c>
    </row>
    <row r="378" ht="22.5" customHeight="1">
      <c r="A378" s="116" t="str">
        <f>Actual_Data!C378</f>
        <v>Krina</v>
      </c>
      <c r="B378" s="117">
        <f>Actual_Data!B378</f>
        <v>433</v>
      </c>
      <c r="C378" s="117">
        <f>IFERROR(IF(VLOOKUP(B378,Aaradhak_Details!$E:$F,2,FALSE)&lt;&gt;"",VLOOKUP(B378,Aaradhak_Details!$E:$F,2,FALSE),Actual_Data!D378),Actual_Data!D378)</f>
        <v>22</v>
      </c>
      <c r="D378" s="116" t="str">
        <f>IFERROR(VLOOKUP(B378,Aaradhak_Details!$E:$G,3,FALSE),"")</f>
        <v>O +ve</v>
      </c>
      <c r="E378" s="117">
        <f>IFERROR(IF(VLOOKUP(B378,Aaradhak_Details!$E:$I,5,FALSE)&lt;&gt;"",VLOOKUP(B378,Aaradhak_Details!$E:$I,5,FALSE),Actual_Data!E378),Actual_Data!E378)</f>
        <v>9023142212</v>
      </c>
      <c r="F378" s="118" t="str">
        <f t="array" ref="F378">IFERROR(
  INDEX(Aaradhak_Details!J:J, MATCH(B378, Aaradhak_Details!E:E, 0)),
  ""
)
</f>
        <v>https://drive.google.com/open?id=1O6p8bVcH_k53vuV4XvH58cKcGG4L5ZLW</v>
      </c>
    </row>
    <row r="379" ht="22.5" customHeight="1">
      <c r="A379" s="116" t="str">
        <f>Actual_Data!C379</f>
        <v>Navya Shah</v>
      </c>
      <c r="B379" s="117">
        <f>Actual_Data!B379</f>
        <v>434</v>
      </c>
      <c r="C379" s="117">
        <f>IFERROR(IF(VLOOKUP(B379,Aaradhak_Details!$E:$F,2,FALSE)&lt;&gt;"",VLOOKUP(B379,Aaradhak_Details!$E:$F,2,FALSE),Actual_Data!D379),Actual_Data!D379)</f>
        <v>15</v>
      </c>
      <c r="D379" s="116" t="str">
        <f>IFERROR(VLOOKUP(B379,Aaradhak_Details!$E:$G,3,FALSE),"")</f>
        <v>A +ve</v>
      </c>
      <c r="E379" s="117">
        <f>IFERROR(IF(VLOOKUP(B379,Aaradhak_Details!$E:$I,5,FALSE)&lt;&gt;"",VLOOKUP(B379,Aaradhak_Details!$E:$I,5,FALSE),Actual_Data!E379),Actual_Data!E379)</f>
        <v>9022411491</v>
      </c>
      <c r="F379" s="118" t="str">
        <f t="array" ref="F379">IFERROR(
  INDEX(Aaradhak_Details!J:J, MATCH(B379, Aaradhak_Details!E:E, 0)),
  ""
)
</f>
        <v>https://drive.google.com/open?id=1GHoF2Y0kmUW7grwCKevELSViLzAzZyeK</v>
      </c>
    </row>
    <row r="380" ht="22.5" customHeight="1">
      <c r="A380" s="116" t="str">
        <f>Actual_Data!C380</f>
        <v>Shilpa Lodha</v>
      </c>
      <c r="B380" s="117">
        <f>Actual_Data!B380</f>
        <v>435</v>
      </c>
      <c r="C380" s="117">
        <f>IFERROR(IF(VLOOKUP(B380,Aaradhak_Details!$E:$F,2,FALSE)&lt;&gt;"",VLOOKUP(B380,Aaradhak_Details!$E:$F,2,FALSE),Actual_Data!D380),Actual_Data!D380)</f>
        <v>35</v>
      </c>
      <c r="D380" s="116" t="str">
        <f>IFERROR(VLOOKUP(B380,Aaradhak_Details!$E:$G,3,FALSE),"")</f>
        <v>AB +ve</v>
      </c>
      <c r="E380" s="117">
        <f>IFERROR(IF(VLOOKUP(B380,Aaradhak_Details!$E:$I,5,FALSE)&lt;&gt;"",VLOOKUP(B380,Aaradhak_Details!$E:$I,5,FALSE),Actual_Data!E380),Actual_Data!E380)</f>
        <v>9773782183</v>
      </c>
      <c r="F380" s="118" t="str">
        <f t="array" ref="F380">IFERROR(
  INDEX(Aaradhak_Details!J:J, MATCH(B380, Aaradhak_Details!E:E, 0)),
  ""
)
</f>
        <v>https://drive.google.com/open?id=1b0WYowIWpac1q48LycMsBTlMoIK0txJk</v>
      </c>
    </row>
    <row r="381" ht="22.5" customHeight="1">
      <c r="A381" s="116" t="str">
        <f>Actual_Data!C381</f>
        <v>Nidhi Jain</v>
      </c>
      <c r="B381" s="117">
        <f>Actual_Data!B381</f>
        <v>436</v>
      </c>
      <c r="C381" s="117">
        <f>IFERROR(IF(VLOOKUP(B381,Aaradhak_Details!$E:$F,2,FALSE)&lt;&gt;"",VLOOKUP(B381,Aaradhak_Details!$E:$F,2,FALSE),Actual_Data!D381),Actual_Data!D381)</f>
        <v>16</v>
      </c>
      <c r="D381" s="116" t="str">
        <f>IFERROR(VLOOKUP(B381,Aaradhak_Details!$E:$G,3,FALSE),"")</f>
        <v>A +ve</v>
      </c>
      <c r="E381" s="117">
        <f>IFERROR(IF(VLOOKUP(B381,Aaradhak_Details!$E:$I,5,FALSE)&lt;&gt;"",VLOOKUP(B381,Aaradhak_Details!$E:$I,5,FALSE),Actual_Data!E381),Actual_Data!E381)</f>
        <v>9324286756</v>
      </c>
      <c r="F381" s="118" t="str">
        <f t="array" ref="F381">IFERROR(
  INDEX(Aaradhak_Details!J:J, MATCH(B381, Aaradhak_Details!E:E, 0)),
  ""
)
</f>
        <v>https://drive.google.com/open?id=1Pu7cQBdB1LB2lPj5wIx-5ASAinIpU2QN</v>
      </c>
    </row>
    <row r="382" ht="22.5" customHeight="1">
      <c r="A382" s="116" t="str">
        <f>Actual_Data!C382</f>
        <v>Preksha</v>
      </c>
      <c r="B382" s="117">
        <f>Actual_Data!B382</f>
        <v>437</v>
      </c>
      <c r="C382" s="117">
        <f>IFERROR(IF(VLOOKUP(B382,Aaradhak_Details!$E:$F,2,FALSE)&lt;&gt;"",VLOOKUP(B382,Aaradhak_Details!$E:$F,2,FALSE),Actual_Data!D382),Actual_Data!D382)</f>
        <v>22</v>
      </c>
      <c r="D382" s="116" t="str">
        <f>IFERROR(VLOOKUP(B382,Aaradhak_Details!$E:$G,3,FALSE),"")</f>
        <v>AB +ve</v>
      </c>
      <c r="E382" s="117">
        <f>IFERROR(IF(VLOOKUP(B382,Aaradhak_Details!$E:$I,5,FALSE)&lt;&gt;"",VLOOKUP(B382,Aaradhak_Details!$E:$I,5,FALSE),Actual_Data!E382),Actual_Data!E382)</f>
        <v>7773073600</v>
      </c>
      <c r="F382" s="118" t="str">
        <f t="array" ref="F382">IFERROR(
  INDEX(Aaradhak_Details!J:J, MATCH(B382, Aaradhak_Details!E:E, 0)),
  ""
)
</f>
        <v>https://drive.google.com/open?id=1dC9kC9zjLWtESW48SER4PYQh7w3LblKu</v>
      </c>
    </row>
    <row r="383" ht="22.5" customHeight="1">
      <c r="A383" s="116" t="str">
        <f>Actual_Data!C383</f>
        <v>Dimple Shah</v>
      </c>
      <c r="B383" s="117">
        <f>Actual_Data!B383</f>
        <v>438</v>
      </c>
      <c r="C383" s="117">
        <f>IFERROR(IF(VLOOKUP(B383,Aaradhak_Details!$E:$F,2,FALSE)&lt;&gt;"",VLOOKUP(B383,Aaradhak_Details!$E:$F,2,FALSE),Actual_Data!D383),Actual_Data!D383)</f>
        <v>49</v>
      </c>
      <c r="D383" s="116" t="str">
        <f>IFERROR(VLOOKUP(B383,Aaradhak_Details!$E:$G,3,FALSE),"")</f>
        <v>B +ve</v>
      </c>
      <c r="E383" s="117">
        <f>IFERROR(IF(VLOOKUP(B383,Aaradhak_Details!$E:$I,5,FALSE)&lt;&gt;"",VLOOKUP(B383,Aaradhak_Details!$E:$I,5,FALSE),Actual_Data!E383),Actual_Data!E383)</f>
        <v>9769563099</v>
      </c>
      <c r="F383" s="118" t="str">
        <f t="array" ref="F383">IFERROR(
  INDEX(Aaradhak_Details!J:J, MATCH(B383, Aaradhak_Details!E:E, 0)),
  ""
)
</f>
        <v>https://drive.google.com/open?id=16XEO8zJs68smpj4fxwQZ63ntTb5-AmUe</v>
      </c>
    </row>
    <row r="384" ht="22.5" customHeight="1">
      <c r="A384" s="116" t="str">
        <f>Actual_Data!C384</f>
        <v>Hetal Chheda</v>
      </c>
      <c r="B384" s="117">
        <f>Actual_Data!B384</f>
        <v>439</v>
      </c>
      <c r="C384" s="117">
        <f>IFERROR(IF(VLOOKUP(B384,Aaradhak_Details!$E:$F,2,FALSE)&lt;&gt;"",VLOOKUP(B384,Aaradhak_Details!$E:$F,2,FALSE),Actual_Data!D384),Actual_Data!D384)</f>
        <v>37</v>
      </c>
      <c r="D384" s="116" t="str">
        <f>IFERROR(VLOOKUP(B384,Aaradhak_Details!$E:$G,3,FALSE),"")</f>
        <v>O +ve</v>
      </c>
      <c r="E384" s="117">
        <f>IFERROR(IF(VLOOKUP(B384,Aaradhak_Details!$E:$I,5,FALSE)&lt;&gt;"",VLOOKUP(B384,Aaradhak_Details!$E:$I,5,FALSE),Actual_Data!E384),Actual_Data!E384)</f>
        <v>9867353355</v>
      </c>
      <c r="F384" s="118" t="str">
        <f t="array" ref="F384">IFERROR(
  INDEX(Aaradhak_Details!J:J, MATCH(B384, Aaradhak_Details!E:E, 0)),
  ""
)
</f>
        <v>https://drive.google.com/open?id=1SSrDciBeNaQ-1sptKk2vHYiLJwWMmyK9</v>
      </c>
    </row>
    <row r="385" ht="22.5" customHeight="1">
      <c r="A385" s="116" t="str">
        <f>Actual_Data!C385</f>
        <v>Sakshi Chhajed</v>
      </c>
      <c r="B385" s="117">
        <f>Actual_Data!B385</f>
        <v>440</v>
      </c>
      <c r="C385" s="117" t="str">
        <f>IFERROR(IF(VLOOKUP(B385,Aaradhak_Details!$E:$F,2,FALSE)&lt;&gt;"",VLOOKUP(B385,Aaradhak_Details!$E:$F,2,FALSE),Actual_Data!D385),Actual_Data!D385)</f>
        <v/>
      </c>
      <c r="D385" s="116" t="str">
        <f>IFERROR(VLOOKUP(B385,Aaradhak_Details!$E:$G,3,FALSE),"")</f>
        <v/>
      </c>
      <c r="E385" s="117">
        <f>IFERROR(IF(VLOOKUP(B385,Aaradhak_Details!$E:$I,5,FALSE)&lt;&gt;"",VLOOKUP(B385,Aaradhak_Details!$E:$I,5,FALSE),Actual_Data!E385),Actual_Data!E385)</f>
        <v>9111347172</v>
      </c>
      <c r="F385" s="94" t="str">
        <f t="array" ref="F385">IFERROR(
  INDEX(Aaradhak_Details!J:J, MATCH(B385, Aaradhak_Details!E:E, 0)),
  ""
)
</f>
        <v/>
      </c>
    </row>
    <row r="386" ht="22.5" customHeight="1">
      <c r="A386" s="116" t="str">
        <f>Actual_Data!C386</f>
        <v>Ayushi Shah</v>
      </c>
      <c r="B386" s="117">
        <f>Actual_Data!B386</f>
        <v>441</v>
      </c>
      <c r="C386" s="117">
        <f>IFERROR(IF(VLOOKUP(B386,Aaradhak_Details!$E:$F,2,FALSE)&lt;&gt;"",VLOOKUP(B386,Aaradhak_Details!$E:$F,2,FALSE),Actual_Data!D386),Actual_Data!D386)</f>
        <v>21</v>
      </c>
      <c r="D386" s="116" t="str">
        <f>IFERROR(VLOOKUP(B386,Aaradhak_Details!$E:$G,3,FALSE),"")</f>
        <v>B -ve</v>
      </c>
      <c r="E386" s="117">
        <f>IFERROR(IF(VLOOKUP(B386,Aaradhak_Details!$E:$I,5,FALSE)&lt;&gt;"",VLOOKUP(B386,Aaradhak_Details!$E:$I,5,FALSE),Actual_Data!E386),Actual_Data!E386)</f>
        <v>9925258608</v>
      </c>
      <c r="F386" s="118" t="str">
        <f t="array" ref="F386">IFERROR(
  INDEX(Aaradhak_Details!J:J, MATCH(B386, Aaradhak_Details!E:E, 0)),
  ""
)
</f>
        <v>https://drive.google.com/open?id=1tDMwP9njEgn97Ubw4waJkz_007w7CT8A</v>
      </c>
    </row>
    <row r="387" ht="22.5" customHeight="1">
      <c r="A387" s="116" t="str">
        <f>Actual_Data!C387</f>
        <v>Moksha Patwa</v>
      </c>
      <c r="B387" s="117">
        <f>Actual_Data!B387</f>
        <v>442</v>
      </c>
      <c r="C387" s="117">
        <f>IFERROR(IF(VLOOKUP(B387,Aaradhak_Details!$E:$F,2,FALSE)&lt;&gt;"",VLOOKUP(B387,Aaradhak_Details!$E:$F,2,FALSE),Actual_Data!D387),Actual_Data!D387)</f>
        <v>21</v>
      </c>
      <c r="D387" s="116" t="str">
        <f>IFERROR(VLOOKUP(B387,Aaradhak_Details!$E:$G,3,FALSE),"")</f>
        <v>A +ve</v>
      </c>
      <c r="E387" s="117">
        <f>IFERROR(IF(VLOOKUP(B387,Aaradhak_Details!$E:$I,5,FALSE)&lt;&gt;"",VLOOKUP(B387,Aaradhak_Details!$E:$I,5,FALSE),Actual_Data!E387),Actual_Data!E387)</f>
        <v>9408471971</v>
      </c>
      <c r="F387" s="118" t="str">
        <f t="array" ref="F387">IFERROR(
  INDEX(Aaradhak_Details!J:J, MATCH(B387, Aaradhak_Details!E:E, 0)),
  ""
)
</f>
        <v>https://drive.google.com/open?id=1vptdzLmAKkXJSo1I2W55W-xdt0DLANVv</v>
      </c>
    </row>
    <row r="388" ht="22.5" customHeight="1">
      <c r="A388" s="116" t="str">
        <f>Actual_Data!C388</f>
        <v>Riddhima Jain</v>
      </c>
      <c r="B388" s="117">
        <f>Actual_Data!B388</f>
        <v>443</v>
      </c>
      <c r="C388" s="117">
        <f>IFERROR(IF(VLOOKUP(B388,Aaradhak_Details!$E:$F,2,FALSE)&lt;&gt;"",VLOOKUP(B388,Aaradhak_Details!$E:$F,2,FALSE),Actual_Data!D388),Actual_Data!D388)</f>
        <v>20</v>
      </c>
      <c r="D388" s="116" t="str">
        <f>IFERROR(VLOOKUP(B388,Aaradhak_Details!$E:$G,3,FALSE),"")</f>
        <v>O +ve</v>
      </c>
      <c r="E388" s="117">
        <f>IFERROR(IF(VLOOKUP(B388,Aaradhak_Details!$E:$I,5,FALSE)&lt;&gt;"",VLOOKUP(B388,Aaradhak_Details!$E:$I,5,FALSE),Actual_Data!E388),Actual_Data!E388)</f>
        <v>9039339725</v>
      </c>
      <c r="F388" s="118" t="str">
        <f t="array" ref="F388">IFERROR(
  INDEX(Aaradhak_Details!J:J, MATCH(B388, Aaradhak_Details!E:E, 0)),
  ""
)
</f>
        <v>https://drive.google.com/open?id=1U5rckicA19RRHhTOJuEezy_UsSbliDVg</v>
      </c>
    </row>
    <row r="389" ht="22.5" customHeight="1">
      <c r="A389" s="116" t="str">
        <f>Actual_Data!C389</f>
        <v>Siddhi Jain</v>
      </c>
      <c r="B389" s="117">
        <f>Actual_Data!B389</f>
        <v>444</v>
      </c>
      <c r="C389" s="117">
        <f>IFERROR(IF(VLOOKUP(B389,Aaradhak_Details!$E:$F,2,FALSE)&lt;&gt;"",VLOOKUP(B389,Aaradhak_Details!$E:$F,2,FALSE),Actual_Data!D389),Actual_Data!D389)</f>
        <v>18</v>
      </c>
      <c r="D389" s="116" t="str">
        <f>IFERROR(VLOOKUP(B389,Aaradhak_Details!$E:$G,3,FALSE),"")</f>
        <v>O +ve</v>
      </c>
      <c r="E389" s="117">
        <f>IFERROR(IF(VLOOKUP(B389,Aaradhak_Details!$E:$I,5,FALSE)&lt;&gt;"",VLOOKUP(B389,Aaradhak_Details!$E:$I,5,FALSE),Actual_Data!E389),Actual_Data!E389)</f>
        <v>8983021828</v>
      </c>
      <c r="F389" s="118" t="str">
        <f t="array" ref="F389">IFERROR(
  INDEX(Aaradhak_Details!J:J, MATCH(B389, Aaradhak_Details!E:E, 0)),
  ""
)
</f>
        <v>https://drive.google.com/open?id=1q-mEWtL2nehkc0Ap7kPJejeEAwxUwBRy</v>
      </c>
    </row>
    <row r="390" ht="22.5" customHeight="1">
      <c r="A390" s="116" t="str">
        <f>Actual_Data!C390</f>
        <v>Aayushi</v>
      </c>
      <c r="B390" s="117">
        <f>Actual_Data!B390</f>
        <v>445</v>
      </c>
      <c r="C390" s="117">
        <f>IFERROR(IF(VLOOKUP(B390,Aaradhak_Details!$E:$F,2,FALSE)&lt;&gt;"",VLOOKUP(B390,Aaradhak_Details!$E:$F,2,FALSE),Actual_Data!D390),Actual_Data!D390)</f>
        <v>24</v>
      </c>
      <c r="D390" s="116" t="str">
        <f>IFERROR(VLOOKUP(B390,Aaradhak_Details!$E:$G,3,FALSE),"")</f>
        <v>B +ve</v>
      </c>
      <c r="E390" s="117">
        <f>IFERROR(IF(VLOOKUP(B390,Aaradhak_Details!$E:$I,5,FALSE)&lt;&gt;"",VLOOKUP(B390,Aaradhak_Details!$E:$I,5,FALSE),Actual_Data!E390),Actual_Data!E390)</f>
        <v>9926552626</v>
      </c>
      <c r="F390" s="118" t="str">
        <f t="array" ref="F390">IFERROR(
  INDEX(Aaradhak_Details!J:J, MATCH(B390, Aaradhak_Details!E:E, 0)),
  ""
)
</f>
        <v>https://drive.google.com/open?id=1SZpPc0A-sd5QRiA4IQLZhYcoGTJHWmzU</v>
      </c>
    </row>
    <row r="391" ht="22.5" customHeight="1">
      <c r="A391" s="116" t="str">
        <f>Actual_Data!C391</f>
        <v>Hitanshi</v>
      </c>
      <c r="B391" s="117">
        <f>Actual_Data!B391</f>
        <v>448</v>
      </c>
      <c r="C391" s="117">
        <f>IFERROR(IF(VLOOKUP(B391,Aaradhak_Details!$E:$F,2,FALSE)&lt;&gt;"",VLOOKUP(B391,Aaradhak_Details!$E:$F,2,FALSE),Actual_Data!D391),Actual_Data!D391)</f>
        <v>16</v>
      </c>
      <c r="D391" s="116" t="str">
        <f>IFERROR(VLOOKUP(B391,Aaradhak_Details!$E:$G,3,FALSE),"")</f>
        <v>B +ve</v>
      </c>
      <c r="E391" s="117">
        <f>IFERROR(IF(VLOOKUP(B391,Aaradhak_Details!$E:$I,5,FALSE)&lt;&gt;"",VLOOKUP(B391,Aaradhak_Details!$E:$I,5,FALSE),Actual_Data!E391),Actual_Data!E391)</f>
        <v>7898717647</v>
      </c>
      <c r="F391" s="118" t="str">
        <f t="array" ref="F391">IFERROR(
  INDEX(Aaradhak_Details!J:J, MATCH(B391, Aaradhak_Details!E:E, 0)),
  ""
)
</f>
        <v>https://drive.google.com/open?id=1JVHM2hNo4I0dqOBLAPewwPzJPISJTt7B</v>
      </c>
    </row>
    <row r="392" ht="22.5" customHeight="1">
      <c r="A392" s="116" t="str">
        <f>Actual_Data!C392</f>
        <v>Moxa</v>
      </c>
      <c r="B392" s="117">
        <f>Actual_Data!B392</f>
        <v>449</v>
      </c>
      <c r="C392" s="117">
        <f>IFERROR(IF(VLOOKUP(B392,Aaradhak_Details!$E:$F,2,FALSE)&lt;&gt;"",VLOOKUP(B392,Aaradhak_Details!$E:$F,2,FALSE),Actual_Data!D392),Actual_Data!D392)</f>
        <v>27</v>
      </c>
      <c r="D392" s="116" t="str">
        <f>IFERROR(VLOOKUP(B392,Aaradhak_Details!$E:$G,3,FALSE),"")</f>
        <v>O +ve</v>
      </c>
      <c r="E392" s="117">
        <f>IFERROR(IF(VLOOKUP(B392,Aaradhak_Details!$E:$I,5,FALSE)&lt;&gt;"",VLOOKUP(B392,Aaradhak_Details!$E:$I,5,FALSE),Actual_Data!E392),Actual_Data!E392)</f>
        <v>9167618990</v>
      </c>
      <c r="F392" s="118" t="str">
        <f t="array" ref="F392">IFERROR(
  INDEX(Aaradhak_Details!J:J, MATCH(B392, Aaradhak_Details!E:E, 0)),
  ""
)
</f>
        <v>https://drive.google.com/open?id=1Xxuj_P-AurW9eZhGZK6xnC4x-U4Il562</v>
      </c>
    </row>
    <row r="393" ht="22.5" customHeight="1">
      <c r="A393" s="116" t="str">
        <f>Actual_Data!C393</f>
        <v>Virti</v>
      </c>
      <c r="B393" s="117">
        <f>Actual_Data!B393</f>
        <v>450</v>
      </c>
      <c r="C393" s="117">
        <f>IFERROR(IF(VLOOKUP(B393,Aaradhak_Details!$E:$F,2,FALSE)&lt;&gt;"",VLOOKUP(B393,Aaradhak_Details!$E:$F,2,FALSE),Actual_Data!D393),Actual_Data!D393)</f>
        <v>21</v>
      </c>
      <c r="D393" s="116" t="str">
        <f>IFERROR(VLOOKUP(B393,Aaradhak_Details!$E:$G,3,FALSE),"")</f>
        <v>O +ve</v>
      </c>
      <c r="E393" s="117">
        <f>IFERROR(IF(VLOOKUP(B393,Aaradhak_Details!$E:$I,5,FALSE)&lt;&gt;"",VLOOKUP(B393,Aaradhak_Details!$E:$I,5,FALSE),Actual_Data!E393),Actual_Data!E393)</f>
        <v>9979850760</v>
      </c>
      <c r="F393" s="118" t="str">
        <f t="array" ref="F393">IFERROR(
  INDEX(Aaradhak_Details!J:J, MATCH(B393, Aaradhak_Details!E:E, 0)),
  ""
)
</f>
        <v>https://drive.google.com/open?id=10V69JbhxvoIVyA3uwkEhNXIFHv_jTHE6</v>
      </c>
    </row>
    <row r="394" ht="22.5" customHeight="1">
      <c r="A394" s="116" t="str">
        <f>Actual_Data!C394</f>
        <v>Ankita </v>
      </c>
      <c r="B394" s="117">
        <f>Actual_Data!B394</f>
        <v>451</v>
      </c>
      <c r="C394" s="117">
        <f>IFERROR(IF(VLOOKUP(B394,Aaradhak_Details!$E:$F,2,FALSE)&lt;&gt;"",VLOOKUP(B394,Aaradhak_Details!$E:$F,2,FALSE),Actual_Data!D394),Actual_Data!D394)</f>
        <v>35</v>
      </c>
      <c r="D394" s="116" t="str">
        <f>IFERROR(VLOOKUP(B394,Aaradhak_Details!$E:$G,3,FALSE),"")</f>
        <v>B +ve</v>
      </c>
      <c r="E394" s="117">
        <f>IFERROR(IF(VLOOKUP(B394,Aaradhak_Details!$E:$I,5,FALSE)&lt;&gt;"",VLOOKUP(B394,Aaradhak_Details!$E:$I,5,FALSE),Actual_Data!E394),Actual_Data!E394)</f>
        <v>9981000715</v>
      </c>
      <c r="F394" s="118" t="str">
        <f t="array" ref="F394">IFERROR(
  INDEX(Aaradhak_Details!J:J, MATCH(B394, Aaradhak_Details!E:E, 0)),
  ""
)
</f>
        <v>https://drive.google.com/open?id=1wIgedSUkyP308HO_ys_G2weqFUo2daZH</v>
      </c>
    </row>
    <row r="395" ht="22.5" customHeight="1">
      <c r="A395" s="116" t="str">
        <f>Actual_Data!C395</f>
        <v>Pari</v>
      </c>
      <c r="B395" s="117">
        <f>Actual_Data!B395</f>
        <v>452</v>
      </c>
      <c r="C395" s="117" t="str">
        <f>IFERROR(IF(VLOOKUP(B395,Aaradhak_Details!$E:$F,2,FALSE)&lt;&gt;"",VLOOKUP(B395,Aaradhak_Details!$E:$F,2,FALSE),Actual_Data!D395),Actual_Data!D395)</f>
        <v/>
      </c>
      <c r="D395" s="116" t="str">
        <f>IFERROR(VLOOKUP(B395,Aaradhak_Details!$E:$G,3,FALSE),"")</f>
        <v/>
      </c>
      <c r="E395" s="117">
        <f>IFERROR(IF(VLOOKUP(B395,Aaradhak_Details!$E:$I,5,FALSE)&lt;&gt;"",VLOOKUP(B395,Aaradhak_Details!$E:$I,5,FALSE),Actual_Data!E395),Actual_Data!E395)</f>
        <v>9981000715</v>
      </c>
      <c r="F395" s="94" t="str">
        <f t="array" ref="F395">IFERROR(
  INDEX(Aaradhak_Details!J:J, MATCH(B395, Aaradhak_Details!E:E, 0)),
  ""
)
</f>
        <v/>
      </c>
    </row>
    <row r="396" ht="22.5" customHeight="1">
      <c r="A396" s="116" t="str">
        <f>Actual_Data!C396</f>
        <v>Jaynisha</v>
      </c>
      <c r="B396" s="117">
        <f>Actual_Data!B396</f>
        <v>453</v>
      </c>
      <c r="C396" s="117">
        <f>IFERROR(IF(VLOOKUP(B396,Aaradhak_Details!$E:$F,2,FALSE)&lt;&gt;"",VLOOKUP(B396,Aaradhak_Details!$E:$F,2,FALSE),Actual_Data!D396),Actual_Data!D396)</f>
        <v>20</v>
      </c>
      <c r="D396" s="116" t="str">
        <f>IFERROR(VLOOKUP(B396,Aaradhak_Details!$E:$G,3,FALSE),"")</f>
        <v>O +ve</v>
      </c>
      <c r="E396" s="117">
        <f>IFERROR(IF(VLOOKUP(B396,Aaradhak_Details!$E:$I,5,FALSE)&lt;&gt;"",VLOOKUP(B396,Aaradhak_Details!$E:$I,5,FALSE),Actual_Data!E396),Actual_Data!E396)</f>
        <v>9886534226</v>
      </c>
      <c r="F396" s="118" t="str">
        <f t="array" ref="F396">IFERROR(
  INDEX(Aaradhak_Details!J:J, MATCH(B396, Aaradhak_Details!E:E, 0)),
  ""
)
</f>
        <v>https://drive.google.com/open?id=1GVYttCGK2j9cdrc5SzFEqk7fRaPIfmhO</v>
      </c>
    </row>
    <row r="397" ht="22.5" customHeight="1">
      <c r="A397" s="116" t="str">
        <f>Actual_Data!C397</f>
        <v>Sonu</v>
      </c>
      <c r="B397" s="117">
        <f>Actual_Data!B397</f>
        <v>454</v>
      </c>
      <c r="C397" s="117">
        <f>IFERROR(IF(VLOOKUP(B397,Aaradhak_Details!$E:$F,2,FALSE)&lt;&gt;"",VLOOKUP(B397,Aaradhak_Details!$E:$F,2,FALSE),Actual_Data!D397),Actual_Data!D397)</f>
        <v>29</v>
      </c>
      <c r="D397" s="116" t="str">
        <f>IFERROR(VLOOKUP(B397,Aaradhak_Details!$E:$G,3,FALSE),"")</f>
        <v>O +ve</v>
      </c>
      <c r="E397" s="117">
        <f>IFERROR(IF(VLOOKUP(B397,Aaradhak_Details!$E:$I,5,FALSE)&lt;&gt;"",VLOOKUP(B397,Aaradhak_Details!$E:$I,5,FALSE),Actual_Data!E397),Actual_Data!E397)</f>
        <v>9860567263</v>
      </c>
      <c r="F397" s="118" t="str">
        <f t="array" ref="F397">IFERROR(
  INDEX(Aaradhak_Details!J:J, MATCH(B397, Aaradhak_Details!E:E, 0)),
  ""
)
</f>
        <v>https://drive.google.com/open?id=1qSF5Trwubzr94nHvRdqw2mejtVF_6vR-</v>
      </c>
    </row>
    <row r="398" ht="22.5" customHeight="1">
      <c r="A398" s="116" t="str">
        <f>Actual_Data!C398</f>
        <v>Valey</v>
      </c>
      <c r="B398" s="117">
        <f>Actual_Data!B398</f>
        <v>455</v>
      </c>
      <c r="C398" s="117">
        <f>IFERROR(IF(VLOOKUP(B398,Aaradhak_Details!$E:$F,2,FALSE)&lt;&gt;"",VLOOKUP(B398,Aaradhak_Details!$E:$F,2,FALSE),Actual_Data!D398),Actual_Data!D398)</f>
        <v>18</v>
      </c>
      <c r="D398" s="116" t="str">
        <f>IFERROR(VLOOKUP(B398,Aaradhak_Details!$E:$G,3,FALSE),"")</f>
        <v>A +ve</v>
      </c>
      <c r="E398" s="117">
        <f>IFERROR(IF(VLOOKUP(B398,Aaradhak_Details!$E:$I,5,FALSE)&lt;&gt;"",VLOOKUP(B398,Aaradhak_Details!$E:$I,5,FALSE),Actual_Data!E398),Actual_Data!E398)</f>
        <v>9428163345</v>
      </c>
      <c r="F398" s="118" t="str">
        <f t="array" ref="F398">IFERROR(
  INDEX(Aaradhak_Details!J:J, MATCH(B398, Aaradhak_Details!E:E, 0)),
  ""
)
</f>
        <v>https://drive.google.com/open?id=1IQa3ECcq-lbZvPjZTq9h86TOAQNbjNyW</v>
      </c>
    </row>
    <row r="399" ht="22.5" customHeight="1">
      <c r="A399" s="116" t="str">
        <f>Actual_Data!C399</f>
        <v>Rashmi</v>
      </c>
      <c r="B399" s="117">
        <f>Actual_Data!B399</f>
        <v>456</v>
      </c>
      <c r="C399" s="117">
        <f>IFERROR(IF(VLOOKUP(B399,Aaradhak_Details!$E:$F,2,FALSE)&lt;&gt;"",VLOOKUP(B399,Aaradhak_Details!$E:$F,2,FALSE),Actual_Data!D399),Actual_Data!D399)</f>
        <v>36</v>
      </c>
      <c r="D399" s="116" t="str">
        <f>IFERROR(VLOOKUP(B399,Aaradhak_Details!$E:$G,3,FALSE),"")</f>
        <v>AB +ve</v>
      </c>
      <c r="E399" s="117">
        <f>IFERROR(IF(VLOOKUP(B399,Aaradhak_Details!$E:$I,5,FALSE)&lt;&gt;"",VLOOKUP(B399,Aaradhak_Details!$E:$I,5,FALSE),Actual_Data!E399),Actual_Data!E399)</f>
        <v>8349492860</v>
      </c>
      <c r="F399" s="118" t="str">
        <f t="array" ref="F399">IFERROR(
  INDEX(Aaradhak_Details!J:J, MATCH(B399, Aaradhak_Details!E:E, 0)),
  ""
)
</f>
        <v>https://drive.google.com/open?id=1VzJ9TDpe32cfRgpw0Bgg-qb6IHN9DuMF</v>
      </c>
    </row>
    <row r="400" ht="22.5" customHeight="1">
      <c r="A400" s="116" t="str">
        <f>Actual_Data!C400</f>
        <v>Pooja</v>
      </c>
      <c r="B400" s="117">
        <f>Actual_Data!B400</f>
        <v>457</v>
      </c>
      <c r="C400" s="117">
        <f>IFERROR(IF(VLOOKUP(B400,Aaradhak_Details!$E:$F,2,FALSE)&lt;&gt;"",VLOOKUP(B400,Aaradhak_Details!$E:$F,2,FALSE),Actual_Data!D400),Actual_Data!D400)</f>
        <v>34</v>
      </c>
      <c r="D400" s="116" t="str">
        <f>IFERROR(VLOOKUP(B400,Aaradhak_Details!$E:$G,3,FALSE),"")</f>
        <v>AB +ve</v>
      </c>
      <c r="E400" s="117">
        <f>IFERROR(IF(VLOOKUP(B400,Aaradhak_Details!$E:$I,5,FALSE)&lt;&gt;"",VLOOKUP(B400,Aaradhak_Details!$E:$I,5,FALSE),Actual_Data!E400),Actual_Data!E400)</f>
        <v>6260188588</v>
      </c>
      <c r="F400" s="118" t="str">
        <f t="array" ref="F400">IFERROR(
  INDEX(Aaradhak_Details!J:J, MATCH(B400, Aaradhak_Details!E:E, 0)),
  ""
)
</f>
        <v>https://drive.google.com/open?id=1I3Blt9HElgqYc0BSJveEbS9pqcpMcAbT</v>
      </c>
    </row>
    <row r="401" ht="22.5" customHeight="1">
      <c r="A401" s="116" t="str">
        <f>Actual_Data!C401</f>
        <v>Sonali Mehta</v>
      </c>
      <c r="B401" s="117">
        <f>Actual_Data!B401</f>
        <v>458</v>
      </c>
      <c r="C401" s="117" t="str">
        <f>IFERROR(IF(VLOOKUP(B401,Aaradhak_Details!$E:$F,2,FALSE)&lt;&gt;"",VLOOKUP(B401,Aaradhak_Details!$E:$F,2,FALSE),Actual_Data!D401),Actual_Data!D401)</f>
        <v/>
      </c>
      <c r="D401" s="116" t="str">
        <f>IFERROR(VLOOKUP(B401,Aaradhak_Details!$E:$G,3,FALSE),"")</f>
        <v/>
      </c>
      <c r="E401" s="117">
        <f>IFERROR(IF(VLOOKUP(B401,Aaradhak_Details!$E:$I,5,FALSE)&lt;&gt;"",VLOOKUP(B401,Aaradhak_Details!$E:$I,5,FALSE),Actual_Data!E401),Actual_Data!E401)</f>
        <v>9893267239</v>
      </c>
      <c r="F401" s="94" t="str">
        <f t="array" ref="F401">IFERROR(
  INDEX(Aaradhak_Details!J:J, MATCH(B401, Aaradhak_Details!E:E, 0)),
  ""
)
</f>
        <v/>
      </c>
    </row>
    <row r="402" ht="22.5" customHeight="1">
      <c r="A402" s="116" t="str">
        <f>Actual_Data!C402</f>
        <v>Esha </v>
      </c>
      <c r="B402" s="117">
        <f>Actual_Data!B402</f>
        <v>459</v>
      </c>
      <c r="C402" s="117">
        <f>IFERROR(IF(VLOOKUP(B402,Aaradhak_Details!$E:$F,2,FALSE)&lt;&gt;"",VLOOKUP(B402,Aaradhak_Details!$E:$F,2,FALSE),Actual_Data!D402),Actual_Data!D402)</f>
        <v>26</v>
      </c>
      <c r="D402" s="116" t="str">
        <f>IFERROR(VLOOKUP(B402,Aaradhak_Details!$E:$G,3,FALSE),"")</f>
        <v>A +ve</v>
      </c>
      <c r="E402" s="117">
        <f>IFERROR(IF(VLOOKUP(B402,Aaradhak_Details!$E:$I,5,FALSE)&lt;&gt;"",VLOOKUP(B402,Aaradhak_Details!$E:$I,5,FALSE),Actual_Data!E402),Actual_Data!E402)</f>
        <v>8459797570</v>
      </c>
      <c r="F402" s="118" t="str">
        <f t="array" ref="F402">IFERROR(
  INDEX(Aaradhak_Details!J:J, MATCH(B402, Aaradhak_Details!E:E, 0)),
  ""
)
</f>
        <v>https://drive.google.com/open?id=14E-pA9-jeENBbHAeR7b0Tez0DPpykHm2</v>
      </c>
    </row>
    <row r="403" ht="22.5" customHeight="1">
      <c r="A403" s="116" t="str">
        <f>Actual_Data!C403</f>
        <v>Jeenali Shah</v>
      </c>
      <c r="B403" s="117">
        <f>Actual_Data!B403</f>
        <v>460</v>
      </c>
      <c r="C403" s="117">
        <f>IFERROR(IF(VLOOKUP(B403,Aaradhak_Details!$E:$F,2,FALSE)&lt;&gt;"",VLOOKUP(B403,Aaradhak_Details!$E:$F,2,FALSE),Actual_Data!D403),Actual_Data!D403)</f>
        <v>20</v>
      </c>
      <c r="D403" s="116" t="str">
        <f>IFERROR(VLOOKUP(B403,Aaradhak_Details!$E:$G,3,FALSE),"")</f>
        <v>B +ve</v>
      </c>
      <c r="E403" s="117">
        <f>IFERROR(IF(VLOOKUP(B403,Aaradhak_Details!$E:$I,5,FALSE)&lt;&gt;"",VLOOKUP(B403,Aaradhak_Details!$E:$I,5,FALSE),Actual_Data!E403),Actual_Data!E403)</f>
        <v>9372197799</v>
      </c>
      <c r="F403" s="118" t="str">
        <f t="array" ref="F403">IFERROR(
  INDEX(Aaradhak_Details!J:J, MATCH(B403, Aaradhak_Details!E:E, 0)),
  ""
)
</f>
        <v>https://drive.google.com/open?id=1Vg1AA2QDOJGnGB0qMQLcjqVvBjDCC0_5</v>
      </c>
    </row>
    <row r="404" ht="22.5" customHeight="1">
      <c r="A404" s="116" t="str">
        <f>Actual_Data!C404</f>
        <v>Siddhi Shah</v>
      </c>
      <c r="B404" s="117">
        <f>Actual_Data!B404</f>
        <v>461</v>
      </c>
      <c r="C404" s="117">
        <f>IFERROR(IF(VLOOKUP(B404,Aaradhak_Details!$E:$F,2,FALSE)&lt;&gt;"",VLOOKUP(B404,Aaradhak_Details!$E:$F,2,FALSE),Actual_Data!D404),Actual_Data!D404)</f>
        <v>22</v>
      </c>
      <c r="D404" s="116" t="str">
        <f>IFERROR(VLOOKUP(B404,Aaradhak_Details!$E:$G,3,FALSE),"")</f>
        <v>B +ve</v>
      </c>
      <c r="E404" s="117">
        <f>IFERROR(IF(VLOOKUP(B404,Aaradhak_Details!$E:$I,5,FALSE)&lt;&gt;"",VLOOKUP(B404,Aaradhak_Details!$E:$I,5,FALSE),Actual_Data!E404),Actual_Data!E404)</f>
        <v>9373329244</v>
      </c>
      <c r="F404" s="118" t="str">
        <f t="array" ref="F404">IFERROR(
  INDEX(Aaradhak_Details!J:J, MATCH(B404, Aaradhak_Details!E:E, 0)),
  ""
)
</f>
        <v>https://drive.google.com/open?id=1fXO0GH_QPX1CoYMm9UkEQa0oTbkBnEun</v>
      </c>
    </row>
    <row r="405" ht="22.5" customHeight="1">
      <c r="A405" s="116" t="str">
        <f>Actual_Data!C405</f>
        <v>Hetvi Shah</v>
      </c>
      <c r="B405" s="117">
        <f>Actual_Data!B405</f>
        <v>462</v>
      </c>
      <c r="C405" s="117" t="str">
        <f>IFERROR(IF(VLOOKUP(B405,Aaradhak_Details!$E:$F,2,FALSE)&lt;&gt;"",VLOOKUP(B405,Aaradhak_Details!$E:$F,2,FALSE),Actual_Data!D405),Actual_Data!D405)</f>
        <v/>
      </c>
      <c r="D405" s="116" t="str">
        <f>IFERROR(VLOOKUP(B405,Aaradhak_Details!$E:$G,3,FALSE),"")</f>
        <v/>
      </c>
      <c r="E405" s="117">
        <f>IFERROR(IF(VLOOKUP(B405,Aaradhak_Details!$E:$I,5,FALSE)&lt;&gt;"",VLOOKUP(B405,Aaradhak_Details!$E:$I,5,FALSE),Actual_Data!E405),Actual_Data!E405)</f>
        <v>9049038089</v>
      </c>
      <c r="F405" s="94" t="str">
        <f t="array" ref="F405">IFERROR(
  INDEX(Aaradhak_Details!J:J, MATCH(B405, Aaradhak_Details!E:E, 0)),
  ""
)
</f>
        <v/>
      </c>
    </row>
    <row r="406" ht="22.5" customHeight="1">
      <c r="A406" s="116" t="str">
        <f>Actual_Data!C406</f>
        <v>Moksha Jain</v>
      </c>
      <c r="B406" s="117">
        <f>Actual_Data!B406</f>
        <v>463</v>
      </c>
      <c r="C406" s="117">
        <f>IFERROR(IF(VLOOKUP(B406,Aaradhak_Details!$E:$F,2,FALSE)&lt;&gt;"",VLOOKUP(B406,Aaradhak_Details!$E:$F,2,FALSE),Actual_Data!D406),Actual_Data!D406)</f>
        <v>16</v>
      </c>
      <c r="D406" s="116" t="str">
        <f>IFERROR(VLOOKUP(B406,Aaradhak_Details!$E:$G,3,FALSE),"")</f>
        <v>O +ve</v>
      </c>
      <c r="E406" s="117">
        <f>IFERROR(IF(VLOOKUP(B406,Aaradhak_Details!$E:$I,5,FALSE)&lt;&gt;"",VLOOKUP(B406,Aaradhak_Details!$E:$I,5,FALSE),Actual_Data!E406),Actual_Data!E406)</f>
        <v>9201696457</v>
      </c>
      <c r="F406" s="118" t="str">
        <f t="array" ref="F406">IFERROR(
  INDEX(Aaradhak_Details!J:J, MATCH(B406, Aaradhak_Details!E:E, 0)),
  ""
)
</f>
        <v>https://drive.google.com/open?id=1dOtmgJuoH1kqRcul5IPOjOT2OTxLpfYq</v>
      </c>
    </row>
    <row r="407" ht="22.5" customHeight="1">
      <c r="A407" s="116" t="str">
        <f>Actual_Data!C407</f>
        <v>Siddhi Gudhka</v>
      </c>
      <c r="B407" s="117">
        <f>Actual_Data!B407</f>
        <v>464</v>
      </c>
      <c r="C407" s="117">
        <f>IFERROR(IF(VLOOKUP(B407,Aaradhak_Details!$E:$F,2,FALSE)&lt;&gt;"",VLOOKUP(B407,Aaradhak_Details!$E:$F,2,FALSE),Actual_Data!D407),Actual_Data!D407)</f>
        <v>26</v>
      </c>
      <c r="D407" s="116" t="str">
        <f>IFERROR(VLOOKUP(B407,Aaradhak_Details!$E:$G,3,FALSE),"")</f>
        <v>B +ve</v>
      </c>
      <c r="E407" s="117">
        <f>IFERROR(IF(VLOOKUP(B407,Aaradhak_Details!$E:$I,5,FALSE)&lt;&gt;"",VLOOKUP(B407,Aaradhak_Details!$E:$I,5,FALSE),Actual_Data!E407),Actual_Data!E407)</f>
        <v>9834083806</v>
      </c>
      <c r="F407" s="118" t="str">
        <f t="array" ref="F407">IFERROR(
  INDEX(Aaradhak_Details!J:J, MATCH(B407, Aaradhak_Details!E:E, 0)),
  ""
)
</f>
        <v>https://drive.google.com/open?id=1vUUkskyOHLvQD2WdbfTslGaJPvssGa4f</v>
      </c>
    </row>
    <row r="408" ht="22.5" customHeight="1">
      <c r="A408" s="116" t="str">
        <f>Actual_Data!C408</f>
        <v>Shreya Shah</v>
      </c>
      <c r="B408" s="117">
        <f>Actual_Data!B408</f>
        <v>465</v>
      </c>
      <c r="C408" s="117">
        <f>IFERROR(IF(VLOOKUP(B408,Aaradhak_Details!$E:$F,2,FALSE)&lt;&gt;"",VLOOKUP(B408,Aaradhak_Details!$E:$F,2,FALSE),Actual_Data!D408),Actual_Data!D408)</f>
        <v>22</v>
      </c>
      <c r="D408" s="116" t="str">
        <f>IFERROR(VLOOKUP(B408,Aaradhak_Details!$E:$G,3,FALSE),"")</f>
        <v>B +ve</v>
      </c>
      <c r="E408" s="117">
        <f>IFERROR(IF(VLOOKUP(B408,Aaradhak_Details!$E:$I,5,FALSE)&lt;&gt;"",VLOOKUP(B408,Aaradhak_Details!$E:$I,5,FALSE),Actual_Data!E408),Actual_Data!E408)</f>
        <v>7226890093</v>
      </c>
      <c r="F408" s="118" t="str">
        <f t="array" ref="F408">IFERROR(
  INDEX(Aaradhak_Details!J:J, MATCH(B408, Aaradhak_Details!E:E, 0)),
  ""
)
</f>
        <v>https://drive.google.com/open?id=1x9PQhX_6DF9cefHdkt0YD_5HTSjo91nd</v>
      </c>
    </row>
    <row r="409" ht="22.5" customHeight="1">
      <c r="A409" s="116" t="str">
        <f>Actual_Data!C409</f>
        <v>Hesha Shah</v>
      </c>
      <c r="B409" s="117">
        <f>Actual_Data!B409</f>
        <v>466</v>
      </c>
      <c r="C409" s="117" t="str">
        <f>IFERROR(IF(VLOOKUP(B409,Aaradhak_Details!$E:$F,2,FALSE)&lt;&gt;"",VLOOKUP(B409,Aaradhak_Details!$E:$F,2,FALSE),Actual_Data!D409),Actual_Data!D409)</f>
        <v/>
      </c>
      <c r="D409" s="116" t="str">
        <f>IFERROR(VLOOKUP(B409,Aaradhak_Details!$E:$G,3,FALSE),"")</f>
        <v/>
      </c>
      <c r="E409" s="117">
        <f>IFERROR(IF(VLOOKUP(B409,Aaradhak_Details!$E:$I,5,FALSE)&lt;&gt;"",VLOOKUP(B409,Aaradhak_Details!$E:$I,5,FALSE),Actual_Data!E409),Actual_Data!E409)</f>
        <v>7622043820</v>
      </c>
      <c r="F409" s="94" t="str">
        <f t="array" ref="F409">IFERROR(
  INDEX(Aaradhak_Details!J:J, MATCH(B409, Aaradhak_Details!E:E, 0)),
  ""
)
</f>
        <v/>
      </c>
    </row>
    <row r="410" ht="22.5" customHeight="1">
      <c r="A410" s="116" t="str">
        <f>Actual_Data!C410</f>
        <v>Aangi Shah</v>
      </c>
      <c r="B410" s="117">
        <f>Actual_Data!B410</f>
        <v>467</v>
      </c>
      <c r="C410" s="117">
        <f>IFERROR(IF(VLOOKUP(B410,Aaradhak_Details!$E:$F,2,FALSE)&lt;&gt;"",VLOOKUP(B410,Aaradhak_Details!$E:$F,2,FALSE),Actual_Data!D410),Actual_Data!D410)</f>
        <v>22</v>
      </c>
      <c r="D410" s="116" t="str">
        <f>IFERROR(VLOOKUP(B410,Aaradhak_Details!$E:$G,3,FALSE),"")</f>
        <v>A +ve</v>
      </c>
      <c r="E410" s="117">
        <f>IFERROR(IF(VLOOKUP(B410,Aaradhak_Details!$E:$I,5,FALSE)&lt;&gt;"",VLOOKUP(B410,Aaradhak_Details!$E:$I,5,FALSE),Actual_Data!E410),Actual_Data!E410)</f>
        <v>9173035986</v>
      </c>
      <c r="F410" s="118" t="str">
        <f t="array" ref="F410">IFERROR(
  INDEX(Aaradhak_Details!J:J, MATCH(B410, Aaradhak_Details!E:E, 0)),
  ""
)
</f>
        <v>https://drive.google.com/open?id=1WU62vm1cWMpkOpztfXMvMy9RVIXZzIe1</v>
      </c>
    </row>
    <row r="411" ht="22.5" customHeight="1">
      <c r="A411" s="116" t="str">
        <f>Actual_Data!C411</f>
        <v>Hetvi Shah Insta</v>
      </c>
      <c r="B411" s="117">
        <f>Actual_Data!B411</f>
        <v>468</v>
      </c>
      <c r="C411" s="117" t="str">
        <f>IFERROR(IF(VLOOKUP(B411,Aaradhak_Details!$E:$F,2,FALSE)&lt;&gt;"",VLOOKUP(B411,Aaradhak_Details!$E:$F,2,FALSE),Actual_Data!D411),Actual_Data!D411)</f>
        <v/>
      </c>
      <c r="D411" s="116" t="str">
        <f>IFERROR(VLOOKUP(B411,Aaradhak_Details!$E:$G,3,FALSE),"")</f>
        <v/>
      </c>
      <c r="E411" s="117">
        <f>IFERROR(IF(VLOOKUP(B411,Aaradhak_Details!$E:$I,5,FALSE)&lt;&gt;"",VLOOKUP(B411,Aaradhak_Details!$E:$I,5,FALSE),Actual_Data!E411),Actual_Data!E411)</f>
        <v>9426172768</v>
      </c>
      <c r="F411" s="94" t="str">
        <f t="array" ref="F411">IFERROR(
  INDEX(Aaradhak_Details!J:J, MATCH(B411, Aaradhak_Details!E:E, 0)),
  ""
)
</f>
        <v/>
      </c>
    </row>
    <row r="412" ht="22.5" customHeight="1">
      <c r="A412" s="116" t="str">
        <f>Actual_Data!C412</f>
        <v>Priyanka Kataria</v>
      </c>
      <c r="B412" s="117">
        <f>Actual_Data!B412</f>
        <v>469</v>
      </c>
      <c r="C412" s="117">
        <f>IFERROR(IF(VLOOKUP(B412,Aaradhak_Details!$E:$F,2,FALSE)&lt;&gt;"",VLOOKUP(B412,Aaradhak_Details!$E:$F,2,FALSE),Actual_Data!D412),Actual_Data!D412)</f>
        <v>29</v>
      </c>
      <c r="D412" s="116" t="str">
        <f>IFERROR(VLOOKUP(B412,Aaradhak_Details!$E:$G,3,FALSE),"")</f>
        <v>O +ve</v>
      </c>
      <c r="E412" s="117">
        <f>IFERROR(IF(VLOOKUP(B412,Aaradhak_Details!$E:$I,5,FALSE)&lt;&gt;"",VLOOKUP(B412,Aaradhak_Details!$E:$I,5,FALSE),Actual_Data!E412),Actual_Data!E412)</f>
        <v>8971996137</v>
      </c>
      <c r="F412" s="118" t="str">
        <f t="array" ref="F412">IFERROR(
  INDEX(Aaradhak_Details!J:J, MATCH(B412, Aaradhak_Details!E:E, 0)),
  ""
)
</f>
        <v>https://drive.google.com/open?id=1Q2Bw9ATHhWI-YnWZG4CPkzxXyDJEvmD9</v>
      </c>
    </row>
    <row r="413" ht="22.5" customHeight="1">
      <c r="A413" s="116" t="str">
        <f>Actual_Data!C413</f>
        <v>Kinjal Parekh</v>
      </c>
      <c r="B413" s="117">
        <f>Actual_Data!B413</f>
        <v>470</v>
      </c>
      <c r="C413" s="117">
        <f>IFERROR(IF(VLOOKUP(B413,Aaradhak_Details!$E:$F,2,FALSE)&lt;&gt;"",VLOOKUP(B413,Aaradhak_Details!$E:$F,2,FALSE),Actual_Data!D413),Actual_Data!D413)</f>
        <v>22</v>
      </c>
      <c r="D413" s="116" t="str">
        <f>IFERROR(VLOOKUP(B413,Aaradhak_Details!$E:$G,3,FALSE),"")</f>
        <v>B +ve</v>
      </c>
      <c r="E413" s="117">
        <f>IFERROR(IF(VLOOKUP(B413,Aaradhak_Details!$E:$I,5,FALSE)&lt;&gt;"",VLOOKUP(B413,Aaradhak_Details!$E:$I,5,FALSE),Actual_Data!E413),Actual_Data!E413)</f>
        <v>8320063574</v>
      </c>
      <c r="F413" s="118" t="str">
        <f t="array" ref="F413">IFERROR(
  INDEX(Aaradhak_Details!J:J, MATCH(B413, Aaradhak_Details!E:E, 0)),
  ""
)
</f>
        <v>https://drive.google.com/open?id=1XFWVeSQaTTX72SnVjYSn1tLySDGiXDL5</v>
      </c>
    </row>
    <row r="414" ht="22.5" customHeight="1">
      <c r="A414" s="116" t="str">
        <f>Actual_Data!C414</f>
        <v>Archana Sheth</v>
      </c>
      <c r="B414" s="117">
        <f>Actual_Data!B414</f>
        <v>471</v>
      </c>
      <c r="C414" s="117">
        <f>IFERROR(IF(VLOOKUP(B414,Aaradhak_Details!$E:$F,2,FALSE)&lt;&gt;"",VLOOKUP(B414,Aaradhak_Details!$E:$F,2,FALSE),Actual_Data!D414),Actual_Data!D414)</f>
        <v>52</v>
      </c>
      <c r="D414" s="116" t="str">
        <f>IFERROR(VLOOKUP(B414,Aaradhak_Details!$E:$G,3,FALSE),"")</f>
        <v>B +ve</v>
      </c>
      <c r="E414" s="117">
        <f>IFERROR(IF(VLOOKUP(B414,Aaradhak_Details!$E:$I,5,FALSE)&lt;&gt;"",VLOOKUP(B414,Aaradhak_Details!$E:$I,5,FALSE),Actual_Data!E414),Actual_Data!E414)</f>
        <v>7069835119</v>
      </c>
      <c r="F414" s="118" t="str">
        <f t="array" ref="F414">IFERROR(
  INDEX(Aaradhak_Details!J:J, MATCH(B414, Aaradhak_Details!E:E, 0)),
  ""
)
</f>
        <v>https://drive.google.com/open?id=1il7YTPqXa1QSSrdXEvqRqR_as7uW_rLX</v>
      </c>
    </row>
    <row r="415" ht="22.5" customHeight="1">
      <c r="A415" s="116" t="str">
        <f>Actual_Data!C415</f>
        <v>Sheetal Murar</v>
      </c>
      <c r="B415" s="117">
        <f>Actual_Data!B415</f>
        <v>472</v>
      </c>
      <c r="C415" s="117">
        <f>IFERROR(IF(VLOOKUP(B415,Aaradhak_Details!$E:$F,2,FALSE)&lt;&gt;"",VLOOKUP(B415,Aaradhak_Details!$E:$F,2,FALSE),Actual_Data!D415),Actual_Data!D415)</f>
        <v>43</v>
      </c>
      <c r="D415" s="116" t="str">
        <f>IFERROR(VLOOKUP(B415,Aaradhak_Details!$E:$G,3,FALSE),"")</f>
        <v>B +ve</v>
      </c>
      <c r="E415" s="117">
        <f>IFERROR(IF(VLOOKUP(B415,Aaradhak_Details!$E:$I,5,FALSE)&lt;&gt;"",VLOOKUP(B415,Aaradhak_Details!$E:$I,5,FALSE),Actual_Data!E415),Actual_Data!E415)</f>
        <v>9755283303</v>
      </c>
      <c r="F415" s="118" t="str">
        <f t="array" ref="F415">IFERROR(
  INDEX(Aaradhak_Details!J:J, MATCH(B415, Aaradhak_Details!E:E, 0)),
  ""
)
</f>
        <v>https://drive.google.com/open?id=1MYM5-0i3DgJk61CATCxE3giRrtVxYw5G</v>
      </c>
    </row>
    <row r="416" ht="22.5" customHeight="1">
      <c r="A416" s="116" t="str">
        <f>Actual_Data!C416</f>
        <v>Jinisha Mehta</v>
      </c>
      <c r="B416" s="117">
        <f>Actual_Data!B416</f>
        <v>473</v>
      </c>
      <c r="C416" s="117">
        <f>IFERROR(IF(VLOOKUP(B416,Aaradhak_Details!$E:$F,2,FALSE)&lt;&gt;"",VLOOKUP(B416,Aaradhak_Details!$E:$F,2,FALSE),Actual_Data!D416),Actual_Data!D416)</f>
        <v>14</v>
      </c>
      <c r="D416" s="116" t="str">
        <f>IFERROR(VLOOKUP(B416,Aaradhak_Details!$E:$G,3,FALSE),"")</f>
        <v>O +ve</v>
      </c>
      <c r="E416" s="117">
        <f>IFERROR(IF(VLOOKUP(B416,Aaradhak_Details!$E:$I,5,FALSE)&lt;&gt;"",VLOOKUP(B416,Aaradhak_Details!$E:$I,5,FALSE),Actual_Data!E416),Actual_Data!E416)</f>
        <v>9826319193</v>
      </c>
      <c r="F416" s="118" t="str">
        <f t="array" ref="F416">IFERROR(
  INDEX(Aaradhak_Details!J:J, MATCH(B416, Aaradhak_Details!E:E, 0)),
  ""
)
</f>
        <v>https://drive.google.com/open?id=1wsMv54txo7y7jIHsRdlVrqjq2hKlaT2T</v>
      </c>
    </row>
    <row r="417" ht="22.5" customHeight="1">
      <c r="A417" s="116" t="str">
        <f>Actual_Data!C417</f>
        <v>Vaishali Doshi</v>
      </c>
      <c r="B417" s="117">
        <f>Actual_Data!B417</f>
        <v>474</v>
      </c>
      <c r="C417" s="117" t="str">
        <f>IFERROR(IF(VLOOKUP(B417,Aaradhak_Details!$E:$F,2,FALSE)&lt;&gt;"",VLOOKUP(B417,Aaradhak_Details!$E:$F,2,FALSE),Actual_Data!D417),Actual_Data!D417)</f>
        <v/>
      </c>
      <c r="D417" s="116" t="str">
        <f>IFERROR(VLOOKUP(B417,Aaradhak_Details!$E:$G,3,FALSE),"")</f>
        <v/>
      </c>
      <c r="E417" s="117">
        <f>IFERROR(IF(VLOOKUP(B417,Aaradhak_Details!$E:$I,5,FALSE)&lt;&gt;"",VLOOKUP(B417,Aaradhak_Details!$E:$I,5,FALSE),Actual_Data!E417),Actual_Data!E417)</f>
        <v>9173623930</v>
      </c>
      <c r="F417" s="94" t="str">
        <f t="array" ref="F417">IFERROR(
  INDEX(Aaradhak_Details!J:J, MATCH(B417, Aaradhak_Details!E:E, 0)),
  ""
)
</f>
        <v/>
      </c>
    </row>
    <row r="418" ht="22.5" customHeight="1">
      <c r="A418" s="116" t="str">
        <f>Actual_Data!C418</f>
        <v>Moksha Shah</v>
      </c>
      <c r="B418" s="117">
        <f>Actual_Data!B418</f>
        <v>475</v>
      </c>
      <c r="C418" s="117">
        <f>IFERROR(IF(VLOOKUP(B418,Aaradhak_Details!$E:$F,2,FALSE)&lt;&gt;"",VLOOKUP(B418,Aaradhak_Details!$E:$F,2,FALSE),Actual_Data!D418),Actual_Data!D418)</f>
        <v>23</v>
      </c>
      <c r="D418" s="116" t="str">
        <f>IFERROR(VLOOKUP(B418,Aaradhak_Details!$E:$G,3,FALSE),"")</f>
        <v>AB +ve</v>
      </c>
      <c r="E418" s="117">
        <f>IFERROR(IF(VLOOKUP(B418,Aaradhak_Details!$E:$I,5,FALSE)&lt;&gt;"",VLOOKUP(B418,Aaradhak_Details!$E:$I,5,FALSE),Actual_Data!E418),Actual_Data!E418)</f>
        <v>9427608729</v>
      </c>
      <c r="F418" s="118" t="str">
        <f t="array" ref="F418">IFERROR(
  INDEX(Aaradhak_Details!J:J, MATCH(B418, Aaradhak_Details!E:E, 0)),
  ""
)
</f>
        <v>https://drive.google.com/open?id=1WDaZ3bK-waxZUJWNPp7IbYuV3Ww7yvt3</v>
      </c>
    </row>
    <row r="419">
      <c r="A419" s="119" t="str">
        <f>Actual_Data!C419</f>
        <v/>
      </c>
    </row>
    <row r="420">
      <c r="A420" s="119" t="str">
        <f>Actual_Data!C420</f>
        <v/>
      </c>
    </row>
    <row r="421">
      <c r="A421" s="119" t="str">
        <f>Actual_Data!C421</f>
        <v/>
      </c>
    </row>
    <row r="422">
      <c r="A422" s="119" t="str">
        <f>Actual_Data!C422</f>
        <v/>
      </c>
    </row>
    <row r="423">
      <c r="A423" s="119" t="str">
        <f>Actual_Data!C423</f>
        <v/>
      </c>
    </row>
    <row r="424">
      <c r="A424" s="119" t="str">
        <f>Actual_Data!C424</f>
        <v/>
      </c>
    </row>
    <row r="425">
      <c r="A425" s="119" t="str">
        <f>Actual_Data!C425</f>
        <v/>
      </c>
    </row>
    <row r="426">
      <c r="A426" s="119" t="str">
        <f>Actual_Data!C426</f>
        <v/>
      </c>
    </row>
    <row r="427">
      <c r="A427" s="119" t="str">
        <f>Actual_Data!C427</f>
        <v/>
      </c>
    </row>
    <row r="428">
      <c r="A428" s="119" t="str">
        <f>Actual_Data!C428</f>
        <v/>
      </c>
    </row>
    <row r="429">
      <c r="A429" s="119" t="str">
        <f>Actual_Data!C429</f>
        <v/>
      </c>
    </row>
    <row r="430">
      <c r="A430" s="119" t="str">
        <f>Actual_Data!C430</f>
        <v/>
      </c>
    </row>
    <row r="431">
      <c r="A431" s="119" t="str">
        <f>Actual_Data!C431</f>
        <v/>
      </c>
    </row>
    <row r="432">
      <c r="A432" s="119" t="str">
        <f>Actual_Data!C432</f>
        <v/>
      </c>
    </row>
    <row r="433">
      <c r="A433" s="119" t="str">
        <f>Actual_Data!C433</f>
        <v/>
      </c>
    </row>
    <row r="434">
      <c r="A434" s="119" t="str">
        <f>Actual_Data!C434</f>
        <v/>
      </c>
    </row>
    <row r="435">
      <c r="A435" s="119" t="str">
        <f>Actual_Data!C435</f>
        <v/>
      </c>
    </row>
    <row r="436">
      <c r="A436" s="119" t="str">
        <f>Actual_Data!C436</f>
        <v/>
      </c>
    </row>
    <row r="437">
      <c r="A437" s="119" t="str">
        <f>Actual_Data!C437</f>
        <v/>
      </c>
    </row>
    <row r="438">
      <c r="A438" s="119" t="str">
        <f>Actual_Data!C438</f>
        <v/>
      </c>
    </row>
    <row r="439">
      <c r="A439" s="119" t="str">
        <f>Actual_Data!C439</f>
        <v/>
      </c>
    </row>
    <row r="440">
      <c r="A440" s="119" t="str">
        <f>Actual_Data!C440</f>
        <v/>
      </c>
    </row>
    <row r="441">
      <c r="A441" s="119" t="str">
        <f>Actual_Data!C441</f>
        <v/>
      </c>
    </row>
  </sheetData>
  <dataValidations>
    <dataValidation type="custom" allowBlank="1" showDropDown="1" sqref="B2:C418 E2:E418">
      <formula1>AND(ISNUMBER(B2),(NOT(OR(NOT(ISERROR(DATEVALUE(B2))), AND(ISNUMBER(B2), LEFT(CELL("format", B2))="D")))))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19.88"/>
    <col customWidth="1" min="3" max="3" width="11.75"/>
    <col customWidth="1" min="4" max="4" width="14.75"/>
    <col customWidth="1" min="5" max="5" width="29.75"/>
    <col customWidth="1" min="6" max="6" width="81.0"/>
  </cols>
  <sheetData>
    <row r="1" ht="22.5" customHeight="1">
      <c r="A1" s="120" t="s">
        <v>1580</v>
      </c>
      <c r="B1" s="120" t="s">
        <v>1</v>
      </c>
      <c r="C1" s="120" t="s">
        <v>3</v>
      </c>
      <c r="D1" s="120" t="s">
        <v>433</v>
      </c>
      <c r="E1" s="120" t="s">
        <v>1581</v>
      </c>
      <c r="F1" s="120" t="s">
        <v>1582</v>
      </c>
    </row>
    <row r="2" ht="22.5" customHeight="1">
      <c r="A2" s="121" t="s">
        <v>6</v>
      </c>
      <c r="B2" s="122">
        <f t="array" ref="B2:B401">SEQUENCE(400,1)
</f>
        <v>1</v>
      </c>
      <c r="C2" s="122">
        <v>15.0</v>
      </c>
      <c r="D2" s="121" t="s">
        <v>447</v>
      </c>
      <c r="E2" s="122">
        <v>7.720064326E9</v>
      </c>
      <c r="F2" s="123" t="s">
        <v>452</v>
      </c>
    </row>
    <row r="3" ht="22.5" customHeight="1">
      <c r="A3" s="121" t="s">
        <v>8</v>
      </c>
      <c r="B3" s="122">
        <v>2.0</v>
      </c>
      <c r="C3" s="122">
        <v>26.0</v>
      </c>
      <c r="D3" s="121" t="s">
        <v>447</v>
      </c>
      <c r="E3" s="122">
        <v>9.826990266E9</v>
      </c>
      <c r="F3" s="123" t="s">
        <v>455</v>
      </c>
    </row>
    <row r="4" ht="22.5" customHeight="1">
      <c r="A4" s="121" t="s">
        <v>10</v>
      </c>
      <c r="B4" s="122">
        <v>3.0</v>
      </c>
      <c r="C4" s="122">
        <v>20.0</v>
      </c>
      <c r="D4" s="121" t="s">
        <v>458</v>
      </c>
      <c r="E4" s="122">
        <v>9.825529797E9</v>
      </c>
      <c r="F4" s="121" t="s">
        <v>460</v>
      </c>
    </row>
    <row r="5" ht="22.5" customHeight="1">
      <c r="A5" s="121" t="s">
        <v>12</v>
      </c>
      <c r="B5" s="122">
        <v>4.0</v>
      </c>
      <c r="C5" s="122">
        <v>13.0</v>
      </c>
      <c r="D5" s="121" t="s">
        <v>487</v>
      </c>
      <c r="E5" s="122">
        <v>9.90408206E9</v>
      </c>
      <c r="F5" s="121" t="s">
        <v>1283</v>
      </c>
    </row>
    <row r="6" ht="22.5" customHeight="1">
      <c r="A6" s="121" t="s">
        <v>14</v>
      </c>
      <c r="B6" s="122">
        <v>5.0</v>
      </c>
      <c r="C6" s="122">
        <v>21.0</v>
      </c>
      <c r="D6" s="121" t="s">
        <v>447</v>
      </c>
      <c r="E6" s="122">
        <v>7.898954083E9</v>
      </c>
      <c r="F6" s="123" t="s">
        <v>1331</v>
      </c>
    </row>
    <row r="7" ht="22.5" customHeight="1">
      <c r="A7" s="121" t="s">
        <v>15</v>
      </c>
      <c r="B7" s="122">
        <v>6.0</v>
      </c>
      <c r="C7" s="122">
        <v>15.0</v>
      </c>
      <c r="D7" s="121" t="s">
        <v>447</v>
      </c>
      <c r="E7" s="122">
        <v>7.000496236E9</v>
      </c>
      <c r="F7" s="123" t="s">
        <v>463</v>
      </c>
    </row>
    <row r="8" ht="22.5" customHeight="1">
      <c r="A8" s="121" t="s">
        <v>16</v>
      </c>
      <c r="B8" s="122">
        <v>7.0</v>
      </c>
      <c r="C8" s="122">
        <v>19.0</v>
      </c>
      <c r="D8" s="121" t="s">
        <v>441</v>
      </c>
      <c r="E8" s="122">
        <v>6.261707675E9</v>
      </c>
      <c r="F8" s="121" t="s">
        <v>467</v>
      </c>
    </row>
    <row r="9" ht="22.5" customHeight="1">
      <c r="A9" s="121" t="s">
        <v>17</v>
      </c>
      <c r="B9" s="122">
        <v>8.0</v>
      </c>
      <c r="C9" s="122">
        <v>25.0</v>
      </c>
      <c r="D9" s="121" t="s">
        <v>470</v>
      </c>
      <c r="E9" s="122">
        <v>9.224190392E9</v>
      </c>
      <c r="F9" s="123" t="s">
        <v>472</v>
      </c>
    </row>
    <row r="10" ht="22.5" customHeight="1">
      <c r="A10" s="121" t="s">
        <v>18</v>
      </c>
      <c r="B10" s="122">
        <v>9.0</v>
      </c>
      <c r="C10" s="122">
        <v>34.0</v>
      </c>
      <c r="D10" s="121" t="s">
        <v>441</v>
      </c>
      <c r="E10" s="122">
        <v>9.926124861E9</v>
      </c>
      <c r="F10" s="121" t="s">
        <v>476</v>
      </c>
    </row>
    <row r="11" ht="22.5" customHeight="1">
      <c r="A11" s="121" t="s">
        <v>19</v>
      </c>
      <c r="B11" s="122">
        <v>10.0</v>
      </c>
      <c r="C11" s="122">
        <v>23.0</v>
      </c>
      <c r="D11" s="121" t="s">
        <v>447</v>
      </c>
      <c r="E11" s="122">
        <v>9.940478564E9</v>
      </c>
      <c r="F11" s="121" t="s">
        <v>480</v>
      </c>
    </row>
    <row r="12" ht="22.5" customHeight="1">
      <c r="A12" s="121" t="s">
        <v>20</v>
      </c>
      <c r="B12" s="122">
        <v>11.0</v>
      </c>
      <c r="C12" s="122">
        <v>23.0</v>
      </c>
      <c r="D12" s="121" t="s">
        <v>487</v>
      </c>
      <c r="E12" s="122">
        <v>9.324746678E9</v>
      </c>
      <c r="F12" s="121" t="s">
        <v>489</v>
      </c>
    </row>
    <row r="13" ht="22.5" customHeight="1">
      <c r="A13" s="121" t="s">
        <v>21</v>
      </c>
      <c r="B13" s="122">
        <v>12.0</v>
      </c>
      <c r="C13" s="122">
        <v>21.0</v>
      </c>
      <c r="D13" s="121" t="s">
        <v>458</v>
      </c>
      <c r="E13" s="122">
        <v>6.260662123E9</v>
      </c>
      <c r="F13" s="121" t="s">
        <v>484</v>
      </c>
    </row>
    <row r="14" ht="22.5" customHeight="1">
      <c r="A14" s="121" t="s">
        <v>22</v>
      </c>
      <c r="B14" s="122">
        <v>13.0</v>
      </c>
      <c r="C14" s="122">
        <v>22.0</v>
      </c>
      <c r="D14" s="121" t="s">
        <v>487</v>
      </c>
      <c r="E14" s="122">
        <v>8.43569503E9</v>
      </c>
      <c r="F14" s="121" t="s">
        <v>494</v>
      </c>
    </row>
    <row r="15" ht="22.5" customHeight="1">
      <c r="A15" s="121" t="s">
        <v>23</v>
      </c>
      <c r="B15" s="122">
        <v>14.0</v>
      </c>
      <c r="C15" s="122">
        <v>26.0</v>
      </c>
      <c r="D15" s="121" t="s">
        <v>447</v>
      </c>
      <c r="E15" s="122">
        <v>9.89361827E9</v>
      </c>
      <c r="F15" s="121" t="s">
        <v>497</v>
      </c>
    </row>
    <row r="16" ht="22.5" customHeight="1">
      <c r="A16" s="121" t="s">
        <v>24</v>
      </c>
      <c r="B16" s="122">
        <v>15.0</v>
      </c>
      <c r="C16" s="122">
        <v>16.0</v>
      </c>
      <c r="D16" s="121" t="s">
        <v>1583</v>
      </c>
      <c r="E16" s="122">
        <v>9.584175407E9</v>
      </c>
      <c r="F16" s="121" t="s">
        <v>1583</v>
      </c>
    </row>
    <row r="17" ht="22.5" customHeight="1">
      <c r="A17" s="121" t="s">
        <v>25</v>
      </c>
      <c r="B17" s="122">
        <v>16.0</v>
      </c>
      <c r="C17" s="122">
        <v>17.0</v>
      </c>
      <c r="D17" s="121" t="s">
        <v>458</v>
      </c>
      <c r="E17" s="122">
        <v>9.300638289E9</v>
      </c>
      <c r="F17" s="121" t="s">
        <v>501</v>
      </c>
    </row>
    <row r="18" ht="22.5" customHeight="1">
      <c r="A18" s="121" t="s">
        <v>26</v>
      </c>
      <c r="B18" s="122">
        <v>17.0</v>
      </c>
      <c r="C18" s="122">
        <v>25.0</v>
      </c>
      <c r="D18" s="121" t="s">
        <v>487</v>
      </c>
      <c r="E18" s="122">
        <v>9.713410009E9</v>
      </c>
      <c r="F18" s="121" t="s">
        <v>504</v>
      </c>
    </row>
    <row r="19" ht="22.5" customHeight="1">
      <c r="A19" s="121" t="s">
        <v>27</v>
      </c>
      <c r="B19" s="122">
        <v>18.0</v>
      </c>
      <c r="C19" s="122">
        <v>32.0</v>
      </c>
      <c r="D19" s="121" t="s">
        <v>447</v>
      </c>
      <c r="E19" s="122">
        <v>9.762808997E9</v>
      </c>
      <c r="F19" s="121" t="s">
        <v>507</v>
      </c>
    </row>
    <row r="20" ht="22.5" customHeight="1">
      <c r="A20" s="121" t="s">
        <v>28</v>
      </c>
      <c r="B20" s="122">
        <v>19.0</v>
      </c>
      <c r="C20" s="122">
        <v>20.0</v>
      </c>
      <c r="D20" s="121" t="s">
        <v>487</v>
      </c>
      <c r="E20" s="122">
        <v>6.380334389E9</v>
      </c>
      <c r="F20" s="121" t="s">
        <v>511</v>
      </c>
    </row>
    <row r="21" ht="22.5" customHeight="1">
      <c r="A21" s="121" t="s">
        <v>29</v>
      </c>
      <c r="B21" s="122">
        <v>20.0</v>
      </c>
      <c r="C21" s="122">
        <v>42.0</v>
      </c>
      <c r="D21" s="121" t="s">
        <v>447</v>
      </c>
      <c r="E21" s="122">
        <v>9.825011862E9</v>
      </c>
      <c r="F21" s="121" t="s">
        <v>518</v>
      </c>
    </row>
    <row r="22" ht="22.5" customHeight="1">
      <c r="A22" s="121" t="s">
        <v>30</v>
      </c>
      <c r="B22" s="122">
        <v>21.0</v>
      </c>
      <c r="C22" s="122">
        <v>24.0</v>
      </c>
      <c r="D22" s="121" t="s">
        <v>458</v>
      </c>
      <c r="E22" s="122">
        <v>9.827071761E9</v>
      </c>
      <c r="F22" s="121" t="s">
        <v>522</v>
      </c>
    </row>
    <row r="23" ht="22.5" customHeight="1">
      <c r="A23" s="121" t="s">
        <v>31</v>
      </c>
      <c r="B23" s="122">
        <v>22.0</v>
      </c>
      <c r="C23" s="122">
        <v>21.0</v>
      </c>
      <c r="D23" s="121" t="s">
        <v>447</v>
      </c>
      <c r="E23" s="122">
        <v>9.425104131E9</v>
      </c>
      <c r="F23" s="121" t="s">
        <v>526</v>
      </c>
    </row>
    <row r="24" ht="22.5" customHeight="1">
      <c r="A24" s="121" t="s">
        <v>32</v>
      </c>
      <c r="B24" s="122">
        <v>23.0</v>
      </c>
      <c r="C24" s="122">
        <v>31.0</v>
      </c>
      <c r="D24" s="121" t="s">
        <v>447</v>
      </c>
      <c r="E24" s="122">
        <v>7.999992925E9</v>
      </c>
      <c r="F24" s="121" t="s">
        <v>528</v>
      </c>
    </row>
    <row r="25" ht="22.5" customHeight="1">
      <c r="A25" s="121" t="s">
        <v>33</v>
      </c>
      <c r="B25" s="122">
        <v>24.0</v>
      </c>
      <c r="C25" s="122">
        <v>26.0</v>
      </c>
      <c r="D25" s="121" t="s">
        <v>487</v>
      </c>
      <c r="E25" s="122">
        <v>9.01109655E9</v>
      </c>
      <c r="F25" s="121" t="s">
        <v>534</v>
      </c>
    </row>
    <row r="26" ht="22.5" customHeight="1">
      <c r="A26" s="121" t="s">
        <v>34</v>
      </c>
      <c r="B26" s="122">
        <v>25.0</v>
      </c>
      <c r="C26" s="122">
        <v>23.0</v>
      </c>
      <c r="D26" s="121" t="s">
        <v>458</v>
      </c>
      <c r="E26" s="122">
        <v>9.17935231E9</v>
      </c>
      <c r="F26" s="121" t="s">
        <v>538</v>
      </c>
    </row>
    <row r="27" ht="22.5" customHeight="1">
      <c r="A27" s="121" t="s">
        <v>35</v>
      </c>
      <c r="B27" s="122">
        <v>26.0</v>
      </c>
      <c r="C27" s="122">
        <v>36.0</v>
      </c>
      <c r="D27" s="121" t="s">
        <v>458</v>
      </c>
      <c r="E27" s="122">
        <v>8.770483294E9</v>
      </c>
      <c r="F27" s="121" t="s">
        <v>541</v>
      </c>
    </row>
    <row r="28" ht="22.5" customHeight="1">
      <c r="A28" s="121" t="s">
        <v>36</v>
      </c>
      <c r="B28" s="122">
        <v>27.0</v>
      </c>
      <c r="C28" s="122">
        <v>18.0</v>
      </c>
      <c r="D28" s="121" t="s">
        <v>441</v>
      </c>
      <c r="E28" s="122">
        <v>9.425068194E9</v>
      </c>
      <c r="F28" s="121" t="s">
        <v>443</v>
      </c>
    </row>
    <row r="29" ht="22.5" customHeight="1">
      <c r="A29" s="121" t="s">
        <v>37</v>
      </c>
      <c r="B29" s="122">
        <v>28.0</v>
      </c>
      <c r="C29" s="122">
        <v>19.0</v>
      </c>
      <c r="D29" s="121" t="s">
        <v>1583</v>
      </c>
      <c r="E29" s="122">
        <v>9.424044167E9</v>
      </c>
      <c r="F29" s="121" t="s">
        <v>1583</v>
      </c>
    </row>
    <row r="30" ht="22.5" customHeight="1">
      <c r="A30" s="121" t="s">
        <v>38</v>
      </c>
      <c r="B30" s="122">
        <v>29.0</v>
      </c>
      <c r="C30" s="122">
        <v>27.0</v>
      </c>
      <c r="D30" s="121" t="s">
        <v>447</v>
      </c>
      <c r="E30" s="122">
        <v>7.771906579E9</v>
      </c>
      <c r="F30" s="121" t="s">
        <v>556</v>
      </c>
    </row>
    <row r="31" ht="22.5" customHeight="1">
      <c r="A31" s="121" t="s">
        <v>39</v>
      </c>
      <c r="B31" s="122">
        <v>30.0</v>
      </c>
      <c r="C31" s="122">
        <v>24.0</v>
      </c>
      <c r="D31" s="121" t="s">
        <v>458</v>
      </c>
      <c r="E31" s="122">
        <v>7.354054343E9</v>
      </c>
      <c r="F31" s="121" t="s">
        <v>559</v>
      </c>
    </row>
    <row r="32" ht="22.5" customHeight="1">
      <c r="A32" s="121" t="s">
        <v>40</v>
      </c>
      <c r="B32" s="122">
        <v>31.0</v>
      </c>
      <c r="C32" s="122">
        <v>28.0</v>
      </c>
      <c r="D32" s="121" t="s">
        <v>458</v>
      </c>
      <c r="E32" s="122">
        <v>9.381015186E9</v>
      </c>
      <c r="F32" s="121" t="s">
        <v>571</v>
      </c>
    </row>
    <row r="33" ht="22.5" customHeight="1">
      <c r="A33" s="121" t="s">
        <v>41</v>
      </c>
      <c r="B33" s="122">
        <v>32.0</v>
      </c>
      <c r="C33" s="122">
        <v>13.0</v>
      </c>
      <c r="D33" s="121" t="s">
        <v>458</v>
      </c>
      <c r="E33" s="122">
        <v>9.552278383E9</v>
      </c>
      <c r="F33" s="121" t="s">
        <v>573</v>
      </c>
    </row>
    <row r="34" ht="22.5" customHeight="1">
      <c r="A34" s="121" t="s">
        <v>42</v>
      </c>
      <c r="B34" s="122">
        <v>33.0</v>
      </c>
      <c r="C34" s="122">
        <v>40.0</v>
      </c>
      <c r="D34" s="121" t="s">
        <v>447</v>
      </c>
      <c r="E34" s="122">
        <v>8.369232493E9</v>
      </c>
      <c r="F34" s="121" t="s">
        <v>575</v>
      </c>
    </row>
    <row r="35" ht="22.5" customHeight="1">
      <c r="A35" s="121" t="s">
        <v>43</v>
      </c>
      <c r="B35" s="122">
        <v>34.0</v>
      </c>
      <c r="C35" s="122">
        <v>33.0</v>
      </c>
      <c r="D35" s="121" t="s">
        <v>1583</v>
      </c>
      <c r="E35" s="122">
        <v>7.667643221E9</v>
      </c>
      <c r="F35" s="121" t="s">
        <v>1583</v>
      </c>
    </row>
    <row r="36" ht="22.5" customHeight="1">
      <c r="A36" s="121" t="s">
        <v>44</v>
      </c>
      <c r="B36" s="122">
        <v>35.0</v>
      </c>
      <c r="C36" s="122">
        <v>20.0</v>
      </c>
      <c r="D36" s="121" t="s">
        <v>441</v>
      </c>
      <c r="E36" s="122">
        <v>8.015363385E9</v>
      </c>
      <c r="F36" s="121" t="s">
        <v>585</v>
      </c>
    </row>
    <row r="37" ht="22.5" customHeight="1">
      <c r="A37" s="121" t="s">
        <v>45</v>
      </c>
      <c r="B37" s="122">
        <v>36.0</v>
      </c>
      <c r="C37" s="122">
        <v>15.0</v>
      </c>
      <c r="D37" s="121" t="s">
        <v>458</v>
      </c>
      <c r="E37" s="122">
        <v>9.584231441E9</v>
      </c>
      <c r="F37" s="121" t="s">
        <v>589</v>
      </c>
    </row>
    <row r="38" ht="22.5" customHeight="1">
      <c r="A38" s="121" t="s">
        <v>46</v>
      </c>
      <c r="B38" s="122">
        <v>37.0</v>
      </c>
      <c r="C38" s="122">
        <v>18.0</v>
      </c>
      <c r="D38" s="121" t="s">
        <v>458</v>
      </c>
      <c r="E38" s="122">
        <v>7.620396824E9</v>
      </c>
      <c r="F38" s="121" t="s">
        <v>722</v>
      </c>
    </row>
    <row r="39" ht="22.5" customHeight="1">
      <c r="A39" s="121" t="s">
        <v>47</v>
      </c>
      <c r="B39" s="122">
        <v>38.0</v>
      </c>
      <c r="C39" s="122">
        <v>30.0</v>
      </c>
      <c r="D39" s="121" t="s">
        <v>487</v>
      </c>
      <c r="E39" s="122">
        <v>9.561195563E9</v>
      </c>
      <c r="F39" s="121" t="s">
        <v>593</v>
      </c>
    </row>
    <row r="40" ht="22.5" customHeight="1">
      <c r="A40" s="121" t="s">
        <v>48</v>
      </c>
      <c r="B40" s="122">
        <v>39.0</v>
      </c>
      <c r="C40" s="122">
        <v>19.0</v>
      </c>
      <c r="D40" s="121" t="s">
        <v>1583</v>
      </c>
      <c r="E40" s="122">
        <v>9.404825525E9</v>
      </c>
      <c r="F40" s="121" t="s">
        <v>1583</v>
      </c>
    </row>
    <row r="41" ht="22.5" customHeight="1">
      <c r="A41" s="121" t="s">
        <v>49</v>
      </c>
      <c r="B41" s="122">
        <v>40.0</v>
      </c>
      <c r="C41" s="122">
        <v>19.0</v>
      </c>
      <c r="D41" s="121" t="s">
        <v>458</v>
      </c>
      <c r="E41" s="122">
        <v>9.406635227E9</v>
      </c>
      <c r="F41" s="121" t="s">
        <v>601</v>
      </c>
    </row>
    <row r="42" ht="22.5" customHeight="1">
      <c r="A42" s="121" t="s">
        <v>50</v>
      </c>
      <c r="B42" s="122">
        <v>41.0</v>
      </c>
      <c r="C42" s="122">
        <v>35.0</v>
      </c>
      <c r="D42" s="121" t="s">
        <v>604</v>
      </c>
      <c r="E42" s="122">
        <v>9.821127986E9</v>
      </c>
      <c r="F42" s="121" t="s">
        <v>606</v>
      </c>
    </row>
    <row r="43" ht="22.5" customHeight="1">
      <c r="A43" s="121" t="s">
        <v>51</v>
      </c>
      <c r="B43" s="122">
        <v>42.0</v>
      </c>
      <c r="C43" s="122">
        <v>18.0</v>
      </c>
      <c r="D43" s="121" t="s">
        <v>458</v>
      </c>
      <c r="E43" s="122">
        <v>9.824379449E9</v>
      </c>
      <c r="F43" s="121" t="s">
        <v>613</v>
      </c>
    </row>
    <row r="44" ht="22.5" customHeight="1">
      <c r="A44" s="121" t="s">
        <v>52</v>
      </c>
      <c r="B44" s="122">
        <v>43.0</v>
      </c>
      <c r="C44" s="122">
        <v>43.0</v>
      </c>
      <c r="D44" s="121" t="s">
        <v>447</v>
      </c>
      <c r="E44" s="122">
        <v>9.819992095E9</v>
      </c>
      <c r="F44" s="121" t="s">
        <v>620</v>
      </c>
    </row>
    <row r="45" ht="22.5" customHeight="1">
      <c r="A45" s="121" t="s">
        <v>53</v>
      </c>
      <c r="B45" s="122">
        <v>44.0</v>
      </c>
      <c r="C45" s="122">
        <v>20.0</v>
      </c>
      <c r="D45" s="121" t="s">
        <v>1583</v>
      </c>
      <c r="E45" s="122">
        <v>8.980189111E9</v>
      </c>
      <c r="F45" s="121" t="s">
        <v>1583</v>
      </c>
    </row>
    <row r="46" ht="22.5" customHeight="1">
      <c r="A46" s="121" t="s">
        <v>54</v>
      </c>
      <c r="B46" s="122">
        <v>45.0</v>
      </c>
      <c r="C46" s="122">
        <v>28.0</v>
      </c>
      <c r="D46" s="121" t="s">
        <v>458</v>
      </c>
      <c r="E46" s="122">
        <v>7.760976547E9</v>
      </c>
      <c r="F46" s="121" t="s">
        <v>624</v>
      </c>
    </row>
    <row r="47" ht="22.5" customHeight="1">
      <c r="A47" s="121" t="s">
        <v>55</v>
      </c>
      <c r="B47" s="122">
        <v>46.0</v>
      </c>
      <c r="C47" s="122">
        <v>21.0</v>
      </c>
      <c r="D47" s="121" t="s">
        <v>447</v>
      </c>
      <c r="E47" s="122">
        <v>9.32400493E9</v>
      </c>
      <c r="F47" s="121" t="s">
        <v>632</v>
      </c>
    </row>
    <row r="48" ht="22.5" customHeight="1">
      <c r="A48" s="121" t="s">
        <v>56</v>
      </c>
      <c r="B48" s="122">
        <v>47.0</v>
      </c>
      <c r="C48" s="122">
        <v>18.0</v>
      </c>
      <c r="D48" s="121" t="s">
        <v>441</v>
      </c>
      <c r="E48" s="122">
        <v>8.880898189E9</v>
      </c>
      <c r="F48" s="121" t="s">
        <v>636</v>
      </c>
    </row>
    <row r="49" ht="22.5" customHeight="1">
      <c r="A49" s="121" t="s">
        <v>57</v>
      </c>
      <c r="B49" s="122">
        <v>48.0</v>
      </c>
      <c r="C49" s="122">
        <v>22.0</v>
      </c>
      <c r="D49" s="121" t="s">
        <v>487</v>
      </c>
      <c r="E49" s="122">
        <v>9.004980513E9</v>
      </c>
      <c r="F49" s="121" t="s">
        <v>642</v>
      </c>
    </row>
    <row r="50" ht="22.5" customHeight="1">
      <c r="A50" s="121" t="s">
        <v>58</v>
      </c>
      <c r="B50" s="122">
        <v>49.0</v>
      </c>
      <c r="C50" s="122">
        <v>40.0</v>
      </c>
      <c r="D50" s="121" t="s">
        <v>447</v>
      </c>
      <c r="E50" s="122">
        <v>9.819292663E9</v>
      </c>
      <c r="F50" s="121" t="s">
        <v>639</v>
      </c>
    </row>
    <row r="51" ht="22.5" customHeight="1">
      <c r="A51" s="121" t="s">
        <v>59</v>
      </c>
      <c r="B51" s="122">
        <v>50.0</v>
      </c>
      <c r="C51" s="122">
        <v>18.0</v>
      </c>
      <c r="D51" s="121" t="s">
        <v>458</v>
      </c>
      <c r="E51" s="122">
        <v>9.892817726E9</v>
      </c>
      <c r="F51" s="121" t="s">
        <v>647</v>
      </c>
    </row>
    <row r="52" ht="22.5" customHeight="1">
      <c r="A52" s="121" t="s">
        <v>59</v>
      </c>
      <c r="B52" s="122">
        <v>51.0</v>
      </c>
      <c r="C52" s="122">
        <v>28.0</v>
      </c>
      <c r="D52" s="121" t="s">
        <v>458</v>
      </c>
      <c r="E52" s="122">
        <v>9.51062994E9</v>
      </c>
      <c r="F52" s="121" t="s">
        <v>644</v>
      </c>
    </row>
    <row r="53" ht="22.5" customHeight="1">
      <c r="A53" s="121" t="s">
        <v>60</v>
      </c>
      <c r="B53" s="122">
        <v>52.0</v>
      </c>
      <c r="C53" s="122">
        <v>18.0</v>
      </c>
      <c r="D53" s="121" t="s">
        <v>487</v>
      </c>
      <c r="E53" s="122">
        <v>9.004252646E9</v>
      </c>
      <c r="F53" s="121" t="s">
        <v>651</v>
      </c>
    </row>
    <row r="54" ht="22.5" customHeight="1">
      <c r="A54" s="121" t="s">
        <v>61</v>
      </c>
      <c r="B54" s="122">
        <v>53.0</v>
      </c>
      <c r="C54" s="122">
        <v>11.0</v>
      </c>
      <c r="D54" s="121" t="s">
        <v>1583</v>
      </c>
      <c r="E54" s="122">
        <v>9.820507278E9</v>
      </c>
      <c r="F54" s="121" t="s">
        <v>1583</v>
      </c>
    </row>
    <row r="55" ht="22.5" customHeight="1">
      <c r="A55" s="121" t="s">
        <v>62</v>
      </c>
      <c r="B55" s="122">
        <v>54.0</v>
      </c>
      <c r="C55" s="122">
        <v>34.0</v>
      </c>
      <c r="D55" s="121" t="s">
        <v>458</v>
      </c>
      <c r="E55" s="122">
        <v>9.986521644E9</v>
      </c>
      <c r="F55" s="121" t="s">
        <v>659</v>
      </c>
    </row>
    <row r="56" ht="22.5" customHeight="1">
      <c r="A56" s="121" t="s">
        <v>63</v>
      </c>
      <c r="B56" s="122">
        <v>55.0</v>
      </c>
      <c r="C56" s="122">
        <v>30.0</v>
      </c>
      <c r="D56" s="121" t="s">
        <v>447</v>
      </c>
      <c r="E56" s="122">
        <v>9.512447281E9</v>
      </c>
      <c r="F56" s="121" t="s">
        <v>663</v>
      </c>
    </row>
    <row r="57" ht="22.5" customHeight="1">
      <c r="A57" s="121" t="s">
        <v>64</v>
      </c>
      <c r="B57" s="122">
        <v>56.0</v>
      </c>
      <c r="C57" s="122">
        <v>21.0</v>
      </c>
      <c r="D57" s="121" t="s">
        <v>447</v>
      </c>
      <c r="E57" s="122">
        <v>9.590313474E9</v>
      </c>
      <c r="F57" s="121" t="s">
        <v>666</v>
      </c>
    </row>
    <row r="58" ht="22.5" customHeight="1">
      <c r="A58" s="121" t="s">
        <v>65</v>
      </c>
      <c r="B58" s="122">
        <v>57.0</v>
      </c>
      <c r="C58" s="122">
        <v>27.0</v>
      </c>
      <c r="D58" s="121" t="s">
        <v>447</v>
      </c>
      <c r="E58" s="122">
        <v>9.26036368E9</v>
      </c>
      <c r="F58" s="121" t="s">
        <v>670</v>
      </c>
    </row>
    <row r="59" ht="22.5" customHeight="1">
      <c r="A59" s="121" t="s">
        <v>66</v>
      </c>
      <c r="B59" s="122">
        <v>58.0</v>
      </c>
      <c r="C59" s="122">
        <v>14.0</v>
      </c>
      <c r="D59" s="121" t="s">
        <v>447</v>
      </c>
      <c r="E59" s="122">
        <v>9.824379449E9</v>
      </c>
      <c r="F59" s="121" t="s">
        <v>674</v>
      </c>
    </row>
    <row r="60" ht="22.5" customHeight="1">
      <c r="A60" s="121" t="s">
        <v>67</v>
      </c>
      <c r="B60" s="122">
        <v>59.0</v>
      </c>
      <c r="C60" s="122">
        <v>20.0</v>
      </c>
      <c r="D60" s="121" t="s">
        <v>458</v>
      </c>
      <c r="E60" s="122">
        <v>8.310278103E9</v>
      </c>
      <c r="F60" s="121" t="s">
        <v>678</v>
      </c>
    </row>
    <row r="61" ht="22.5" customHeight="1">
      <c r="A61" s="121" t="s">
        <v>68</v>
      </c>
      <c r="B61" s="122">
        <v>60.0</v>
      </c>
      <c r="C61" s="122">
        <v>21.0</v>
      </c>
      <c r="D61" s="121" t="s">
        <v>1583</v>
      </c>
      <c r="E61" s="122">
        <v>6.262547164E9</v>
      </c>
      <c r="F61" s="121" t="s">
        <v>1583</v>
      </c>
    </row>
    <row r="62" ht="22.5" customHeight="1">
      <c r="A62" s="121" t="s">
        <v>69</v>
      </c>
      <c r="B62" s="122">
        <v>61.0</v>
      </c>
      <c r="C62" s="122">
        <v>24.0</v>
      </c>
      <c r="D62" s="121" t="s">
        <v>1583</v>
      </c>
      <c r="E62" s="122">
        <v>7.498959194E9</v>
      </c>
      <c r="F62" s="121" t="s">
        <v>1583</v>
      </c>
    </row>
    <row r="63" ht="22.5" customHeight="1">
      <c r="A63" s="121" t="s">
        <v>70</v>
      </c>
      <c r="B63" s="122">
        <v>62.0</v>
      </c>
      <c r="C63" s="122">
        <v>20.0</v>
      </c>
      <c r="D63" s="121" t="s">
        <v>1583</v>
      </c>
      <c r="E63" s="122">
        <v>8.591664343E9</v>
      </c>
      <c r="F63" s="121" t="s">
        <v>1583</v>
      </c>
    </row>
    <row r="64" ht="22.5" customHeight="1">
      <c r="A64" s="121" t="s">
        <v>71</v>
      </c>
      <c r="B64" s="122">
        <v>63.0</v>
      </c>
      <c r="C64" s="122">
        <v>19.0</v>
      </c>
      <c r="D64" s="121" t="s">
        <v>447</v>
      </c>
      <c r="E64" s="122">
        <v>9.833648799E9</v>
      </c>
      <c r="F64" s="121" t="s">
        <v>681</v>
      </c>
    </row>
    <row r="65" ht="22.5" customHeight="1">
      <c r="A65" s="121" t="s">
        <v>72</v>
      </c>
      <c r="B65" s="122">
        <v>64.0</v>
      </c>
      <c r="C65" s="122">
        <v>21.0</v>
      </c>
      <c r="D65" s="121" t="s">
        <v>1583</v>
      </c>
      <c r="E65" s="122">
        <v>8.431311533E9</v>
      </c>
      <c r="F65" s="121" t="s">
        <v>1583</v>
      </c>
    </row>
    <row r="66" ht="22.5" customHeight="1">
      <c r="A66" s="121" t="s">
        <v>73</v>
      </c>
      <c r="B66" s="122">
        <v>65.0</v>
      </c>
      <c r="C66" s="122">
        <v>19.0</v>
      </c>
      <c r="D66" s="121" t="s">
        <v>447</v>
      </c>
      <c r="E66" s="122">
        <v>9.399918201E9</v>
      </c>
      <c r="F66" s="121" t="s">
        <v>685</v>
      </c>
    </row>
    <row r="67" ht="22.5" customHeight="1">
      <c r="A67" s="121" t="s">
        <v>74</v>
      </c>
      <c r="B67" s="122">
        <v>66.0</v>
      </c>
      <c r="C67" s="122">
        <v>21.0</v>
      </c>
      <c r="D67" s="121" t="s">
        <v>1583</v>
      </c>
      <c r="E67" s="122">
        <v>7.434966909E9</v>
      </c>
      <c r="F67" s="121" t="s">
        <v>1583</v>
      </c>
    </row>
    <row r="68" ht="22.5" customHeight="1">
      <c r="A68" s="121" t="s">
        <v>75</v>
      </c>
      <c r="B68" s="122">
        <v>67.0</v>
      </c>
      <c r="C68" s="122">
        <v>21.0</v>
      </c>
      <c r="D68" s="121" t="s">
        <v>1583</v>
      </c>
      <c r="E68" s="122">
        <v>9.499545916E9</v>
      </c>
      <c r="F68" s="121" t="s">
        <v>1583</v>
      </c>
    </row>
    <row r="69" ht="22.5" customHeight="1">
      <c r="A69" s="121" t="s">
        <v>76</v>
      </c>
      <c r="B69" s="122">
        <v>68.0</v>
      </c>
      <c r="C69" s="122">
        <v>20.0</v>
      </c>
      <c r="D69" s="121" t="s">
        <v>458</v>
      </c>
      <c r="E69" s="122">
        <v>9.265598308E9</v>
      </c>
      <c r="F69" s="121" t="s">
        <v>689</v>
      </c>
    </row>
    <row r="70" ht="22.5" customHeight="1">
      <c r="A70" s="121" t="s">
        <v>77</v>
      </c>
      <c r="B70" s="122">
        <v>69.0</v>
      </c>
      <c r="C70" s="122">
        <v>19.0</v>
      </c>
      <c r="D70" s="121" t="s">
        <v>1583</v>
      </c>
      <c r="E70" s="122">
        <v>7.361003004E9</v>
      </c>
      <c r="F70" s="121" t="s">
        <v>1583</v>
      </c>
    </row>
    <row r="71" ht="22.5" customHeight="1">
      <c r="A71" s="121" t="s">
        <v>78</v>
      </c>
      <c r="B71" s="122">
        <v>70.0</v>
      </c>
      <c r="C71" s="122">
        <v>25.0</v>
      </c>
      <c r="D71" s="121" t="s">
        <v>441</v>
      </c>
      <c r="E71" s="122">
        <v>9.974173115E9</v>
      </c>
      <c r="F71" s="121" t="s">
        <v>692</v>
      </c>
    </row>
    <row r="72" ht="22.5" customHeight="1">
      <c r="A72" s="121" t="s">
        <v>79</v>
      </c>
      <c r="B72" s="122">
        <v>71.0</v>
      </c>
      <c r="C72" s="122">
        <v>16.0</v>
      </c>
      <c r="D72" s="121" t="s">
        <v>1583</v>
      </c>
      <c r="E72" s="122">
        <v>7.999136791E9</v>
      </c>
      <c r="F72" s="121" t="s">
        <v>1583</v>
      </c>
    </row>
    <row r="73" ht="22.5" customHeight="1">
      <c r="A73" s="121" t="s">
        <v>80</v>
      </c>
      <c r="B73" s="122">
        <v>72.0</v>
      </c>
      <c r="C73" s="122">
        <v>19.0</v>
      </c>
      <c r="D73" s="121" t="s">
        <v>487</v>
      </c>
      <c r="E73" s="122">
        <v>9.825446981E9</v>
      </c>
      <c r="F73" s="121" t="s">
        <v>696</v>
      </c>
    </row>
    <row r="74" ht="22.5" customHeight="1">
      <c r="A74" s="121" t="s">
        <v>81</v>
      </c>
      <c r="B74" s="122">
        <v>73.0</v>
      </c>
      <c r="C74" s="122">
        <v>18.0</v>
      </c>
      <c r="D74" s="121" t="s">
        <v>447</v>
      </c>
      <c r="E74" s="122">
        <v>9.426325854E9</v>
      </c>
      <c r="F74" s="121" t="s">
        <v>698</v>
      </c>
    </row>
    <row r="75" ht="22.5" customHeight="1">
      <c r="A75" s="121" t="s">
        <v>82</v>
      </c>
      <c r="B75" s="122">
        <v>74.0</v>
      </c>
      <c r="C75" s="122">
        <v>24.0</v>
      </c>
      <c r="D75" s="121" t="s">
        <v>447</v>
      </c>
      <c r="E75" s="122">
        <v>9.423368067E9</v>
      </c>
      <c r="F75" s="121" t="s">
        <v>701</v>
      </c>
    </row>
    <row r="76" ht="22.5" customHeight="1">
      <c r="A76" s="121" t="s">
        <v>83</v>
      </c>
      <c r="B76" s="122">
        <v>75.0</v>
      </c>
      <c r="C76" s="122">
        <v>20.0</v>
      </c>
      <c r="D76" s="121" t="s">
        <v>1583</v>
      </c>
      <c r="E76" s="122">
        <v>7.04908267E9</v>
      </c>
      <c r="F76" s="121" t="s">
        <v>1583</v>
      </c>
    </row>
    <row r="77" ht="22.5" customHeight="1">
      <c r="A77" s="121" t="s">
        <v>84</v>
      </c>
      <c r="B77" s="122">
        <v>76.0</v>
      </c>
      <c r="C77" s="122">
        <v>25.0</v>
      </c>
      <c r="D77" s="121" t="s">
        <v>447</v>
      </c>
      <c r="E77" s="122">
        <v>8.850502382E9</v>
      </c>
      <c r="F77" s="121" t="s">
        <v>711</v>
      </c>
    </row>
    <row r="78" ht="22.5" customHeight="1">
      <c r="A78" s="121" t="s">
        <v>85</v>
      </c>
      <c r="B78" s="122">
        <v>77.0</v>
      </c>
      <c r="C78" s="122">
        <v>22.0</v>
      </c>
      <c r="D78" s="121" t="s">
        <v>447</v>
      </c>
      <c r="E78" s="122">
        <v>9.699946077E9</v>
      </c>
      <c r="F78" s="121" t="s">
        <v>718</v>
      </c>
    </row>
    <row r="79" ht="22.5" customHeight="1">
      <c r="A79" s="121" t="s">
        <v>86</v>
      </c>
      <c r="B79" s="122">
        <v>78.0</v>
      </c>
      <c r="C79" s="122">
        <v>28.0</v>
      </c>
      <c r="D79" s="121" t="s">
        <v>1583</v>
      </c>
      <c r="E79" s="122">
        <v>7.01673067E9</v>
      </c>
      <c r="F79" s="121" t="s">
        <v>1583</v>
      </c>
    </row>
    <row r="80" ht="22.5" customHeight="1">
      <c r="A80" s="121" t="s">
        <v>87</v>
      </c>
      <c r="B80" s="122">
        <v>79.0</v>
      </c>
      <c r="C80" s="122">
        <v>27.0</v>
      </c>
      <c r="D80" s="121" t="s">
        <v>447</v>
      </c>
      <c r="E80" s="122">
        <v>9.923604321E9</v>
      </c>
      <c r="F80" s="121" t="s">
        <v>726</v>
      </c>
    </row>
    <row r="81" ht="22.5" customHeight="1">
      <c r="A81" s="121" t="s">
        <v>88</v>
      </c>
      <c r="B81" s="122">
        <v>80.0</v>
      </c>
      <c r="C81" s="122">
        <v>20.0</v>
      </c>
      <c r="D81" s="121" t="s">
        <v>1583</v>
      </c>
      <c r="E81" s="122">
        <v>7.738668568E9</v>
      </c>
      <c r="F81" s="121" t="s">
        <v>1583</v>
      </c>
    </row>
    <row r="82" ht="22.5" customHeight="1">
      <c r="A82" s="121" t="s">
        <v>89</v>
      </c>
      <c r="B82" s="122">
        <v>81.0</v>
      </c>
      <c r="C82" s="122">
        <v>22.0</v>
      </c>
      <c r="D82" s="121" t="s">
        <v>447</v>
      </c>
      <c r="E82" s="122">
        <v>9.821355636E9</v>
      </c>
      <c r="F82" s="121" t="s">
        <v>729</v>
      </c>
    </row>
    <row r="83" ht="22.5" customHeight="1">
      <c r="A83" s="121" t="s">
        <v>90</v>
      </c>
      <c r="B83" s="122">
        <v>82.0</v>
      </c>
      <c r="C83" s="122">
        <v>18.0</v>
      </c>
      <c r="D83" s="121" t="s">
        <v>487</v>
      </c>
      <c r="E83" s="122">
        <v>9.653151546E9</v>
      </c>
      <c r="F83" s="121" t="s">
        <v>732</v>
      </c>
    </row>
    <row r="84" ht="22.5" customHeight="1">
      <c r="A84" s="121" t="s">
        <v>91</v>
      </c>
      <c r="B84" s="122">
        <v>83.0</v>
      </c>
      <c r="C84" s="122">
        <v>50.0</v>
      </c>
      <c r="D84" s="121" t="s">
        <v>458</v>
      </c>
      <c r="E84" s="122">
        <v>9.820183544E9</v>
      </c>
      <c r="F84" s="121" t="s">
        <v>737</v>
      </c>
    </row>
    <row r="85" ht="22.5" customHeight="1">
      <c r="A85" s="121" t="s">
        <v>92</v>
      </c>
      <c r="B85" s="122">
        <v>84.0</v>
      </c>
      <c r="C85" s="122">
        <v>12.0</v>
      </c>
      <c r="D85" s="121" t="s">
        <v>447</v>
      </c>
      <c r="E85" s="122">
        <v>7.977736076E9</v>
      </c>
      <c r="F85" s="121" t="s">
        <v>740</v>
      </c>
    </row>
    <row r="86" ht="22.5" customHeight="1">
      <c r="A86" s="121" t="s">
        <v>93</v>
      </c>
      <c r="B86" s="122">
        <v>85.0</v>
      </c>
      <c r="C86" s="122">
        <v>21.0</v>
      </c>
      <c r="D86" s="121" t="s">
        <v>441</v>
      </c>
      <c r="E86" s="122">
        <v>9.324842615E9</v>
      </c>
      <c r="F86" s="121" t="s">
        <v>744</v>
      </c>
    </row>
    <row r="87" ht="22.5" customHeight="1">
      <c r="A87" s="121" t="s">
        <v>94</v>
      </c>
      <c r="B87" s="122">
        <v>86.0</v>
      </c>
      <c r="C87" s="122">
        <v>25.0</v>
      </c>
      <c r="D87" s="121" t="s">
        <v>487</v>
      </c>
      <c r="E87" s="122">
        <v>9.821273773E9</v>
      </c>
      <c r="F87" s="121" t="s">
        <v>750</v>
      </c>
    </row>
    <row r="88" ht="22.5" customHeight="1">
      <c r="A88" s="121" t="s">
        <v>95</v>
      </c>
      <c r="B88" s="122">
        <v>87.0</v>
      </c>
      <c r="C88" s="122">
        <v>24.0</v>
      </c>
      <c r="D88" s="121" t="s">
        <v>1583</v>
      </c>
      <c r="E88" s="122">
        <v>8.169441735E9</v>
      </c>
      <c r="F88" s="121" t="s">
        <v>1583</v>
      </c>
    </row>
    <row r="89" ht="22.5" customHeight="1">
      <c r="A89" s="121" t="s">
        <v>96</v>
      </c>
      <c r="B89" s="122">
        <v>88.0</v>
      </c>
      <c r="C89" s="122">
        <v>22.0</v>
      </c>
      <c r="D89" s="121" t="s">
        <v>447</v>
      </c>
      <c r="E89" s="122">
        <v>9.821116177E9</v>
      </c>
      <c r="F89" s="121" t="s">
        <v>753</v>
      </c>
    </row>
    <row r="90" ht="22.5" customHeight="1">
      <c r="A90" s="121" t="s">
        <v>97</v>
      </c>
      <c r="B90" s="122">
        <v>89.0</v>
      </c>
      <c r="C90" s="122">
        <v>21.0</v>
      </c>
      <c r="D90" s="121" t="s">
        <v>487</v>
      </c>
      <c r="E90" s="122">
        <v>7.977757478E9</v>
      </c>
      <c r="F90" s="121" t="s">
        <v>756</v>
      </c>
    </row>
    <row r="91" ht="22.5" customHeight="1">
      <c r="A91" s="121" t="s">
        <v>98</v>
      </c>
      <c r="B91" s="122">
        <v>90.0</v>
      </c>
      <c r="C91" s="122">
        <v>42.0</v>
      </c>
      <c r="D91" s="121" t="s">
        <v>447</v>
      </c>
      <c r="E91" s="122">
        <v>8.097675227E9</v>
      </c>
      <c r="F91" s="121" t="s">
        <v>760</v>
      </c>
    </row>
    <row r="92" ht="22.5" customHeight="1">
      <c r="A92" s="121" t="s">
        <v>99</v>
      </c>
      <c r="B92" s="122">
        <v>91.0</v>
      </c>
      <c r="C92" s="122">
        <v>18.0</v>
      </c>
      <c r="D92" s="121" t="s">
        <v>441</v>
      </c>
      <c r="E92" s="122">
        <v>8.976230296E9</v>
      </c>
      <c r="F92" s="121" t="s">
        <v>764</v>
      </c>
    </row>
    <row r="93" ht="22.5" customHeight="1">
      <c r="A93" s="121" t="s">
        <v>100</v>
      </c>
      <c r="B93" s="122">
        <v>92.0</v>
      </c>
      <c r="C93" s="122">
        <v>17.0</v>
      </c>
      <c r="D93" s="121" t="s">
        <v>447</v>
      </c>
      <c r="E93" s="122">
        <v>9.372446603E9</v>
      </c>
      <c r="F93" s="121" t="s">
        <v>770</v>
      </c>
    </row>
    <row r="94" ht="22.5" customHeight="1">
      <c r="A94" s="121" t="s">
        <v>101</v>
      </c>
      <c r="B94" s="122">
        <v>93.0</v>
      </c>
      <c r="C94" s="122">
        <v>21.0</v>
      </c>
      <c r="D94" s="121" t="s">
        <v>458</v>
      </c>
      <c r="E94" s="122">
        <v>9.820211078E9</v>
      </c>
      <c r="F94" s="121" t="s">
        <v>772</v>
      </c>
    </row>
    <row r="95" ht="22.5" customHeight="1">
      <c r="A95" s="121" t="s">
        <v>102</v>
      </c>
      <c r="B95" s="122">
        <v>94.0</v>
      </c>
      <c r="C95" s="122">
        <v>22.0</v>
      </c>
      <c r="D95" s="121" t="s">
        <v>458</v>
      </c>
      <c r="E95" s="122">
        <v>7.666444892E9</v>
      </c>
      <c r="F95" s="121" t="s">
        <v>774</v>
      </c>
    </row>
    <row r="96" ht="22.5" customHeight="1">
      <c r="A96" s="121" t="s">
        <v>103</v>
      </c>
      <c r="B96" s="122">
        <v>95.0</v>
      </c>
      <c r="C96" s="122">
        <v>25.0</v>
      </c>
      <c r="D96" s="121" t="s">
        <v>458</v>
      </c>
      <c r="E96" s="122">
        <v>7.665555146E9</v>
      </c>
      <c r="F96" s="121" t="s">
        <v>778</v>
      </c>
    </row>
    <row r="97" ht="22.5" customHeight="1">
      <c r="A97" s="121" t="s">
        <v>104</v>
      </c>
      <c r="B97" s="122">
        <v>96.0</v>
      </c>
      <c r="C97" s="122">
        <v>18.0</v>
      </c>
      <c r="D97" s="121" t="s">
        <v>1583</v>
      </c>
      <c r="E97" s="122">
        <v>9.098957331E9</v>
      </c>
      <c r="F97" s="121" t="s">
        <v>1583</v>
      </c>
    </row>
    <row r="98" ht="22.5" customHeight="1">
      <c r="A98" s="121" t="s">
        <v>105</v>
      </c>
      <c r="B98" s="122">
        <v>97.0</v>
      </c>
      <c r="C98" s="122">
        <v>20.0</v>
      </c>
      <c r="D98" s="121" t="s">
        <v>487</v>
      </c>
      <c r="E98" s="122">
        <v>9.1311541E9</v>
      </c>
      <c r="F98" s="121" t="s">
        <v>781</v>
      </c>
    </row>
    <row r="99" ht="22.5" customHeight="1">
      <c r="A99" s="121" t="s">
        <v>106</v>
      </c>
      <c r="B99" s="122">
        <v>98.0</v>
      </c>
      <c r="C99" s="122">
        <v>40.0</v>
      </c>
      <c r="D99" s="121" t="s">
        <v>447</v>
      </c>
      <c r="E99" s="122">
        <v>7.874182849E9</v>
      </c>
      <c r="F99" s="121" t="s">
        <v>784</v>
      </c>
    </row>
    <row r="100" ht="22.5" customHeight="1">
      <c r="A100" s="121" t="s">
        <v>107</v>
      </c>
      <c r="B100" s="122">
        <v>99.0</v>
      </c>
      <c r="C100" s="122">
        <v>21.0</v>
      </c>
      <c r="D100" s="121" t="s">
        <v>1583</v>
      </c>
      <c r="E100" s="122">
        <v>9.307690459E9</v>
      </c>
      <c r="F100" s="121" t="s">
        <v>1583</v>
      </c>
    </row>
    <row r="101" ht="22.5" customHeight="1">
      <c r="A101" s="121" t="s">
        <v>108</v>
      </c>
      <c r="B101" s="122">
        <v>100.0</v>
      </c>
      <c r="C101" s="122">
        <v>20.0</v>
      </c>
      <c r="D101" s="121" t="s">
        <v>1583</v>
      </c>
      <c r="E101" s="122">
        <v>7.041204406E9</v>
      </c>
      <c r="F101" s="121" t="s">
        <v>1583</v>
      </c>
    </row>
    <row r="102" ht="22.5" customHeight="1">
      <c r="A102" s="121" t="s">
        <v>109</v>
      </c>
      <c r="B102" s="122">
        <v>101.0</v>
      </c>
      <c r="C102" s="122">
        <v>35.0</v>
      </c>
      <c r="D102" s="121" t="s">
        <v>447</v>
      </c>
      <c r="E102" s="122">
        <v>7.600032535E9</v>
      </c>
      <c r="F102" s="121" t="s">
        <v>793</v>
      </c>
    </row>
    <row r="103" ht="22.5" customHeight="1">
      <c r="A103" s="121" t="s">
        <v>110</v>
      </c>
      <c r="B103" s="122">
        <v>102.0</v>
      </c>
      <c r="C103" s="122">
        <v>25.0</v>
      </c>
      <c r="D103" s="121" t="s">
        <v>458</v>
      </c>
      <c r="E103" s="122">
        <v>9.32242988E9</v>
      </c>
      <c r="F103" s="121" t="s">
        <v>803</v>
      </c>
    </row>
    <row r="104" ht="22.5" customHeight="1">
      <c r="A104" s="121" t="s">
        <v>111</v>
      </c>
      <c r="B104" s="122">
        <v>103.0</v>
      </c>
      <c r="C104" s="122">
        <v>17.0</v>
      </c>
      <c r="D104" s="121" t="s">
        <v>447</v>
      </c>
      <c r="E104" s="122">
        <v>9.588089135E9</v>
      </c>
      <c r="F104" s="121" t="s">
        <v>810</v>
      </c>
    </row>
    <row r="105" ht="22.5" customHeight="1">
      <c r="A105" s="121" t="s">
        <v>112</v>
      </c>
      <c r="B105" s="122">
        <v>104.0</v>
      </c>
      <c r="C105" s="122">
        <v>23.0</v>
      </c>
      <c r="D105" s="121" t="s">
        <v>458</v>
      </c>
      <c r="E105" s="122">
        <v>8.970361972E9</v>
      </c>
      <c r="F105" s="121" t="s">
        <v>815</v>
      </c>
    </row>
    <row r="106" ht="22.5" customHeight="1">
      <c r="A106" s="121" t="s">
        <v>113</v>
      </c>
      <c r="B106" s="122">
        <v>105.0</v>
      </c>
      <c r="C106" s="122">
        <v>35.0</v>
      </c>
      <c r="D106" s="121" t="s">
        <v>447</v>
      </c>
      <c r="E106" s="122">
        <v>7.50730445E9</v>
      </c>
      <c r="F106" s="121" t="s">
        <v>818</v>
      </c>
    </row>
    <row r="107" ht="22.5" customHeight="1">
      <c r="A107" s="121" t="s">
        <v>114</v>
      </c>
      <c r="B107" s="122">
        <v>106.0</v>
      </c>
      <c r="C107" s="122">
        <v>21.0</v>
      </c>
      <c r="D107" s="121" t="s">
        <v>458</v>
      </c>
      <c r="E107" s="122">
        <v>9.307688441E9</v>
      </c>
      <c r="F107" s="121" t="s">
        <v>822</v>
      </c>
    </row>
    <row r="108" ht="22.5" customHeight="1">
      <c r="A108" s="121" t="s">
        <v>115</v>
      </c>
      <c r="B108" s="122">
        <v>107.0</v>
      </c>
      <c r="C108" s="122">
        <v>20.0</v>
      </c>
      <c r="D108" s="121" t="s">
        <v>1583</v>
      </c>
      <c r="E108" s="122">
        <v>7.303008851E9</v>
      </c>
      <c r="F108" s="121" t="s">
        <v>1583</v>
      </c>
    </row>
    <row r="109" ht="22.5" customHeight="1">
      <c r="A109" s="121" t="s">
        <v>116</v>
      </c>
      <c r="B109" s="122">
        <v>108.0</v>
      </c>
      <c r="C109" s="122">
        <v>18.0</v>
      </c>
      <c r="D109" s="121" t="s">
        <v>458</v>
      </c>
      <c r="E109" s="122">
        <v>9.284913366E9</v>
      </c>
      <c r="F109" s="121" t="s">
        <v>826</v>
      </c>
    </row>
    <row r="110" ht="22.5" customHeight="1">
      <c r="A110" s="121" t="s">
        <v>117</v>
      </c>
      <c r="B110" s="122">
        <v>109.0</v>
      </c>
      <c r="C110" s="122">
        <v>12.0</v>
      </c>
      <c r="D110" s="121" t="s">
        <v>447</v>
      </c>
      <c r="E110" s="122">
        <v>8.9895532E9</v>
      </c>
      <c r="F110" s="121" t="s">
        <v>830</v>
      </c>
    </row>
    <row r="111" ht="22.5" customHeight="1">
      <c r="A111" s="121" t="s">
        <v>118</v>
      </c>
      <c r="B111" s="122">
        <v>110.0</v>
      </c>
      <c r="C111" s="122">
        <v>25.0</v>
      </c>
      <c r="D111" s="121" t="s">
        <v>441</v>
      </c>
      <c r="E111" s="122">
        <v>9.81955033E9</v>
      </c>
      <c r="F111" s="121" t="s">
        <v>833</v>
      </c>
    </row>
    <row r="112" ht="22.5" customHeight="1">
      <c r="A112" s="121" t="s">
        <v>119</v>
      </c>
      <c r="B112" s="122">
        <v>111.0</v>
      </c>
      <c r="C112" s="122">
        <v>27.0</v>
      </c>
      <c r="D112" s="121" t="s">
        <v>458</v>
      </c>
      <c r="E112" s="122">
        <v>9.428631954E9</v>
      </c>
      <c r="F112" s="121" t="s">
        <v>836</v>
      </c>
    </row>
    <row r="113" ht="22.5" customHeight="1">
      <c r="A113" s="121" t="s">
        <v>120</v>
      </c>
      <c r="B113" s="122">
        <v>112.0</v>
      </c>
      <c r="C113" s="122">
        <v>23.0</v>
      </c>
      <c r="D113" s="121" t="s">
        <v>1583</v>
      </c>
      <c r="E113" s="122">
        <v>7.048433736E9</v>
      </c>
      <c r="F113" s="121" t="s">
        <v>1583</v>
      </c>
    </row>
    <row r="114" ht="22.5" customHeight="1">
      <c r="A114" s="121" t="s">
        <v>121</v>
      </c>
      <c r="B114" s="122">
        <v>113.0</v>
      </c>
      <c r="C114" s="122">
        <v>21.0</v>
      </c>
      <c r="D114" s="121" t="s">
        <v>447</v>
      </c>
      <c r="E114" s="122">
        <v>9.826553422E9</v>
      </c>
      <c r="F114" s="121" t="s">
        <v>840</v>
      </c>
    </row>
    <row r="115" ht="22.5" customHeight="1">
      <c r="A115" s="121" t="s">
        <v>122</v>
      </c>
      <c r="B115" s="122">
        <v>114.0</v>
      </c>
      <c r="C115" s="122">
        <v>20.0</v>
      </c>
      <c r="D115" s="121" t="s">
        <v>458</v>
      </c>
      <c r="E115" s="122">
        <v>9.423987099E9</v>
      </c>
      <c r="F115" s="121" t="s">
        <v>849</v>
      </c>
    </row>
    <row r="116" ht="22.5" customHeight="1">
      <c r="A116" s="121" t="s">
        <v>123</v>
      </c>
      <c r="B116" s="122">
        <v>115.0</v>
      </c>
      <c r="C116" s="122">
        <v>28.0</v>
      </c>
      <c r="D116" s="121" t="s">
        <v>447</v>
      </c>
      <c r="E116" s="122">
        <v>8.08760057E9</v>
      </c>
      <c r="F116" s="121" t="s">
        <v>851</v>
      </c>
    </row>
    <row r="117" ht="22.5" customHeight="1">
      <c r="A117" s="121" t="s">
        <v>124</v>
      </c>
      <c r="B117" s="122">
        <v>116.0</v>
      </c>
      <c r="C117" s="122" t="s">
        <v>423</v>
      </c>
      <c r="D117" s="121" t="s">
        <v>1583</v>
      </c>
      <c r="E117" s="122">
        <v>6.351438172E9</v>
      </c>
      <c r="F117" s="121" t="s">
        <v>1583</v>
      </c>
    </row>
    <row r="118" ht="22.5" customHeight="1">
      <c r="A118" s="121" t="s">
        <v>125</v>
      </c>
      <c r="B118" s="122">
        <v>117.0</v>
      </c>
      <c r="C118" s="122">
        <v>18.0</v>
      </c>
      <c r="D118" s="121" t="s">
        <v>458</v>
      </c>
      <c r="E118" s="122">
        <v>9.860017215E9</v>
      </c>
      <c r="F118" s="121" t="s">
        <v>1164</v>
      </c>
    </row>
    <row r="119" ht="22.5" customHeight="1">
      <c r="A119" s="121" t="s">
        <v>126</v>
      </c>
      <c r="B119" s="122">
        <v>118.0</v>
      </c>
      <c r="C119" s="122">
        <v>21.0</v>
      </c>
      <c r="D119" s="121" t="s">
        <v>487</v>
      </c>
      <c r="E119" s="122">
        <v>9.028983546E9</v>
      </c>
      <c r="F119" s="121" t="s">
        <v>857</v>
      </c>
    </row>
    <row r="120" ht="22.5" customHeight="1">
      <c r="A120" s="121" t="s">
        <v>127</v>
      </c>
      <c r="B120" s="122">
        <v>119.0</v>
      </c>
      <c r="C120" s="122">
        <v>34.0</v>
      </c>
      <c r="D120" s="121" t="s">
        <v>458</v>
      </c>
      <c r="E120" s="122">
        <v>7.796132865E9</v>
      </c>
      <c r="F120" s="121" t="s">
        <v>861</v>
      </c>
    </row>
    <row r="121" ht="22.5" customHeight="1">
      <c r="A121" s="121" t="s">
        <v>128</v>
      </c>
      <c r="B121" s="122">
        <v>120.0</v>
      </c>
      <c r="C121" s="122">
        <v>20.0</v>
      </c>
      <c r="D121" s="121" t="s">
        <v>487</v>
      </c>
      <c r="E121" s="122">
        <v>9.892089244E9</v>
      </c>
      <c r="F121" s="121" t="s">
        <v>863</v>
      </c>
    </row>
    <row r="122" ht="22.5" customHeight="1">
      <c r="A122" s="121" t="s">
        <v>129</v>
      </c>
      <c r="B122" s="122">
        <v>121.0</v>
      </c>
      <c r="C122" s="122">
        <v>21.0</v>
      </c>
      <c r="D122" s="121" t="s">
        <v>487</v>
      </c>
      <c r="E122" s="122">
        <v>7.977822575E9</v>
      </c>
      <c r="F122" s="121" t="s">
        <v>867</v>
      </c>
    </row>
    <row r="123" ht="22.5" customHeight="1">
      <c r="A123" s="121" t="s">
        <v>130</v>
      </c>
      <c r="B123" s="122">
        <v>122.0</v>
      </c>
      <c r="C123" s="122">
        <v>20.0</v>
      </c>
      <c r="D123" s="121" t="s">
        <v>1583</v>
      </c>
      <c r="E123" s="122" t="s">
        <v>424</v>
      </c>
      <c r="F123" s="121" t="s">
        <v>1583</v>
      </c>
    </row>
    <row r="124" ht="22.5" customHeight="1">
      <c r="A124" s="121" t="s">
        <v>131</v>
      </c>
      <c r="B124" s="122">
        <v>123.0</v>
      </c>
      <c r="C124" s="122">
        <v>32.0</v>
      </c>
      <c r="D124" s="121" t="s">
        <v>458</v>
      </c>
      <c r="E124" s="122">
        <v>9.981099807E9</v>
      </c>
      <c r="F124" s="121" t="s">
        <v>875</v>
      </c>
    </row>
    <row r="125" ht="22.5" customHeight="1">
      <c r="A125" s="121" t="s">
        <v>132</v>
      </c>
      <c r="B125" s="122">
        <v>124.0</v>
      </c>
      <c r="C125" s="122">
        <v>33.0</v>
      </c>
      <c r="D125" s="121" t="s">
        <v>1583</v>
      </c>
      <c r="E125" s="122" t="s">
        <v>425</v>
      </c>
      <c r="F125" s="121" t="s">
        <v>1583</v>
      </c>
    </row>
    <row r="126" ht="22.5" customHeight="1">
      <c r="A126" s="121" t="s">
        <v>133</v>
      </c>
      <c r="B126" s="122">
        <v>125.0</v>
      </c>
      <c r="C126" s="122">
        <v>14.0</v>
      </c>
      <c r="D126" s="121" t="s">
        <v>447</v>
      </c>
      <c r="E126" s="122">
        <v>7.97758999E9</v>
      </c>
      <c r="F126" s="121" t="s">
        <v>886</v>
      </c>
    </row>
    <row r="127" ht="22.5" customHeight="1">
      <c r="A127" s="121" t="s">
        <v>134</v>
      </c>
      <c r="B127" s="122">
        <v>126.0</v>
      </c>
      <c r="C127" s="122">
        <v>19.0</v>
      </c>
      <c r="D127" s="121" t="s">
        <v>1583</v>
      </c>
      <c r="E127" s="122">
        <v>9.981317839E9</v>
      </c>
      <c r="F127" s="121" t="s">
        <v>1583</v>
      </c>
    </row>
    <row r="128" ht="22.5" customHeight="1">
      <c r="A128" s="121" t="s">
        <v>135</v>
      </c>
      <c r="B128" s="122">
        <v>127.0</v>
      </c>
      <c r="C128" s="122">
        <v>18.0</v>
      </c>
      <c r="D128" s="121" t="s">
        <v>458</v>
      </c>
      <c r="E128" s="122">
        <v>9.821326788E9</v>
      </c>
      <c r="F128" s="121" t="s">
        <v>883</v>
      </c>
    </row>
    <row r="129" ht="22.5" customHeight="1">
      <c r="A129" s="121" t="s">
        <v>136</v>
      </c>
      <c r="B129" s="122">
        <v>128.0</v>
      </c>
      <c r="C129" s="122">
        <v>36.0</v>
      </c>
      <c r="D129" s="121" t="s">
        <v>487</v>
      </c>
      <c r="E129" s="122">
        <v>9.819913128E9</v>
      </c>
      <c r="F129" s="121" t="s">
        <v>891</v>
      </c>
    </row>
    <row r="130" ht="22.5" customHeight="1">
      <c r="A130" s="121" t="s">
        <v>137</v>
      </c>
      <c r="B130" s="122">
        <v>129.0</v>
      </c>
      <c r="C130" s="122">
        <v>19.0</v>
      </c>
      <c r="D130" s="121" t="s">
        <v>447</v>
      </c>
      <c r="E130" s="122">
        <v>9.511278842E9</v>
      </c>
      <c r="F130" s="121" t="s">
        <v>894</v>
      </c>
    </row>
    <row r="131" ht="22.5" customHeight="1">
      <c r="A131" s="121" t="s">
        <v>138</v>
      </c>
      <c r="B131" s="122">
        <v>130.0</v>
      </c>
      <c r="C131" s="122">
        <v>20.0</v>
      </c>
      <c r="D131" s="121" t="s">
        <v>1583</v>
      </c>
      <c r="E131" s="122">
        <v>7.044140827E9</v>
      </c>
      <c r="F131" s="121" t="s">
        <v>1583</v>
      </c>
    </row>
    <row r="132" ht="22.5" customHeight="1">
      <c r="A132" s="121" t="s">
        <v>139</v>
      </c>
      <c r="B132" s="122">
        <v>131.0</v>
      </c>
      <c r="C132" s="122">
        <v>17.0</v>
      </c>
      <c r="D132" s="121" t="s">
        <v>447</v>
      </c>
      <c r="E132" s="122">
        <v>9.201499006E9</v>
      </c>
      <c r="F132" s="121" t="s">
        <v>897</v>
      </c>
    </row>
    <row r="133" ht="22.5" customHeight="1">
      <c r="A133" s="121" t="s">
        <v>140</v>
      </c>
      <c r="B133" s="122">
        <v>132.0</v>
      </c>
      <c r="C133" s="122">
        <v>20.0</v>
      </c>
      <c r="D133" s="121" t="s">
        <v>447</v>
      </c>
      <c r="E133" s="122">
        <v>7.723013016E9</v>
      </c>
      <c r="F133" s="121" t="s">
        <v>901</v>
      </c>
    </row>
    <row r="134" ht="22.5" customHeight="1">
      <c r="A134" s="121" t="s">
        <v>141</v>
      </c>
      <c r="B134" s="122">
        <v>133.0</v>
      </c>
      <c r="C134" s="122">
        <v>24.0</v>
      </c>
      <c r="D134" s="121" t="s">
        <v>1583</v>
      </c>
      <c r="E134" s="122">
        <v>6.362178053E9</v>
      </c>
      <c r="F134" s="121" t="s">
        <v>1583</v>
      </c>
    </row>
    <row r="135" ht="22.5" customHeight="1">
      <c r="A135" s="121" t="s">
        <v>142</v>
      </c>
      <c r="B135" s="122">
        <v>134.0</v>
      </c>
      <c r="C135" s="122">
        <v>18.0</v>
      </c>
      <c r="D135" s="121" t="s">
        <v>447</v>
      </c>
      <c r="E135" s="122">
        <v>7.587676779E9</v>
      </c>
      <c r="F135" s="121" t="s">
        <v>905</v>
      </c>
    </row>
    <row r="136" ht="22.5" customHeight="1">
      <c r="A136" s="121" t="s">
        <v>143</v>
      </c>
      <c r="B136" s="122">
        <v>135.0</v>
      </c>
      <c r="C136" s="122">
        <v>18.0</v>
      </c>
      <c r="D136" s="121" t="s">
        <v>447</v>
      </c>
      <c r="E136" s="122">
        <v>8.169770863E9</v>
      </c>
      <c r="F136" s="121" t="s">
        <v>449</v>
      </c>
    </row>
    <row r="137" ht="22.5" customHeight="1">
      <c r="A137" s="121" t="s">
        <v>144</v>
      </c>
      <c r="B137" s="122">
        <v>136.0</v>
      </c>
      <c r="C137" s="122">
        <v>25.0</v>
      </c>
      <c r="D137" s="121" t="s">
        <v>487</v>
      </c>
      <c r="E137" s="122">
        <v>9.099469777E9</v>
      </c>
      <c r="F137" s="121" t="s">
        <v>789</v>
      </c>
    </row>
    <row r="138" ht="22.5" customHeight="1">
      <c r="A138" s="121" t="s">
        <v>145</v>
      </c>
      <c r="B138" s="122">
        <v>137.0</v>
      </c>
      <c r="C138" s="122">
        <v>24.0</v>
      </c>
      <c r="D138" s="121" t="s">
        <v>458</v>
      </c>
      <c r="E138" s="122">
        <v>7.378628919E9</v>
      </c>
      <c r="F138" s="121" t="s">
        <v>911</v>
      </c>
    </row>
    <row r="139" ht="22.5" customHeight="1">
      <c r="A139" s="121" t="s">
        <v>146</v>
      </c>
      <c r="B139" s="122">
        <v>138.0</v>
      </c>
      <c r="C139" s="122"/>
      <c r="D139" s="121" t="s">
        <v>1583</v>
      </c>
      <c r="E139" s="122">
        <v>9.945530782E9</v>
      </c>
      <c r="F139" s="121" t="s">
        <v>1583</v>
      </c>
    </row>
    <row r="140" ht="22.5" customHeight="1">
      <c r="A140" s="121" t="s">
        <v>147</v>
      </c>
      <c r="B140" s="122">
        <v>139.0</v>
      </c>
      <c r="C140" s="122">
        <v>23.0</v>
      </c>
      <c r="D140" s="121" t="s">
        <v>441</v>
      </c>
      <c r="E140" s="122">
        <v>9.890207967E9</v>
      </c>
      <c r="F140" s="121" t="s">
        <v>915</v>
      </c>
    </row>
    <row r="141" ht="22.5" customHeight="1">
      <c r="A141" s="121" t="s">
        <v>148</v>
      </c>
      <c r="B141" s="122">
        <v>140.0</v>
      </c>
      <c r="C141" s="122">
        <v>19.0</v>
      </c>
      <c r="D141" s="121" t="s">
        <v>487</v>
      </c>
      <c r="E141" s="122">
        <v>9.821536677E9</v>
      </c>
      <c r="F141" s="121" t="s">
        <v>917</v>
      </c>
    </row>
    <row r="142" ht="22.5" customHeight="1">
      <c r="A142" s="121" t="s">
        <v>149</v>
      </c>
      <c r="B142" s="122">
        <v>141.0</v>
      </c>
      <c r="C142" s="122">
        <v>20.0</v>
      </c>
      <c r="D142" s="121" t="s">
        <v>447</v>
      </c>
      <c r="E142" s="122">
        <v>7.021933066E9</v>
      </c>
      <c r="F142" s="121" t="s">
        <v>922</v>
      </c>
    </row>
    <row r="143" ht="22.5" customHeight="1">
      <c r="A143" s="121" t="s">
        <v>150</v>
      </c>
      <c r="B143" s="122">
        <v>142.0</v>
      </c>
      <c r="C143" s="122">
        <v>16.0</v>
      </c>
      <c r="D143" s="121" t="s">
        <v>487</v>
      </c>
      <c r="E143" s="122">
        <v>9.426143556E9</v>
      </c>
      <c r="F143" s="121" t="s">
        <v>925</v>
      </c>
    </row>
    <row r="144" ht="22.5" customHeight="1">
      <c r="A144" s="121" t="s">
        <v>151</v>
      </c>
      <c r="B144" s="122">
        <v>143.0</v>
      </c>
      <c r="C144" s="122">
        <v>20.0</v>
      </c>
      <c r="D144" s="121" t="s">
        <v>447</v>
      </c>
      <c r="E144" s="122">
        <v>8.275708867E9</v>
      </c>
      <c r="F144" s="121" t="s">
        <v>927</v>
      </c>
    </row>
    <row r="145" ht="22.5" customHeight="1">
      <c r="A145" s="121" t="s">
        <v>152</v>
      </c>
      <c r="B145" s="122">
        <v>144.0</v>
      </c>
      <c r="C145" s="122">
        <v>18.0</v>
      </c>
      <c r="D145" s="121" t="s">
        <v>447</v>
      </c>
      <c r="E145" s="122">
        <v>7.972119721E9</v>
      </c>
      <c r="F145" s="121" t="s">
        <v>930</v>
      </c>
    </row>
    <row r="146" ht="22.5" customHeight="1">
      <c r="A146" s="121" t="s">
        <v>153</v>
      </c>
      <c r="B146" s="122">
        <v>145.0</v>
      </c>
      <c r="C146" s="122">
        <v>18.0</v>
      </c>
      <c r="D146" s="121" t="s">
        <v>487</v>
      </c>
      <c r="E146" s="122">
        <v>9.768791435E9</v>
      </c>
      <c r="F146" s="121" t="s">
        <v>937</v>
      </c>
    </row>
    <row r="147" ht="22.5" customHeight="1">
      <c r="A147" s="121" t="s">
        <v>154</v>
      </c>
      <c r="B147" s="122">
        <v>146.0</v>
      </c>
      <c r="C147" s="122">
        <v>34.0</v>
      </c>
      <c r="D147" s="121" t="s">
        <v>441</v>
      </c>
      <c r="E147" s="122">
        <v>9.769211323E9</v>
      </c>
      <c r="F147" s="121" t="s">
        <v>940</v>
      </c>
    </row>
    <row r="148" ht="22.5" customHeight="1">
      <c r="A148" s="121" t="s">
        <v>155</v>
      </c>
      <c r="B148" s="122">
        <v>147.0</v>
      </c>
      <c r="C148" s="122">
        <v>25.0</v>
      </c>
      <c r="D148" s="121" t="s">
        <v>487</v>
      </c>
      <c r="E148" s="122">
        <v>9.425078821E9</v>
      </c>
      <c r="F148" s="121" t="s">
        <v>943</v>
      </c>
    </row>
    <row r="149" ht="22.5" customHeight="1">
      <c r="A149" s="121" t="s">
        <v>156</v>
      </c>
      <c r="B149" s="122">
        <v>148.0</v>
      </c>
      <c r="C149" s="122">
        <v>25.0</v>
      </c>
      <c r="D149" s="121" t="s">
        <v>441</v>
      </c>
      <c r="E149" s="122">
        <v>9.461631046E9</v>
      </c>
      <c r="F149" s="121" t="s">
        <v>946</v>
      </c>
    </row>
    <row r="150" ht="22.5" customHeight="1">
      <c r="A150" s="121" t="s">
        <v>157</v>
      </c>
      <c r="B150" s="122">
        <v>149.0</v>
      </c>
      <c r="C150" s="122">
        <v>19.0</v>
      </c>
      <c r="D150" s="121" t="s">
        <v>447</v>
      </c>
      <c r="E150" s="122">
        <v>9.429955322E9</v>
      </c>
      <c r="F150" s="121" t="s">
        <v>1302</v>
      </c>
    </row>
    <row r="151" ht="22.5" customHeight="1">
      <c r="A151" s="121" t="s">
        <v>158</v>
      </c>
      <c r="B151" s="122">
        <v>150.0</v>
      </c>
      <c r="C151" s="122">
        <v>20.0</v>
      </c>
      <c r="D151" s="121" t="s">
        <v>447</v>
      </c>
      <c r="E151" s="122">
        <v>9.768009909E9</v>
      </c>
      <c r="F151" s="121" t="s">
        <v>948</v>
      </c>
    </row>
    <row r="152" ht="22.5" customHeight="1">
      <c r="A152" s="121" t="s">
        <v>159</v>
      </c>
      <c r="B152" s="122">
        <v>151.0</v>
      </c>
      <c r="C152" s="122">
        <v>20.0</v>
      </c>
      <c r="D152" s="121" t="s">
        <v>458</v>
      </c>
      <c r="E152" s="122">
        <v>9.329833265E9</v>
      </c>
      <c r="F152" s="121" t="s">
        <v>952</v>
      </c>
    </row>
    <row r="153" ht="22.5" customHeight="1">
      <c r="A153" s="121" t="s">
        <v>160</v>
      </c>
      <c r="B153" s="122">
        <v>152.0</v>
      </c>
      <c r="C153" s="122">
        <v>25.0</v>
      </c>
      <c r="D153" s="121" t="s">
        <v>458</v>
      </c>
      <c r="E153" s="122">
        <v>9.360628001E9</v>
      </c>
      <c r="F153" s="121" t="s">
        <v>956</v>
      </c>
    </row>
    <row r="154" ht="22.5" customHeight="1">
      <c r="A154" s="121" t="s">
        <v>161</v>
      </c>
      <c r="B154" s="122">
        <v>153.0</v>
      </c>
      <c r="C154" s="122">
        <v>17.0</v>
      </c>
      <c r="D154" s="121" t="s">
        <v>487</v>
      </c>
      <c r="E154" s="122">
        <v>9.825977647E9</v>
      </c>
      <c r="F154" s="121" t="s">
        <v>959</v>
      </c>
    </row>
    <row r="155" ht="22.5" customHeight="1">
      <c r="A155" s="121" t="s">
        <v>162</v>
      </c>
      <c r="B155" s="122">
        <v>154.0</v>
      </c>
      <c r="C155" s="122">
        <v>17.0</v>
      </c>
      <c r="D155" s="121" t="s">
        <v>447</v>
      </c>
      <c r="E155" s="122">
        <v>9.424074711E9</v>
      </c>
      <c r="F155" s="121" t="s">
        <v>962</v>
      </c>
    </row>
    <row r="156" ht="22.5" customHeight="1">
      <c r="A156" s="121" t="s">
        <v>163</v>
      </c>
      <c r="B156" s="122">
        <v>155.0</v>
      </c>
      <c r="C156" s="122">
        <v>28.0</v>
      </c>
      <c r="D156" s="121" t="s">
        <v>447</v>
      </c>
      <c r="E156" s="122">
        <v>8.080592456E9</v>
      </c>
      <c r="F156" s="121" t="s">
        <v>967</v>
      </c>
    </row>
    <row r="157" ht="22.5" customHeight="1">
      <c r="A157" s="121" t="s">
        <v>164</v>
      </c>
      <c r="B157" s="122">
        <v>156.0</v>
      </c>
      <c r="C157" s="122">
        <v>33.0</v>
      </c>
      <c r="D157" s="121" t="s">
        <v>487</v>
      </c>
      <c r="E157" s="122">
        <v>9.945645101E9</v>
      </c>
      <c r="F157" s="121" t="s">
        <v>975</v>
      </c>
    </row>
    <row r="158" ht="22.5" customHeight="1">
      <c r="A158" s="121" t="s">
        <v>165</v>
      </c>
      <c r="B158" s="122">
        <v>157.0</v>
      </c>
      <c r="C158" s="122">
        <v>17.0</v>
      </c>
      <c r="D158" s="121" t="s">
        <v>1583</v>
      </c>
      <c r="E158" s="122">
        <v>9.4606688E9</v>
      </c>
      <c r="F158" s="121" t="s">
        <v>1583</v>
      </c>
    </row>
    <row r="159" ht="22.5" customHeight="1">
      <c r="A159" s="121" t="s">
        <v>166</v>
      </c>
      <c r="B159" s="122">
        <v>158.0</v>
      </c>
      <c r="C159" s="122">
        <v>23.0</v>
      </c>
      <c r="D159" s="121" t="s">
        <v>458</v>
      </c>
      <c r="E159" s="122">
        <v>9.300690969E9</v>
      </c>
      <c r="F159" s="121" t="s">
        <v>978</v>
      </c>
    </row>
    <row r="160" ht="22.5" customHeight="1">
      <c r="A160" s="121" t="s">
        <v>167</v>
      </c>
      <c r="B160" s="122">
        <v>159.0</v>
      </c>
      <c r="C160" s="122">
        <v>22.0</v>
      </c>
      <c r="D160" s="121" t="s">
        <v>447</v>
      </c>
      <c r="E160" s="122">
        <v>8.839176432E9</v>
      </c>
      <c r="F160" s="121" t="s">
        <v>980</v>
      </c>
    </row>
    <row r="161" ht="22.5" customHeight="1">
      <c r="A161" s="121" t="s">
        <v>168</v>
      </c>
      <c r="B161" s="122">
        <v>160.0</v>
      </c>
      <c r="C161" s="122">
        <v>21.0</v>
      </c>
      <c r="D161" s="121" t="s">
        <v>447</v>
      </c>
      <c r="E161" s="122">
        <v>9.004807254E9</v>
      </c>
      <c r="F161" s="121" t="s">
        <v>986</v>
      </c>
    </row>
    <row r="162" ht="22.5" customHeight="1">
      <c r="A162" s="121" t="s">
        <v>169</v>
      </c>
      <c r="B162" s="122">
        <v>161.0</v>
      </c>
      <c r="C162" s="122">
        <v>22.0</v>
      </c>
      <c r="D162" s="121" t="s">
        <v>447</v>
      </c>
      <c r="E162" s="122">
        <v>9.821328552E9</v>
      </c>
      <c r="F162" s="121" t="s">
        <v>983</v>
      </c>
    </row>
    <row r="163" ht="22.5" customHeight="1">
      <c r="A163" s="121" t="s">
        <v>170</v>
      </c>
      <c r="B163" s="122">
        <v>162.0</v>
      </c>
      <c r="C163" s="122">
        <v>19.0</v>
      </c>
      <c r="D163" s="121" t="s">
        <v>447</v>
      </c>
      <c r="E163" s="122">
        <v>9.109826847E9</v>
      </c>
      <c r="F163" s="121" t="s">
        <v>990</v>
      </c>
    </row>
    <row r="164" ht="22.5" customHeight="1">
      <c r="A164" s="121" t="s">
        <v>171</v>
      </c>
      <c r="B164" s="122">
        <v>163.0</v>
      </c>
      <c r="C164" s="122">
        <v>20.0</v>
      </c>
      <c r="D164" s="121" t="s">
        <v>487</v>
      </c>
      <c r="E164" s="122">
        <v>8.169747137E9</v>
      </c>
      <c r="F164" s="121" t="s">
        <v>992</v>
      </c>
    </row>
    <row r="165" ht="22.5" customHeight="1">
      <c r="A165" s="121" t="s">
        <v>172</v>
      </c>
      <c r="B165" s="122">
        <v>164.0</v>
      </c>
      <c r="C165" s="122">
        <v>19.0</v>
      </c>
      <c r="D165" s="121" t="s">
        <v>487</v>
      </c>
      <c r="E165" s="122">
        <v>8.003050199E9</v>
      </c>
      <c r="F165" s="121" t="s">
        <v>995</v>
      </c>
    </row>
    <row r="166" ht="22.5" customHeight="1">
      <c r="A166" s="121" t="s">
        <v>173</v>
      </c>
      <c r="B166" s="122">
        <v>165.0</v>
      </c>
      <c r="C166" s="122">
        <v>17.0</v>
      </c>
      <c r="D166" s="121" t="s">
        <v>441</v>
      </c>
      <c r="E166" s="122">
        <v>7.841891155E9</v>
      </c>
      <c r="F166" s="121" t="s">
        <v>998</v>
      </c>
    </row>
    <row r="167" ht="22.5" customHeight="1">
      <c r="A167" s="121" t="s">
        <v>174</v>
      </c>
      <c r="B167" s="122">
        <v>166.0</v>
      </c>
      <c r="C167" s="122">
        <v>21.0</v>
      </c>
      <c r="D167" s="121" t="s">
        <v>458</v>
      </c>
      <c r="E167" s="122">
        <v>9.321486101E9</v>
      </c>
      <c r="F167" s="121" t="s">
        <v>1002</v>
      </c>
    </row>
    <row r="168" ht="22.5" customHeight="1">
      <c r="A168" s="121" t="s">
        <v>175</v>
      </c>
      <c r="B168" s="122">
        <v>167.0</v>
      </c>
      <c r="C168" s="122">
        <v>40.0</v>
      </c>
      <c r="D168" s="121" t="s">
        <v>441</v>
      </c>
      <c r="E168" s="122">
        <v>9.422086292E9</v>
      </c>
      <c r="F168" s="121" t="s">
        <v>1006</v>
      </c>
    </row>
    <row r="169" ht="22.5" customHeight="1">
      <c r="A169" s="121" t="s">
        <v>176</v>
      </c>
      <c r="B169" s="122">
        <v>168.0</v>
      </c>
      <c r="C169" s="122">
        <v>33.0</v>
      </c>
      <c r="D169" s="121" t="s">
        <v>458</v>
      </c>
      <c r="E169" s="122">
        <v>9.886098123E9</v>
      </c>
      <c r="F169" s="121" t="s">
        <v>1009</v>
      </c>
    </row>
    <row r="170" ht="22.5" customHeight="1">
      <c r="A170" s="121" t="s">
        <v>177</v>
      </c>
      <c r="B170" s="122">
        <v>169.0</v>
      </c>
      <c r="C170" s="122">
        <v>24.0</v>
      </c>
      <c r="D170" s="121" t="s">
        <v>487</v>
      </c>
      <c r="E170" s="122">
        <v>9.982934658E9</v>
      </c>
      <c r="F170" s="121" t="s">
        <v>1016</v>
      </c>
    </row>
    <row r="171" ht="22.5" customHeight="1">
      <c r="A171" s="121" t="s">
        <v>178</v>
      </c>
      <c r="B171" s="122">
        <v>170.0</v>
      </c>
      <c r="C171" s="122">
        <v>18.0</v>
      </c>
      <c r="D171" s="121" t="s">
        <v>1583</v>
      </c>
      <c r="E171" s="122">
        <v>7.887796678E9</v>
      </c>
      <c r="F171" s="121" t="s">
        <v>1583</v>
      </c>
    </row>
    <row r="172" ht="22.5" customHeight="1">
      <c r="A172" s="121" t="s">
        <v>179</v>
      </c>
      <c r="B172" s="122">
        <v>171.0</v>
      </c>
      <c r="C172" s="122">
        <v>15.0</v>
      </c>
      <c r="D172" s="121" t="s">
        <v>458</v>
      </c>
      <c r="E172" s="122">
        <v>9.770435122E9</v>
      </c>
      <c r="F172" s="121" t="s">
        <v>1031</v>
      </c>
    </row>
    <row r="173" ht="22.5" customHeight="1">
      <c r="A173" s="121" t="s">
        <v>180</v>
      </c>
      <c r="B173" s="122">
        <v>172.0</v>
      </c>
      <c r="C173" s="122">
        <v>17.0</v>
      </c>
      <c r="D173" s="121" t="s">
        <v>487</v>
      </c>
      <c r="E173" s="122">
        <v>9.993786642E9</v>
      </c>
      <c r="F173" s="121" t="s">
        <v>1037</v>
      </c>
    </row>
    <row r="174" ht="22.5" customHeight="1">
      <c r="A174" s="121" t="s">
        <v>181</v>
      </c>
      <c r="B174" s="122">
        <v>173.0</v>
      </c>
      <c r="C174" s="122">
        <v>24.0</v>
      </c>
      <c r="D174" s="121" t="s">
        <v>441</v>
      </c>
      <c r="E174" s="122">
        <v>9.167799536E9</v>
      </c>
      <c r="F174" s="121" t="s">
        <v>1040</v>
      </c>
    </row>
    <row r="175" ht="22.5" customHeight="1">
      <c r="A175" s="121" t="s">
        <v>182</v>
      </c>
      <c r="B175" s="122">
        <v>174.0</v>
      </c>
      <c r="C175" s="122">
        <v>24.0</v>
      </c>
      <c r="D175" s="121" t="s">
        <v>1583</v>
      </c>
      <c r="E175" s="122">
        <v>7.423036666E9</v>
      </c>
      <c r="F175" s="121" t="s">
        <v>1583</v>
      </c>
    </row>
    <row r="176" ht="22.5" customHeight="1">
      <c r="A176" s="121" t="s">
        <v>183</v>
      </c>
      <c r="B176" s="122">
        <v>175.0</v>
      </c>
      <c r="C176" s="122">
        <v>33.0</v>
      </c>
      <c r="D176" s="121" t="s">
        <v>458</v>
      </c>
      <c r="E176" s="122">
        <v>9.098122722E9</v>
      </c>
      <c r="F176" s="121" t="s">
        <v>1047</v>
      </c>
    </row>
    <row r="177" ht="22.5" customHeight="1">
      <c r="A177" s="121" t="s">
        <v>184</v>
      </c>
      <c r="B177" s="122">
        <v>176.0</v>
      </c>
      <c r="C177" s="122">
        <v>21.0</v>
      </c>
      <c r="D177" s="121" t="s">
        <v>458</v>
      </c>
      <c r="E177" s="122">
        <v>9.535609505E9</v>
      </c>
      <c r="F177" s="121" t="s">
        <v>1050</v>
      </c>
    </row>
    <row r="178" ht="22.5" customHeight="1">
      <c r="A178" s="121" t="s">
        <v>185</v>
      </c>
      <c r="B178" s="122">
        <v>177.0</v>
      </c>
      <c r="C178" s="122">
        <v>22.0</v>
      </c>
      <c r="D178" s="121" t="s">
        <v>458</v>
      </c>
      <c r="E178" s="122">
        <v>9.88142752E9</v>
      </c>
      <c r="F178" s="121" t="s">
        <v>1053</v>
      </c>
    </row>
    <row r="179" ht="22.5" customHeight="1">
      <c r="A179" s="121" t="s">
        <v>186</v>
      </c>
      <c r="B179" s="122">
        <v>178.0</v>
      </c>
      <c r="C179" s="122">
        <v>19.0</v>
      </c>
      <c r="D179" s="121" t="s">
        <v>441</v>
      </c>
      <c r="E179" s="122">
        <v>9.869942158E9</v>
      </c>
      <c r="F179" s="121" t="s">
        <v>1062</v>
      </c>
    </row>
    <row r="180" ht="22.5" customHeight="1">
      <c r="A180" s="121" t="s">
        <v>187</v>
      </c>
      <c r="B180" s="122">
        <v>179.0</v>
      </c>
      <c r="C180" s="122"/>
      <c r="D180" s="121" t="s">
        <v>1583</v>
      </c>
      <c r="E180" s="122">
        <v>9.009040175E9</v>
      </c>
      <c r="F180" s="121" t="s">
        <v>1583</v>
      </c>
    </row>
    <row r="181" ht="22.5" customHeight="1">
      <c r="A181" s="121" t="s">
        <v>188</v>
      </c>
      <c r="B181" s="122">
        <v>180.0</v>
      </c>
      <c r="C181" s="122">
        <v>30.0</v>
      </c>
      <c r="D181" s="121" t="s">
        <v>1583</v>
      </c>
      <c r="E181" s="122">
        <v>9.172296681E9</v>
      </c>
      <c r="F181" s="121" t="s">
        <v>1583</v>
      </c>
    </row>
    <row r="182" ht="22.5" customHeight="1">
      <c r="A182" s="121" t="s">
        <v>189</v>
      </c>
      <c r="B182" s="122">
        <v>181.0</v>
      </c>
      <c r="C182" s="122">
        <v>20.0</v>
      </c>
      <c r="D182" s="121" t="s">
        <v>458</v>
      </c>
      <c r="E182" s="122">
        <v>9.420782349E9</v>
      </c>
      <c r="F182" s="121" t="s">
        <v>1067</v>
      </c>
    </row>
    <row r="183" ht="22.5" customHeight="1">
      <c r="A183" s="121" t="s">
        <v>190</v>
      </c>
      <c r="B183" s="122">
        <v>182.0</v>
      </c>
      <c r="C183" s="122">
        <v>35.0</v>
      </c>
      <c r="D183" s="121" t="s">
        <v>604</v>
      </c>
      <c r="E183" s="122">
        <v>9.819001136E9</v>
      </c>
      <c r="F183" s="121" t="s">
        <v>1070</v>
      </c>
    </row>
    <row r="184" ht="22.5" customHeight="1">
      <c r="A184" s="121" t="s">
        <v>191</v>
      </c>
      <c r="B184" s="122">
        <v>183.0</v>
      </c>
      <c r="C184" s="122">
        <v>21.0</v>
      </c>
      <c r="D184" s="121" t="s">
        <v>458</v>
      </c>
      <c r="E184" s="122">
        <v>8.792786786E9</v>
      </c>
      <c r="F184" s="121" t="s">
        <v>1075</v>
      </c>
    </row>
    <row r="185" ht="22.5" customHeight="1">
      <c r="A185" s="121" t="s">
        <v>192</v>
      </c>
      <c r="B185" s="122">
        <v>184.0</v>
      </c>
      <c r="C185" s="122">
        <v>20.0</v>
      </c>
      <c r="D185" s="121" t="s">
        <v>458</v>
      </c>
      <c r="E185" s="122">
        <v>9.32112025E9</v>
      </c>
      <c r="F185" s="121" t="s">
        <v>1079</v>
      </c>
    </row>
    <row r="186" ht="22.5" customHeight="1">
      <c r="A186" s="121" t="s">
        <v>193</v>
      </c>
      <c r="B186" s="122">
        <v>185.0</v>
      </c>
      <c r="C186" s="122">
        <v>22.0</v>
      </c>
      <c r="D186" s="121" t="s">
        <v>458</v>
      </c>
      <c r="E186" s="122">
        <v>9.405322004E9</v>
      </c>
      <c r="F186" s="121" t="s">
        <v>1082</v>
      </c>
    </row>
    <row r="187" ht="22.5" customHeight="1">
      <c r="A187" s="121" t="s">
        <v>194</v>
      </c>
      <c r="B187" s="122">
        <v>186.0</v>
      </c>
      <c r="C187" s="122">
        <v>18.0</v>
      </c>
      <c r="D187" s="121" t="s">
        <v>487</v>
      </c>
      <c r="E187" s="122">
        <v>9.97591815E9</v>
      </c>
      <c r="F187" s="121" t="s">
        <v>1085</v>
      </c>
    </row>
    <row r="188" ht="22.5" customHeight="1">
      <c r="A188" s="121" t="s">
        <v>195</v>
      </c>
      <c r="B188" s="122">
        <v>187.0</v>
      </c>
      <c r="C188" s="122">
        <v>18.0</v>
      </c>
      <c r="D188" s="121" t="s">
        <v>447</v>
      </c>
      <c r="E188" s="122">
        <v>9.112742061E9</v>
      </c>
      <c r="F188" s="121" t="s">
        <v>1089</v>
      </c>
    </row>
    <row r="189" ht="22.5" customHeight="1">
      <c r="A189" s="121" t="s">
        <v>196</v>
      </c>
      <c r="B189" s="122">
        <v>188.0</v>
      </c>
      <c r="C189" s="122">
        <v>33.0</v>
      </c>
      <c r="D189" s="121" t="s">
        <v>458</v>
      </c>
      <c r="E189" s="122">
        <v>9.0090155E9</v>
      </c>
      <c r="F189" s="121" t="s">
        <v>1092</v>
      </c>
    </row>
    <row r="190" ht="22.5" customHeight="1">
      <c r="A190" s="121" t="s">
        <v>197</v>
      </c>
      <c r="B190" s="122">
        <v>189.0</v>
      </c>
      <c r="C190" s="122">
        <v>25.0</v>
      </c>
      <c r="D190" s="121" t="s">
        <v>458</v>
      </c>
      <c r="E190" s="122">
        <v>9.484994344E9</v>
      </c>
      <c r="F190" s="121" t="s">
        <v>1095</v>
      </c>
    </row>
    <row r="191" ht="22.5" customHeight="1">
      <c r="A191" s="121" t="s">
        <v>198</v>
      </c>
      <c r="B191" s="122">
        <v>190.0</v>
      </c>
      <c r="C191" s="122">
        <v>42.0</v>
      </c>
      <c r="D191" s="121" t="s">
        <v>458</v>
      </c>
      <c r="E191" s="122">
        <v>9.72546775E9</v>
      </c>
      <c r="F191" s="121" t="s">
        <v>1102</v>
      </c>
    </row>
    <row r="192" ht="22.5" customHeight="1">
      <c r="A192" s="121" t="s">
        <v>199</v>
      </c>
      <c r="B192" s="122">
        <v>191.0</v>
      </c>
      <c r="C192" s="122">
        <v>28.0</v>
      </c>
      <c r="D192" s="121" t="s">
        <v>447</v>
      </c>
      <c r="E192" s="122">
        <v>7.715926558E9</v>
      </c>
      <c r="F192" s="121" t="s">
        <v>1109</v>
      </c>
    </row>
    <row r="193" ht="22.5" customHeight="1">
      <c r="A193" s="121" t="s">
        <v>200</v>
      </c>
      <c r="B193" s="122">
        <v>192.0</v>
      </c>
      <c r="C193" s="122">
        <v>21.0</v>
      </c>
      <c r="D193" s="121" t="s">
        <v>487</v>
      </c>
      <c r="E193" s="122">
        <v>8.379892112E9</v>
      </c>
      <c r="F193" s="121" t="s">
        <v>1106</v>
      </c>
    </row>
    <row r="194" ht="22.5" customHeight="1">
      <c r="A194" s="121" t="s">
        <v>201</v>
      </c>
      <c r="B194" s="122">
        <v>193.0</v>
      </c>
      <c r="C194" s="122">
        <v>25.0</v>
      </c>
      <c r="D194" s="121" t="s">
        <v>487</v>
      </c>
      <c r="E194" s="122">
        <v>9.421530838E9</v>
      </c>
      <c r="F194" s="121" t="s">
        <v>1113</v>
      </c>
    </row>
    <row r="195" ht="22.5" customHeight="1">
      <c r="A195" s="121" t="s">
        <v>202</v>
      </c>
      <c r="B195" s="122">
        <v>194.0</v>
      </c>
      <c r="C195" s="122">
        <v>25.0</v>
      </c>
      <c r="D195" s="121" t="s">
        <v>441</v>
      </c>
      <c r="E195" s="122">
        <v>9.322164525E9</v>
      </c>
      <c r="F195" s="121" t="s">
        <v>1116</v>
      </c>
    </row>
    <row r="196" ht="22.5" customHeight="1">
      <c r="A196" s="121" t="s">
        <v>203</v>
      </c>
      <c r="B196" s="122">
        <v>195.0</v>
      </c>
      <c r="C196" s="122">
        <v>32.0</v>
      </c>
      <c r="D196" s="121" t="s">
        <v>487</v>
      </c>
      <c r="E196" s="122">
        <v>9.905734583E9</v>
      </c>
      <c r="F196" s="121" t="s">
        <v>1119</v>
      </c>
    </row>
    <row r="197" ht="22.5" customHeight="1">
      <c r="A197" s="121" t="s">
        <v>204</v>
      </c>
      <c r="B197" s="122">
        <v>196.0</v>
      </c>
      <c r="C197" s="122">
        <v>24.0</v>
      </c>
      <c r="D197" s="121" t="s">
        <v>441</v>
      </c>
      <c r="E197" s="122">
        <v>9.97598317E9</v>
      </c>
      <c r="F197" s="121" t="s">
        <v>1123</v>
      </c>
    </row>
    <row r="198" ht="22.5" customHeight="1">
      <c r="A198" s="121" t="s">
        <v>205</v>
      </c>
      <c r="B198" s="122">
        <v>197.0</v>
      </c>
      <c r="C198" s="122">
        <v>25.0</v>
      </c>
      <c r="D198" s="121" t="s">
        <v>447</v>
      </c>
      <c r="E198" s="122">
        <v>9.975789011E9</v>
      </c>
      <c r="F198" s="121" t="s">
        <v>1138</v>
      </c>
    </row>
    <row r="199" ht="22.5" customHeight="1">
      <c r="A199" s="121" t="s">
        <v>206</v>
      </c>
      <c r="B199" s="122">
        <v>198.0</v>
      </c>
      <c r="C199" s="122">
        <v>19.0</v>
      </c>
      <c r="D199" s="121" t="s">
        <v>1583</v>
      </c>
      <c r="E199" s="122">
        <v>7.019265088E9</v>
      </c>
      <c r="F199" s="121" t="s">
        <v>1583</v>
      </c>
    </row>
    <row r="200" ht="22.5" customHeight="1">
      <c r="A200" s="121" t="s">
        <v>207</v>
      </c>
      <c r="B200" s="122">
        <v>199.0</v>
      </c>
      <c r="C200" s="122">
        <v>17.0</v>
      </c>
      <c r="D200" s="121" t="s">
        <v>1583</v>
      </c>
      <c r="E200" s="122">
        <v>7.869533177E9</v>
      </c>
      <c r="F200" s="121" t="s">
        <v>1583</v>
      </c>
    </row>
    <row r="201" ht="22.5" customHeight="1">
      <c r="A201" s="121" t="s">
        <v>208</v>
      </c>
      <c r="B201" s="122">
        <v>200.0</v>
      </c>
      <c r="C201" s="122">
        <v>22.0</v>
      </c>
      <c r="D201" s="121" t="s">
        <v>458</v>
      </c>
      <c r="E201" s="122">
        <v>9.428467102E9</v>
      </c>
      <c r="F201" s="121" t="s">
        <v>1126</v>
      </c>
    </row>
    <row r="202" ht="22.5" customHeight="1">
      <c r="A202" s="121" t="s">
        <v>209</v>
      </c>
      <c r="B202" s="122">
        <v>201.0</v>
      </c>
      <c r="C202" s="122">
        <v>27.0</v>
      </c>
      <c r="D202" s="121" t="s">
        <v>487</v>
      </c>
      <c r="E202" s="122">
        <v>7.000971478E9</v>
      </c>
      <c r="F202" s="121" t="s">
        <v>1130</v>
      </c>
    </row>
    <row r="203" ht="22.5" customHeight="1">
      <c r="A203" s="121" t="s">
        <v>210</v>
      </c>
      <c r="B203" s="122">
        <v>202.0</v>
      </c>
      <c r="C203" s="122">
        <v>18.0</v>
      </c>
      <c r="D203" s="121" t="s">
        <v>1583</v>
      </c>
      <c r="E203" s="122">
        <v>9.354307266E9</v>
      </c>
      <c r="F203" s="121" t="s">
        <v>1583</v>
      </c>
    </row>
    <row r="204" ht="22.5" customHeight="1">
      <c r="A204" s="121" t="s">
        <v>211</v>
      </c>
      <c r="B204" s="122">
        <v>203.0</v>
      </c>
      <c r="C204" s="122">
        <v>27.0</v>
      </c>
      <c r="D204" s="121" t="s">
        <v>447</v>
      </c>
      <c r="E204" s="122">
        <v>9.329554435E9</v>
      </c>
      <c r="F204" s="121" t="s">
        <v>1133</v>
      </c>
    </row>
    <row r="205" ht="22.5" customHeight="1">
      <c r="A205" s="121" t="s">
        <v>212</v>
      </c>
      <c r="B205" s="122">
        <v>204.0</v>
      </c>
      <c r="C205" s="122">
        <v>25.0</v>
      </c>
      <c r="D205" s="121" t="s">
        <v>458</v>
      </c>
      <c r="E205" s="122">
        <v>8.817613555E9</v>
      </c>
      <c r="F205" s="121" t="s">
        <v>1141</v>
      </c>
    </row>
    <row r="206" ht="22.5" customHeight="1">
      <c r="A206" s="121" t="s">
        <v>213</v>
      </c>
      <c r="B206" s="122">
        <v>205.0</v>
      </c>
      <c r="C206" s="122">
        <v>20.0</v>
      </c>
      <c r="D206" s="121" t="s">
        <v>447</v>
      </c>
      <c r="E206" s="122">
        <v>9.307688441E9</v>
      </c>
      <c r="F206" s="121" t="s">
        <v>1145</v>
      </c>
    </row>
    <row r="207" ht="22.5" customHeight="1">
      <c r="A207" s="121" t="s">
        <v>214</v>
      </c>
      <c r="B207" s="122">
        <v>206.0</v>
      </c>
      <c r="C207" s="122">
        <v>19.0</v>
      </c>
      <c r="D207" s="121" t="s">
        <v>458</v>
      </c>
      <c r="E207" s="122">
        <v>9.845261337E9</v>
      </c>
      <c r="F207" s="121" t="s">
        <v>1148</v>
      </c>
    </row>
    <row r="208" ht="22.5" customHeight="1">
      <c r="A208" s="121" t="s">
        <v>215</v>
      </c>
      <c r="B208" s="122">
        <v>207.0</v>
      </c>
      <c r="C208" s="122">
        <v>31.0</v>
      </c>
      <c r="D208" s="121" t="s">
        <v>441</v>
      </c>
      <c r="E208" s="122">
        <v>9.825204301E9</v>
      </c>
      <c r="F208" s="121" t="s">
        <v>1152</v>
      </c>
    </row>
    <row r="209" ht="22.5" customHeight="1">
      <c r="A209" s="121" t="s">
        <v>216</v>
      </c>
      <c r="B209" s="122">
        <v>208.0</v>
      </c>
      <c r="C209" s="122">
        <v>21.0</v>
      </c>
      <c r="D209" s="121" t="s">
        <v>458</v>
      </c>
      <c r="E209" s="122">
        <v>9.901712989E9</v>
      </c>
      <c r="F209" s="121" t="s">
        <v>1156</v>
      </c>
    </row>
    <row r="210" ht="22.5" customHeight="1">
      <c r="A210" s="121" t="s">
        <v>217</v>
      </c>
      <c r="B210" s="122">
        <v>209.0</v>
      </c>
      <c r="C210" s="122">
        <v>18.0</v>
      </c>
      <c r="D210" s="121" t="s">
        <v>1583</v>
      </c>
      <c r="E210" s="122">
        <v>8.355807373E9</v>
      </c>
      <c r="F210" s="121" t="s">
        <v>1583</v>
      </c>
    </row>
    <row r="211" ht="22.5" customHeight="1">
      <c r="A211" s="121" t="s">
        <v>218</v>
      </c>
      <c r="B211" s="122">
        <v>210.0</v>
      </c>
      <c r="C211" s="122">
        <v>21.0</v>
      </c>
      <c r="D211" s="121" t="s">
        <v>1583</v>
      </c>
      <c r="E211" s="122">
        <v>9.022206858E9</v>
      </c>
      <c r="F211" s="121" t="s">
        <v>1583</v>
      </c>
    </row>
    <row r="212" ht="22.5" customHeight="1">
      <c r="A212" s="121" t="s">
        <v>219</v>
      </c>
      <c r="B212" s="122">
        <v>211.0</v>
      </c>
      <c r="C212" s="122">
        <v>26.0</v>
      </c>
      <c r="D212" s="121" t="s">
        <v>447</v>
      </c>
      <c r="E212" s="122">
        <v>9.82130832E9</v>
      </c>
      <c r="F212" s="121" t="s">
        <v>1167</v>
      </c>
    </row>
    <row r="213" ht="22.5" customHeight="1">
      <c r="A213" s="121" t="s">
        <v>220</v>
      </c>
      <c r="B213" s="122">
        <v>212.0</v>
      </c>
      <c r="C213" s="122">
        <v>33.0</v>
      </c>
      <c r="D213" s="121" t="s">
        <v>458</v>
      </c>
      <c r="E213" s="122">
        <v>9.87018105E9</v>
      </c>
      <c r="F213" s="121" t="s">
        <v>1169</v>
      </c>
    </row>
    <row r="214" ht="22.5" customHeight="1">
      <c r="A214" s="121" t="s">
        <v>221</v>
      </c>
      <c r="B214" s="122">
        <v>213.0</v>
      </c>
      <c r="C214" s="122">
        <v>21.0</v>
      </c>
      <c r="D214" s="121" t="s">
        <v>447</v>
      </c>
      <c r="E214" s="122">
        <v>8.291183777E9</v>
      </c>
      <c r="F214" s="121" t="s">
        <v>1175</v>
      </c>
    </row>
    <row r="215" ht="22.5" customHeight="1">
      <c r="A215" s="121" t="s">
        <v>222</v>
      </c>
      <c r="B215" s="122">
        <v>214.0</v>
      </c>
      <c r="C215" s="122">
        <v>17.0</v>
      </c>
      <c r="D215" s="121" t="s">
        <v>447</v>
      </c>
      <c r="E215" s="122">
        <v>9.561687799E9</v>
      </c>
      <c r="F215" s="121" t="s">
        <v>1173</v>
      </c>
    </row>
    <row r="216" ht="22.5" customHeight="1">
      <c r="A216" s="121" t="s">
        <v>223</v>
      </c>
      <c r="B216" s="122">
        <v>215.0</v>
      </c>
      <c r="C216" s="122">
        <v>24.0</v>
      </c>
      <c r="D216" s="121" t="s">
        <v>447</v>
      </c>
      <c r="E216" s="122">
        <v>9.423370704E9</v>
      </c>
      <c r="F216" s="121" t="s">
        <v>1177</v>
      </c>
    </row>
    <row r="217" ht="22.5" customHeight="1">
      <c r="A217" s="121" t="s">
        <v>224</v>
      </c>
      <c r="B217" s="122">
        <v>216.0</v>
      </c>
      <c r="C217" s="122">
        <v>22.0</v>
      </c>
      <c r="D217" s="121" t="s">
        <v>1583</v>
      </c>
      <c r="E217" s="122">
        <v>9.302487213E9</v>
      </c>
      <c r="F217" s="121" t="s">
        <v>1583</v>
      </c>
    </row>
    <row r="218" ht="22.5" customHeight="1">
      <c r="A218" s="121" t="s">
        <v>225</v>
      </c>
      <c r="B218" s="122">
        <v>217.0</v>
      </c>
      <c r="C218" s="122">
        <v>35.0</v>
      </c>
      <c r="D218" s="121" t="s">
        <v>441</v>
      </c>
      <c r="E218" s="122">
        <v>9.406860314E9</v>
      </c>
      <c r="F218" s="121" t="s">
        <v>1180</v>
      </c>
    </row>
    <row r="219" ht="22.5" customHeight="1">
      <c r="A219" s="121" t="s">
        <v>226</v>
      </c>
      <c r="B219" s="122">
        <v>218.0</v>
      </c>
      <c r="C219" s="122">
        <v>30.0</v>
      </c>
      <c r="D219" s="121" t="s">
        <v>447</v>
      </c>
      <c r="E219" s="122">
        <v>8.097900893E9</v>
      </c>
      <c r="F219" s="121" t="s">
        <v>1182</v>
      </c>
    </row>
    <row r="220" ht="22.5" customHeight="1">
      <c r="A220" s="121" t="s">
        <v>227</v>
      </c>
      <c r="B220" s="122">
        <v>219.0</v>
      </c>
      <c r="C220" s="122">
        <v>20.0</v>
      </c>
      <c r="D220" s="121" t="s">
        <v>447</v>
      </c>
      <c r="E220" s="122">
        <v>9.926133308E9</v>
      </c>
      <c r="F220" s="121" t="s">
        <v>1185</v>
      </c>
    </row>
    <row r="221" ht="22.5" customHeight="1">
      <c r="A221" s="121" t="s">
        <v>228</v>
      </c>
      <c r="B221" s="122">
        <v>220.0</v>
      </c>
      <c r="C221" s="122">
        <v>24.0</v>
      </c>
      <c r="D221" s="121" t="s">
        <v>441</v>
      </c>
      <c r="E221" s="122">
        <v>9.845614785E9</v>
      </c>
      <c r="F221" s="121" t="s">
        <v>1189</v>
      </c>
    </row>
    <row r="222" ht="22.5" customHeight="1">
      <c r="A222" s="121" t="s">
        <v>229</v>
      </c>
      <c r="B222" s="122">
        <v>221.0</v>
      </c>
      <c r="C222" s="122">
        <v>23.0</v>
      </c>
      <c r="D222" s="121" t="s">
        <v>447</v>
      </c>
      <c r="E222" s="122">
        <v>9.0393428E9</v>
      </c>
      <c r="F222" s="121" t="s">
        <v>1192</v>
      </c>
    </row>
    <row r="223" ht="22.5" customHeight="1">
      <c r="A223" s="121" t="s">
        <v>230</v>
      </c>
      <c r="B223" s="122">
        <v>222.0</v>
      </c>
      <c r="C223" s="122">
        <v>21.0</v>
      </c>
      <c r="D223" s="121" t="s">
        <v>487</v>
      </c>
      <c r="E223" s="122">
        <v>9.829188428E9</v>
      </c>
      <c r="F223" s="121" t="s">
        <v>1196</v>
      </c>
    </row>
    <row r="224" ht="22.5" customHeight="1">
      <c r="A224" s="121" t="s">
        <v>231</v>
      </c>
      <c r="B224" s="122">
        <v>223.0</v>
      </c>
      <c r="C224" s="122">
        <v>20.0</v>
      </c>
      <c r="D224" s="121" t="s">
        <v>447</v>
      </c>
      <c r="E224" s="122">
        <v>9.370005328E9</v>
      </c>
      <c r="F224" s="121" t="s">
        <v>1199</v>
      </c>
    </row>
    <row r="225" ht="22.5" customHeight="1">
      <c r="A225" s="121" t="s">
        <v>232</v>
      </c>
      <c r="B225" s="122">
        <v>224.0</v>
      </c>
      <c r="C225" s="122">
        <v>19.0</v>
      </c>
      <c r="D225" s="121" t="s">
        <v>458</v>
      </c>
      <c r="E225" s="122">
        <v>7.026705657E9</v>
      </c>
      <c r="F225" s="121" t="s">
        <v>1201</v>
      </c>
    </row>
    <row r="226" ht="22.5" customHeight="1">
      <c r="A226" s="121" t="s">
        <v>233</v>
      </c>
      <c r="B226" s="122">
        <v>225.0</v>
      </c>
      <c r="C226" s="122">
        <v>42.0</v>
      </c>
      <c r="D226" s="121" t="s">
        <v>1583</v>
      </c>
      <c r="E226" s="122">
        <v>9.920666509E9</v>
      </c>
      <c r="F226" s="121" t="s">
        <v>1583</v>
      </c>
    </row>
    <row r="227" ht="22.5" customHeight="1">
      <c r="A227" s="121" t="s">
        <v>234</v>
      </c>
      <c r="B227" s="122">
        <v>226.0</v>
      </c>
      <c r="C227" s="122">
        <v>23.0</v>
      </c>
      <c r="D227" s="121" t="s">
        <v>458</v>
      </c>
      <c r="E227" s="122">
        <v>9.323017046E9</v>
      </c>
      <c r="F227" s="121" t="s">
        <v>1205</v>
      </c>
    </row>
    <row r="228" ht="22.5" customHeight="1">
      <c r="A228" s="121" t="s">
        <v>235</v>
      </c>
      <c r="B228" s="122">
        <v>227.0</v>
      </c>
      <c r="C228" s="122">
        <v>18.0</v>
      </c>
      <c r="D228" s="121" t="s">
        <v>441</v>
      </c>
      <c r="E228" s="122">
        <v>8.770882819E9</v>
      </c>
      <c r="F228" s="121" t="s">
        <v>1208</v>
      </c>
    </row>
    <row r="229" ht="22.5" customHeight="1">
      <c r="A229" s="121" t="s">
        <v>236</v>
      </c>
      <c r="B229" s="122">
        <v>228.0</v>
      </c>
      <c r="C229" s="122">
        <v>18.0</v>
      </c>
      <c r="D229" s="121" t="s">
        <v>1583</v>
      </c>
      <c r="E229" s="122">
        <v>9.819352307E9</v>
      </c>
      <c r="F229" s="121" t="s">
        <v>1583</v>
      </c>
    </row>
    <row r="230" ht="22.5" customHeight="1">
      <c r="A230" s="121" t="s">
        <v>237</v>
      </c>
      <c r="B230" s="122">
        <v>229.0</v>
      </c>
      <c r="C230" s="122">
        <v>14.0</v>
      </c>
      <c r="D230" s="121" t="s">
        <v>447</v>
      </c>
      <c r="E230" s="122">
        <v>9.71291323E9</v>
      </c>
      <c r="F230" s="121" t="s">
        <v>1211</v>
      </c>
    </row>
    <row r="231" ht="22.5" customHeight="1">
      <c r="A231" s="121" t="s">
        <v>238</v>
      </c>
      <c r="B231" s="122">
        <v>230.0</v>
      </c>
      <c r="C231" s="122">
        <v>46.0</v>
      </c>
      <c r="D231" s="121" t="s">
        <v>447</v>
      </c>
      <c r="E231" s="122">
        <v>9.824379449E9</v>
      </c>
      <c r="F231" s="121" t="s">
        <v>1214</v>
      </c>
    </row>
    <row r="232" ht="22.5" customHeight="1">
      <c r="A232" s="121" t="s">
        <v>239</v>
      </c>
      <c r="B232" s="122">
        <v>231.0</v>
      </c>
      <c r="C232" s="122">
        <v>20.0</v>
      </c>
      <c r="D232" s="121" t="s">
        <v>447</v>
      </c>
      <c r="E232" s="122">
        <v>9.360628001E9</v>
      </c>
      <c r="F232" s="121" t="s">
        <v>1218</v>
      </c>
    </row>
    <row r="233" ht="22.5" customHeight="1">
      <c r="A233" s="121" t="s">
        <v>240</v>
      </c>
      <c r="B233" s="122">
        <v>232.0</v>
      </c>
      <c r="C233" s="122">
        <v>18.0</v>
      </c>
      <c r="D233" s="121" t="s">
        <v>1583</v>
      </c>
      <c r="E233" s="122">
        <v>8.459287653E9</v>
      </c>
      <c r="F233" s="121" t="s">
        <v>1583</v>
      </c>
    </row>
    <row r="234" ht="22.5" customHeight="1">
      <c r="A234" s="121" t="s">
        <v>241</v>
      </c>
      <c r="B234" s="122">
        <v>233.0</v>
      </c>
      <c r="C234" s="122">
        <v>28.0</v>
      </c>
      <c r="D234" s="121" t="s">
        <v>1583</v>
      </c>
      <c r="E234" s="122">
        <v>9.398411424E9</v>
      </c>
      <c r="F234" s="121" t="s">
        <v>1583</v>
      </c>
    </row>
    <row r="235" ht="22.5" customHeight="1">
      <c r="A235" s="121" t="s">
        <v>242</v>
      </c>
      <c r="B235" s="122">
        <v>234.0</v>
      </c>
      <c r="C235" s="122">
        <v>25.0</v>
      </c>
      <c r="D235" s="121" t="s">
        <v>487</v>
      </c>
      <c r="E235" s="122">
        <v>7.000648072E9</v>
      </c>
      <c r="F235" s="121" t="s">
        <v>1229</v>
      </c>
    </row>
    <row r="236" ht="22.5" customHeight="1">
      <c r="A236" s="121" t="s">
        <v>243</v>
      </c>
      <c r="B236" s="122">
        <v>235.0</v>
      </c>
      <c r="C236" s="122">
        <v>20.0</v>
      </c>
      <c r="D236" s="121" t="s">
        <v>458</v>
      </c>
      <c r="E236" s="122">
        <v>9.321557778E9</v>
      </c>
      <c r="F236" s="121" t="s">
        <v>1235</v>
      </c>
    </row>
    <row r="237" ht="22.5" customHeight="1">
      <c r="A237" s="121" t="s">
        <v>244</v>
      </c>
      <c r="B237" s="122">
        <v>236.0</v>
      </c>
      <c r="C237" s="122">
        <v>32.0</v>
      </c>
      <c r="D237" s="121" t="s">
        <v>447</v>
      </c>
      <c r="E237" s="122">
        <v>7.879097104E9</v>
      </c>
      <c r="F237" s="121" t="s">
        <v>1232</v>
      </c>
    </row>
    <row r="238" ht="22.5" customHeight="1">
      <c r="A238" s="121" t="s">
        <v>245</v>
      </c>
      <c r="B238" s="122">
        <v>237.0</v>
      </c>
      <c r="C238" s="122">
        <v>22.0</v>
      </c>
      <c r="D238" s="121" t="s">
        <v>441</v>
      </c>
      <c r="E238" s="122">
        <v>7.737162264E9</v>
      </c>
      <c r="F238" s="121" t="s">
        <v>1241</v>
      </c>
    </row>
    <row r="239" ht="22.5" customHeight="1">
      <c r="A239" s="121" t="s">
        <v>246</v>
      </c>
      <c r="B239" s="122">
        <v>238.0</v>
      </c>
      <c r="C239" s="122">
        <v>25.0</v>
      </c>
      <c r="D239" s="121" t="s">
        <v>458</v>
      </c>
      <c r="E239" s="122">
        <v>9.58985187E9</v>
      </c>
      <c r="F239" s="121" t="s">
        <v>1245</v>
      </c>
    </row>
    <row r="240" ht="22.5" customHeight="1">
      <c r="A240" s="121" t="s">
        <v>247</v>
      </c>
      <c r="B240" s="122">
        <v>239.0</v>
      </c>
      <c r="C240" s="122">
        <v>21.0</v>
      </c>
      <c r="D240" s="121" t="s">
        <v>458</v>
      </c>
      <c r="E240" s="122">
        <v>9.822500319E9</v>
      </c>
      <c r="F240" s="121" t="s">
        <v>1248</v>
      </c>
    </row>
    <row r="241" ht="22.5" customHeight="1">
      <c r="A241" s="121" t="s">
        <v>248</v>
      </c>
      <c r="B241" s="122">
        <v>240.0</v>
      </c>
      <c r="C241" s="122">
        <v>18.0</v>
      </c>
      <c r="D241" s="121" t="s">
        <v>1583</v>
      </c>
      <c r="E241" s="122">
        <v>9.770826316E9</v>
      </c>
      <c r="F241" s="121" t="s">
        <v>1583</v>
      </c>
    </row>
    <row r="242" ht="22.5" customHeight="1">
      <c r="A242" s="121" t="s">
        <v>249</v>
      </c>
      <c r="B242" s="122">
        <v>241.0</v>
      </c>
      <c r="C242" s="122">
        <v>23.0</v>
      </c>
      <c r="D242" s="121" t="s">
        <v>447</v>
      </c>
      <c r="E242" s="122">
        <v>9.324834354E9</v>
      </c>
      <c r="F242" s="121" t="s">
        <v>1251</v>
      </c>
    </row>
    <row r="243" ht="22.5" customHeight="1">
      <c r="A243" s="121" t="s">
        <v>250</v>
      </c>
      <c r="B243" s="122">
        <v>242.0</v>
      </c>
      <c r="C243" s="122">
        <v>24.0</v>
      </c>
      <c r="D243" s="121" t="s">
        <v>458</v>
      </c>
      <c r="E243" s="122">
        <v>8.290847487E9</v>
      </c>
      <c r="F243" s="121" t="s">
        <v>1259</v>
      </c>
    </row>
    <row r="244" ht="22.5" customHeight="1">
      <c r="A244" s="121" t="s">
        <v>251</v>
      </c>
      <c r="B244" s="122">
        <v>243.0</v>
      </c>
      <c r="C244" s="122">
        <v>22.0</v>
      </c>
      <c r="D244" s="121" t="s">
        <v>487</v>
      </c>
      <c r="E244" s="122">
        <v>9.00475004E9</v>
      </c>
      <c r="F244" s="121" t="s">
        <v>1261</v>
      </c>
    </row>
    <row r="245" ht="22.5" customHeight="1">
      <c r="A245" s="121" t="s">
        <v>252</v>
      </c>
      <c r="B245" s="122">
        <v>244.0</v>
      </c>
      <c r="C245" s="122">
        <v>28.0</v>
      </c>
      <c r="D245" s="121" t="s">
        <v>487</v>
      </c>
      <c r="E245" s="122">
        <v>9.340793445E9</v>
      </c>
      <c r="F245" s="121" t="s">
        <v>1269</v>
      </c>
    </row>
    <row r="246" ht="22.5" customHeight="1">
      <c r="A246" s="121" t="s">
        <v>253</v>
      </c>
      <c r="B246" s="122">
        <v>245.0</v>
      </c>
      <c r="C246" s="122">
        <v>23.0</v>
      </c>
      <c r="D246" s="121" t="s">
        <v>458</v>
      </c>
      <c r="E246" s="122">
        <v>7.999841441E9</v>
      </c>
      <c r="F246" s="121" t="s">
        <v>1265</v>
      </c>
    </row>
    <row r="247" ht="22.5" customHeight="1">
      <c r="A247" s="121" t="s">
        <v>254</v>
      </c>
      <c r="B247" s="122">
        <v>246.0</v>
      </c>
      <c r="C247" s="122">
        <v>27.0</v>
      </c>
      <c r="D247" s="121" t="s">
        <v>458</v>
      </c>
      <c r="E247" s="122">
        <v>8.980451737E9</v>
      </c>
      <c r="F247" s="121" t="s">
        <v>1273</v>
      </c>
    </row>
    <row r="248" ht="22.5" customHeight="1">
      <c r="A248" s="121" t="s">
        <v>255</v>
      </c>
      <c r="B248" s="122">
        <v>247.0</v>
      </c>
      <c r="C248" s="122">
        <v>18.0</v>
      </c>
      <c r="D248" s="121" t="s">
        <v>447</v>
      </c>
      <c r="E248" s="122">
        <v>9.822500319E9</v>
      </c>
      <c r="F248" s="121" t="s">
        <v>1276</v>
      </c>
    </row>
    <row r="249" ht="22.5" customHeight="1">
      <c r="A249" s="121" t="s">
        <v>256</v>
      </c>
      <c r="B249" s="122">
        <v>248.0</v>
      </c>
      <c r="C249" s="122">
        <v>40.0</v>
      </c>
      <c r="D249" s="121" t="s">
        <v>447</v>
      </c>
      <c r="E249" s="122">
        <v>9.8198846643E10</v>
      </c>
      <c r="F249" s="121" t="s">
        <v>1279</v>
      </c>
    </row>
    <row r="250" ht="22.5" customHeight="1">
      <c r="A250" s="121" t="s">
        <v>257</v>
      </c>
      <c r="B250" s="122">
        <v>249.0</v>
      </c>
      <c r="C250" s="122">
        <v>25.0</v>
      </c>
      <c r="D250" s="121" t="s">
        <v>1583</v>
      </c>
      <c r="E250" s="122">
        <v>8.92801288E9</v>
      </c>
      <c r="F250" s="121" t="s">
        <v>1583</v>
      </c>
    </row>
    <row r="251" ht="22.5" customHeight="1">
      <c r="A251" s="121" t="s">
        <v>258</v>
      </c>
      <c r="B251" s="122">
        <v>250.0</v>
      </c>
      <c r="C251" s="122">
        <v>26.0</v>
      </c>
      <c r="D251" s="121" t="s">
        <v>1583</v>
      </c>
      <c r="E251" s="122">
        <v>8.080352505E9</v>
      </c>
      <c r="F251" s="121" t="s">
        <v>1583</v>
      </c>
    </row>
    <row r="252" ht="22.5" customHeight="1">
      <c r="A252" s="121" t="s">
        <v>259</v>
      </c>
      <c r="B252" s="122">
        <v>251.0</v>
      </c>
      <c r="C252" s="122">
        <v>33.0</v>
      </c>
      <c r="D252" s="121" t="s">
        <v>1583</v>
      </c>
      <c r="E252" s="122">
        <v>8.879768484E9</v>
      </c>
      <c r="F252" s="121" t="s">
        <v>1583</v>
      </c>
    </row>
    <row r="253" ht="22.5" customHeight="1">
      <c r="A253" s="121" t="s">
        <v>260</v>
      </c>
      <c r="B253" s="122">
        <v>252.0</v>
      </c>
      <c r="C253" s="122">
        <v>23.0</v>
      </c>
      <c r="D253" s="121" t="s">
        <v>487</v>
      </c>
      <c r="E253" s="122">
        <v>8.141458076E9</v>
      </c>
      <c r="F253" s="121" t="s">
        <v>1294</v>
      </c>
    </row>
    <row r="254" ht="22.5" customHeight="1">
      <c r="A254" s="121" t="s">
        <v>261</v>
      </c>
      <c r="B254" s="122">
        <v>253.0</v>
      </c>
      <c r="C254" s="122">
        <v>22.0</v>
      </c>
      <c r="D254" s="121" t="s">
        <v>458</v>
      </c>
      <c r="E254" s="122">
        <v>9.328715327E9</v>
      </c>
      <c r="F254" s="121" t="s">
        <v>1290</v>
      </c>
    </row>
    <row r="255" ht="22.5" customHeight="1">
      <c r="A255" s="121" t="s">
        <v>262</v>
      </c>
      <c r="B255" s="122">
        <v>254.0</v>
      </c>
      <c r="C255" s="122">
        <v>24.0</v>
      </c>
      <c r="D255" s="121" t="s">
        <v>447</v>
      </c>
      <c r="E255" s="122">
        <v>9.998478588E9</v>
      </c>
      <c r="F255" s="121" t="s">
        <v>1298</v>
      </c>
    </row>
    <row r="256" ht="22.5" customHeight="1">
      <c r="A256" s="121" t="s">
        <v>263</v>
      </c>
      <c r="B256" s="122">
        <v>255.0</v>
      </c>
      <c r="C256" s="122">
        <v>24.0</v>
      </c>
      <c r="D256" s="121" t="s">
        <v>1583</v>
      </c>
      <c r="E256" s="122">
        <v>9.033120743E9</v>
      </c>
      <c r="F256" s="121" t="s">
        <v>1583</v>
      </c>
    </row>
    <row r="257" ht="22.5" customHeight="1">
      <c r="A257" s="121" t="s">
        <v>264</v>
      </c>
      <c r="B257" s="122">
        <v>256.0</v>
      </c>
      <c r="C257" s="122">
        <v>19.0</v>
      </c>
      <c r="D257" s="121" t="s">
        <v>447</v>
      </c>
      <c r="E257" s="122">
        <v>9.427225286E9</v>
      </c>
      <c r="F257" s="121" t="s">
        <v>1305</v>
      </c>
    </row>
    <row r="258" ht="22.5" customHeight="1">
      <c r="A258" s="121" t="s">
        <v>265</v>
      </c>
      <c r="B258" s="122">
        <v>257.0</v>
      </c>
      <c r="C258" s="122">
        <v>23.0</v>
      </c>
      <c r="D258" s="121" t="s">
        <v>458</v>
      </c>
      <c r="E258" s="122">
        <v>9.1727443E9</v>
      </c>
      <c r="F258" s="121" t="s">
        <v>1310</v>
      </c>
    </row>
    <row r="259" ht="22.5" customHeight="1">
      <c r="A259" s="121" t="s">
        <v>266</v>
      </c>
      <c r="B259" s="122">
        <v>258.0</v>
      </c>
      <c r="C259" s="122">
        <v>27.0</v>
      </c>
      <c r="D259" s="121" t="s">
        <v>458</v>
      </c>
      <c r="E259" s="122">
        <v>9.820163019E9</v>
      </c>
      <c r="F259" s="121" t="s">
        <v>1313</v>
      </c>
    </row>
    <row r="260" ht="22.5" customHeight="1">
      <c r="A260" s="121" t="s">
        <v>267</v>
      </c>
      <c r="B260" s="122">
        <v>259.0</v>
      </c>
      <c r="C260" s="122">
        <v>28.0</v>
      </c>
      <c r="D260" s="121" t="s">
        <v>447</v>
      </c>
      <c r="E260" s="122">
        <v>9.461631046E9</v>
      </c>
      <c r="F260" s="121" t="s">
        <v>1316</v>
      </c>
    </row>
    <row r="261" ht="22.5" customHeight="1">
      <c r="A261" s="121" t="s">
        <v>268</v>
      </c>
      <c r="B261" s="122">
        <v>260.0</v>
      </c>
      <c r="C261" s="122">
        <v>33.0</v>
      </c>
      <c r="D261" s="121" t="s">
        <v>1583</v>
      </c>
      <c r="E261" s="122">
        <v>8.43557622E9</v>
      </c>
      <c r="F261" s="121" t="s">
        <v>1583</v>
      </c>
    </row>
    <row r="262" ht="22.5" customHeight="1">
      <c r="A262" s="121" t="s">
        <v>269</v>
      </c>
      <c r="B262" s="122">
        <v>261.0</v>
      </c>
      <c r="C262" s="122">
        <v>19.0</v>
      </c>
      <c r="D262" s="121" t="s">
        <v>1583</v>
      </c>
      <c r="E262" s="122">
        <v>9.171396575E9</v>
      </c>
      <c r="F262" s="121" t="s">
        <v>1583</v>
      </c>
    </row>
    <row r="263" ht="22.5" customHeight="1">
      <c r="A263" s="121" t="s">
        <v>270</v>
      </c>
      <c r="B263" s="122">
        <v>262.0</v>
      </c>
      <c r="C263" s="122">
        <v>36.0</v>
      </c>
      <c r="D263" s="121" t="s">
        <v>458</v>
      </c>
      <c r="E263" s="122">
        <v>9.86767232E9</v>
      </c>
      <c r="F263" s="121" t="s">
        <v>1319</v>
      </c>
    </row>
    <row r="264" ht="22.5" customHeight="1">
      <c r="A264" s="121" t="s">
        <v>271</v>
      </c>
      <c r="B264" s="122">
        <v>263.0</v>
      </c>
      <c r="C264" s="122"/>
      <c r="D264" s="121" t="s">
        <v>1583</v>
      </c>
      <c r="E264" s="122">
        <v>9.893664876E9</v>
      </c>
      <c r="F264" s="121" t="s">
        <v>1583</v>
      </c>
    </row>
    <row r="265" ht="22.5" customHeight="1">
      <c r="A265" s="121" t="s">
        <v>272</v>
      </c>
      <c r="B265" s="122">
        <v>264.0</v>
      </c>
      <c r="C265" s="122">
        <v>17.0</v>
      </c>
      <c r="D265" s="121" t="s">
        <v>487</v>
      </c>
      <c r="E265" s="122">
        <v>8.602525986E9</v>
      </c>
      <c r="F265" s="121" t="s">
        <v>1337</v>
      </c>
    </row>
    <row r="266" ht="22.5" customHeight="1">
      <c r="A266" s="121" t="s">
        <v>273</v>
      </c>
      <c r="B266" s="122">
        <v>265.0</v>
      </c>
      <c r="C266" s="122">
        <v>28.0</v>
      </c>
      <c r="D266" s="121" t="s">
        <v>1583</v>
      </c>
      <c r="E266" s="122">
        <v>7.021355704E9</v>
      </c>
      <c r="F266" s="121" t="s">
        <v>1583</v>
      </c>
    </row>
    <row r="267" ht="22.5" customHeight="1">
      <c r="A267" s="121" t="s">
        <v>274</v>
      </c>
      <c r="B267" s="122">
        <v>266.0</v>
      </c>
      <c r="C267" s="122">
        <v>25.0</v>
      </c>
      <c r="D267" s="121" t="s">
        <v>441</v>
      </c>
      <c r="E267" s="122">
        <v>9.769115162E9</v>
      </c>
      <c r="F267" s="121" t="s">
        <v>1339</v>
      </c>
    </row>
    <row r="268" ht="22.5" customHeight="1">
      <c r="A268" s="121" t="s">
        <v>275</v>
      </c>
      <c r="B268" s="122">
        <v>267.0</v>
      </c>
      <c r="C268" s="122">
        <v>23.0</v>
      </c>
      <c r="D268" s="121" t="s">
        <v>447</v>
      </c>
      <c r="E268" s="122">
        <v>9.004947766E9</v>
      </c>
      <c r="F268" s="121" t="s">
        <v>1342</v>
      </c>
    </row>
    <row r="269" ht="22.5" customHeight="1">
      <c r="A269" s="121" t="s">
        <v>276</v>
      </c>
      <c r="B269" s="122">
        <v>268.0</v>
      </c>
      <c r="C269" s="122">
        <v>24.0</v>
      </c>
      <c r="D269" s="121" t="s">
        <v>604</v>
      </c>
      <c r="E269" s="122">
        <v>9.270862848E9</v>
      </c>
      <c r="F269" s="121" t="s">
        <v>1344</v>
      </c>
    </row>
    <row r="270" ht="22.5" customHeight="1">
      <c r="A270" s="121" t="s">
        <v>277</v>
      </c>
      <c r="B270" s="122">
        <v>269.0</v>
      </c>
      <c r="C270" s="122">
        <v>17.0</v>
      </c>
      <c r="D270" s="121" t="s">
        <v>1583</v>
      </c>
      <c r="E270" s="122">
        <v>9.739926679E9</v>
      </c>
      <c r="F270" s="121" t="s">
        <v>1583</v>
      </c>
    </row>
    <row r="271" ht="22.5" customHeight="1">
      <c r="A271" s="121" t="s">
        <v>278</v>
      </c>
      <c r="B271" s="122">
        <v>270.0</v>
      </c>
      <c r="C271" s="122">
        <v>16.0</v>
      </c>
      <c r="D271" s="121" t="s">
        <v>1583</v>
      </c>
      <c r="E271" s="122">
        <v>7.879575799E9</v>
      </c>
      <c r="F271" s="121" t="s">
        <v>1583</v>
      </c>
    </row>
    <row r="272" ht="22.5" customHeight="1">
      <c r="A272" s="121" t="s">
        <v>279</v>
      </c>
      <c r="B272" s="122">
        <v>271.0</v>
      </c>
      <c r="C272" s="122">
        <v>21.0</v>
      </c>
      <c r="D272" s="121" t="s">
        <v>447</v>
      </c>
      <c r="E272" s="122">
        <v>9.111630011E9</v>
      </c>
      <c r="F272" s="121" t="s">
        <v>1353</v>
      </c>
    </row>
    <row r="273" ht="22.5" customHeight="1">
      <c r="A273" s="121" t="s">
        <v>280</v>
      </c>
      <c r="B273" s="122">
        <v>272.0</v>
      </c>
      <c r="C273" s="122">
        <v>16.0</v>
      </c>
      <c r="D273" s="121" t="s">
        <v>1583</v>
      </c>
      <c r="E273" s="122">
        <v>9.479701685E9</v>
      </c>
      <c r="F273" s="121" t="s">
        <v>1583</v>
      </c>
    </row>
    <row r="274" ht="22.5" customHeight="1">
      <c r="A274" s="121" t="s">
        <v>281</v>
      </c>
      <c r="B274" s="122">
        <v>273.0</v>
      </c>
      <c r="C274" s="122">
        <v>21.0</v>
      </c>
      <c r="D274" s="121" t="s">
        <v>1583</v>
      </c>
      <c r="E274" s="122">
        <v>9.300122738E9</v>
      </c>
      <c r="F274" s="121" t="s">
        <v>1583</v>
      </c>
    </row>
    <row r="275" ht="22.5" customHeight="1">
      <c r="A275" s="121" t="s">
        <v>282</v>
      </c>
      <c r="B275" s="122">
        <v>274.0</v>
      </c>
      <c r="C275" s="122">
        <v>34.0</v>
      </c>
      <c r="D275" s="121" t="s">
        <v>458</v>
      </c>
      <c r="E275" s="122">
        <v>9.76940604E9</v>
      </c>
      <c r="F275" s="121" t="s">
        <v>1355</v>
      </c>
    </row>
    <row r="276" ht="22.5" customHeight="1">
      <c r="A276" s="121" t="s">
        <v>283</v>
      </c>
      <c r="B276" s="122">
        <v>275.0</v>
      </c>
      <c r="C276" s="122">
        <v>37.0</v>
      </c>
      <c r="D276" s="121" t="s">
        <v>487</v>
      </c>
      <c r="E276" s="122">
        <v>9.820983862E9</v>
      </c>
      <c r="F276" s="121" t="s">
        <v>1358</v>
      </c>
    </row>
    <row r="277" ht="22.5" customHeight="1">
      <c r="A277" s="121" t="s">
        <v>284</v>
      </c>
      <c r="B277" s="122">
        <v>276.0</v>
      </c>
      <c r="C277" s="122">
        <v>35.0</v>
      </c>
      <c r="D277" s="121" t="s">
        <v>441</v>
      </c>
      <c r="E277" s="122">
        <v>9.893260745E9</v>
      </c>
      <c r="F277" s="121" t="s">
        <v>1362</v>
      </c>
    </row>
    <row r="278" ht="22.5" customHeight="1">
      <c r="A278" s="121" t="s">
        <v>285</v>
      </c>
      <c r="B278" s="122">
        <v>277.0</v>
      </c>
      <c r="C278" s="122">
        <v>35.0</v>
      </c>
      <c r="D278" s="121" t="s">
        <v>458</v>
      </c>
      <c r="E278" s="122">
        <v>9.821213637E9</v>
      </c>
      <c r="F278" s="121" t="s">
        <v>1370</v>
      </c>
    </row>
    <row r="279" ht="22.5" customHeight="1">
      <c r="A279" s="121" t="s">
        <v>286</v>
      </c>
      <c r="B279" s="122">
        <v>278.0</v>
      </c>
      <c r="C279" s="122"/>
      <c r="D279" s="121" t="s">
        <v>1583</v>
      </c>
      <c r="E279" s="122">
        <v>6.375968292E9</v>
      </c>
      <c r="F279" s="121" t="s">
        <v>1583</v>
      </c>
    </row>
    <row r="280" ht="22.5" customHeight="1">
      <c r="A280" s="121" t="s">
        <v>287</v>
      </c>
      <c r="B280" s="122">
        <v>279.0</v>
      </c>
      <c r="C280" s="122">
        <v>25.0</v>
      </c>
      <c r="D280" s="121" t="s">
        <v>458</v>
      </c>
      <c r="E280" s="122">
        <v>9.930259525E9</v>
      </c>
      <c r="F280" s="121" t="s">
        <v>1372</v>
      </c>
    </row>
    <row r="281" ht="22.5" customHeight="1">
      <c r="A281" s="121" t="s">
        <v>288</v>
      </c>
      <c r="B281" s="122">
        <v>280.0</v>
      </c>
      <c r="C281" s="122">
        <v>16.0</v>
      </c>
      <c r="D281" s="121" t="s">
        <v>1583</v>
      </c>
      <c r="E281" s="122">
        <v>7.724878393E9</v>
      </c>
      <c r="F281" s="121" t="s">
        <v>1583</v>
      </c>
    </row>
    <row r="282" ht="22.5" customHeight="1">
      <c r="A282" s="121" t="s">
        <v>288</v>
      </c>
      <c r="B282" s="122">
        <v>281.0</v>
      </c>
      <c r="C282" s="122">
        <v>16.0</v>
      </c>
      <c r="D282" s="121" t="s">
        <v>1583</v>
      </c>
      <c r="E282" s="122">
        <v>6.264523877E9</v>
      </c>
      <c r="F282" s="121" t="s">
        <v>1583</v>
      </c>
    </row>
    <row r="283" ht="22.5" customHeight="1">
      <c r="A283" s="121" t="s">
        <v>289</v>
      </c>
      <c r="B283" s="122">
        <v>282.0</v>
      </c>
      <c r="C283" s="122">
        <v>15.0</v>
      </c>
      <c r="D283" s="121" t="s">
        <v>1583</v>
      </c>
      <c r="E283" s="122">
        <v>9.685079278E9</v>
      </c>
      <c r="F283" s="121" t="s">
        <v>1583</v>
      </c>
    </row>
    <row r="284" ht="22.5" customHeight="1">
      <c r="A284" s="121" t="s">
        <v>290</v>
      </c>
      <c r="B284" s="122">
        <v>283.0</v>
      </c>
      <c r="C284" s="122">
        <v>19.0</v>
      </c>
      <c r="D284" s="121" t="s">
        <v>1583</v>
      </c>
      <c r="E284" s="122">
        <v>8.39012839E9</v>
      </c>
      <c r="F284" s="121" t="s">
        <v>1583</v>
      </c>
    </row>
    <row r="285" ht="22.5" customHeight="1">
      <c r="A285" s="121" t="s">
        <v>291</v>
      </c>
      <c r="B285" s="122">
        <v>284.0</v>
      </c>
      <c r="C285" s="122">
        <v>14.0</v>
      </c>
      <c r="D285" s="121" t="s">
        <v>1583</v>
      </c>
      <c r="E285" s="122">
        <v>7.999380042E9</v>
      </c>
      <c r="F285" s="121" t="s">
        <v>1583</v>
      </c>
    </row>
    <row r="286" ht="22.5" customHeight="1">
      <c r="A286" s="121" t="s">
        <v>291</v>
      </c>
      <c r="B286" s="122">
        <v>285.0</v>
      </c>
      <c r="C286" s="122">
        <v>21.0</v>
      </c>
      <c r="D286" s="121" t="s">
        <v>458</v>
      </c>
      <c r="E286" s="122">
        <v>8.719032004E9</v>
      </c>
      <c r="F286" s="121" t="s">
        <v>1375</v>
      </c>
    </row>
    <row r="287" ht="22.5" customHeight="1">
      <c r="A287" s="121" t="s">
        <v>292</v>
      </c>
      <c r="B287" s="122">
        <v>286.0</v>
      </c>
      <c r="C287" s="122">
        <v>37.0</v>
      </c>
      <c r="D287" s="121" t="s">
        <v>1583</v>
      </c>
      <c r="E287" s="122">
        <v>9.752307729E9</v>
      </c>
      <c r="F287" s="121" t="s">
        <v>1583</v>
      </c>
    </row>
    <row r="288" ht="22.5" customHeight="1">
      <c r="A288" s="121" t="s">
        <v>293</v>
      </c>
      <c r="B288" s="122">
        <v>287.0</v>
      </c>
      <c r="C288" s="122">
        <v>31.0</v>
      </c>
      <c r="D288" s="121" t="s">
        <v>1583</v>
      </c>
      <c r="E288" s="122">
        <v>9.007086765E9</v>
      </c>
      <c r="F288" s="121" t="s">
        <v>1583</v>
      </c>
    </row>
    <row r="289" ht="22.5" customHeight="1">
      <c r="A289" s="121" t="s">
        <v>294</v>
      </c>
      <c r="B289" s="122">
        <v>288.0</v>
      </c>
      <c r="C289" s="122">
        <v>17.0</v>
      </c>
      <c r="D289" s="121" t="s">
        <v>1583</v>
      </c>
      <c r="E289" s="122">
        <v>9.421163161E9</v>
      </c>
      <c r="F289" s="121" t="s">
        <v>1583</v>
      </c>
    </row>
    <row r="290" ht="22.5" customHeight="1">
      <c r="A290" s="121" t="s">
        <v>295</v>
      </c>
      <c r="B290" s="122">
        <v>289.0</v>
      </c>
      <c r="C290" s="122">
        <v>36.0</v>
      </c>
      <c r="D290" s="121" t="s">
        <v>458</v>
      </c>
      <c r="E290" s="122">
        <v>9.773532004E9</v>
      </c>
      <c r="F290" s="121" t="s">
        <v>1377</v>
      </c>
    </row>
    <row r="291" ht="22.5" customHeight="1">
      <c r="A291" s="121" t="s">
        <v>296</v>
      </c>
      <c r="B291" s="122">
        <v>290.0</v>
      </c>
      <c r="C291" s="122">
        <v>23.0</v>
      </c>
      <c r="D291" s="121" t="s">
        <v>1583</v>
      </c>
      <c r="E291" s="122">
        <v>8.459510994E9</v>
      </c>
      <c r="F291" s="121" t="s">
        <v>1583</v>
      </c>
    </row>
    <row r="292" ht="22.5" customHeight="1">
      <c r="A292" s="121" t="s">
        <v>297</v>
      </c>
      <c r="B292" s="122">
        <v>291.0</v>
      </c>
      <c r="C292" s="122">
        <v>20.0</v>
      </c>
      <c r="D292" s="121" t="s">
        <v>458</v>
      </c>
      <c r="E292" s="122">
        <v>8.889133721E9</v>
      </c>
      <c r="F292" s="121" t="s">
        <v>1381</v>
      </c>
    </row>
    <row r="293" ht="22.5" customHeight="1">
      <c r="A293" s="121" t="s">
        <v>298</v>
      </c>
      <c r="B293" s="122">
        <v>292.0</v>
      </c>
      <c r="C293" s="122">
        <v>18.0</v>
      </c>
      <c r="D293" s="121" t="s">
        <v>458</v>
      </c>
      <c r="E293" s="122">
        <v>9.425980413E9</v>
      </c>
      <c r="F293" s="121" t="s">
        <v>1384</v>
      </c>
    </row>
    <row r="294" ht="22.5" customHeight="1">
      <c r="A294" s="121" t="s">
        <v>299</v>
      </c>
      <c r="B294" s="122">
        <v>293.0</v>
      </c>
      <c r="C294" s="122">
        <v>25.0</v>
      </c>
      <c r="D294" s="121" t="s">
        <v>447</v>
      </c>
      <c r="E294" s="122">
        <v>9.752635357E9</v>
      </c>
      <c r="F294" s="121" t="s">
        <v>1387</v>
      </c>
    </row>
    <row r="295" ht="22.5" customHeight="1">
      <c r="A295" s="121" t="s">
        <v>300</v>
      </c>
      <c r="B295" s="122">
        <v>294.0</v>
      </c>
      <c r="C295" s="122">
        <v>16.0</v>
      </c>
      <c r="D295" s="121" t="s">
        <v>1583</v>
      </c>
      <c r="E295" s="122">
        <v>6.261547164E9</v>
      </c>
      <c r="F295" s="121" t="s">
        <v>1583</v>
      </c>
    </row>
    <row r="296" ht="22.5" customHeight="1">
      <c r="A296" s="121" t="s">
        <v>301</v>
      </c>
      <c r="B296" s="122">
        <v>295.0</v>
      </c>
      <c r="C296" s="122">
        <v>36.0</v>
      </c>
      <c r="D296" s="121" t="s">
        <v>458</v>
      </c>
      <c r="E296" s="122">
        <v>9.426629266E9</v>
      </c>
      <c r="F296" s="121" t="s">
        <v>1391</v>
      </c>
    </row>
    <row r="297" ht="22.5" customHeight="1">
      <c r="A297" s="121" t="s">
        <v>302</v>
      </c>
      <c r="B297" s="122">
        <v>296.0</v>
      </c>
      <c r="C297" s="122">
        <v>20.0</v>
      </c>
      <c r="D297" s="121" t="s">
        <v>447</v>
      </c>
      <c r="E297" s="122">
        <v>7.021786769E9</v>
      </c>
      <c r="F297" s="121" t="s">
        <v>1394</v>
      </c>
    </row>
    <row r="298" ht="22.5" customHeight="1">
      <c r="A298" s="121" t="s">
        <v>303</v>
      </c>
      <c r="B298" s="122">
        <v>297.0</v>
      </c>
      <c r="C298" s="122">
        <v>35.0</v>
      </c>
      <c r="D298" s="121" t="s">
        <v>441</v>
      </c>
      <c r="E298" s="122">
        <v>9.82027913E9</v>
      </c>
      <c r="F298" s="121" t="s">
        <v>1400</v>
      </c>
    </row>
    <row r="299" ht="22.5" customHeight="1">
      <c r="A299" s="121" t="s">
        <v>304</v>
      </c>
      <c r="B299" s="122">
        <v>298.0</v>
      </c>
      <c r="C299" s="122">
        <v>26.0</v>
      </c>
      <c r="D299" s="121" t="s">
        <v>458</v>
      </c>
      <c r="E299" s="122">
        <v>9.689588922E9</v>
      </c>
      <c r="F299" s="121" t="s">
        <v>1404</v>
      </c>
    </row>
    <row r="300" ht="22.5" customHeight="1">
      <c r="A300" s="121" t="s">
        <v>305</v>
      </c>
      <c r="B300" s="122">
        <v>299.0</v>
      </c>
      <c r="C300" s="122">
        <v>19.0</v>
      </c>
      <c r="D300" s="121" t="s">
        <v>447</v>
      </c>
      <c r="E300" s="122">
        <v>8.779505934E9</v>
      </c>
      <c r="F300" s="121" t="s">
        <v>1407</v>
      </c>
    </row>
    <row r="301" ht="22.5" customHeight="1">
      <c r="A301" s="121" t="s">
        <v>306</v>
      </c>
      <c r="B301" s="122">
        <v>300.0</v>
      </c>
      <c r="C301" s="122">
        <v>20.0</v>
      </c>
      <c r="D301" s="121" t="s">
        <v>604</v>
      </c>
      <c r="E301" s="122">
        <v>9.987442429E9</v>
      </c>
      <c r="F301" s="121" t="s">
        <v>1413</v>
      </c>
    </row>
    <row r="302" ht="22.5" customHeight="1">
      <c r="A302" s="121" t="s">
        <v>307</v>
      </c>
      <c r="B302" s="122">
        <v>301.0</v>
      </c>
      <c r="C302" s="122">
        <v>19.0</v>
      </c>
      <c r="D302" s="121" t="s">
        <v>447</v>
      </c>
      <c r="E302" s="122">
        <v>8.306636404E9</v>
      </c>
      <c r="F302" s="121" t="s">
        <v>1417</v>
      </c>
    </row>
    <row r="303" ht="22.5" customHeight="1">
      <c r="A303" s="121" t="s">
        <v>308</v>
      </c>
      <c r="B303" s="122">
        <v>302.0</v>
      </c>
      <c r="C303" s="122">
        <v>23.0</v>
      </c>
      <c r="D303" s="121" t="s">
        <v>604</v>
      </c>
      <c r="E303" s="122">
        <v>9.922408775E9</v>
      </c>
      <c r="F303" s="121" t="s">
        <v>1421</v>
      </c>
    </row>
    <row r="304" ht="22.5" customHeight="1">
      <c r="A304" s="121" t="s">
        <v>309</v>
      </c>
      <c r="B304" s="122">
        <v>303.0</v>
      </c>
      <c r="C304" s="122">
        <v>20.0</v>
      </c>
      <c r="D304" s="121" t="s">
        <v>458</v>
      </c>
      <c r="E304" s="122">
        <v>9.712759705E9</v>
      </c>
      <c r="F304" s="121" t="s">
        <v>597</v>
      </c>
    </row>
    <row r="305" ht="22.5" customHeight="1">
      <c r="A305" s="121" t="s">
        <v>310</v>
      </c>
      <c r="B305" s="122">
        <v>304.0</v>
      </c>
      <c r="C305" s="122">
        <v>19.0</v>
      </c>
      <c r="D305" s="121" t="s">
        <v>447</v>
      </c>
      <c r="E305" s="122">
        <v>9.870538394E9</v>
      </c>
      <c r="F305" s="121" t="s">
        <v>1423</v>
      </c>
    </row>
    <row r="306" ht="22.5" customHeight="1">
      <c r="A306" s="121" t="s">
        <v>311</v>
      </c>
      <c r="B306" s="122">
        <v>305.0</v>
      </c>
      <c r="C306" s="122">
        <v>21.0</v>
      </c>
      <c r="D306" s="121" t="s">
        <v>487</v>
      </c>
      <c r="E306" s="122">
        <v>9.821257265E9</v>
      </c>
      <c r="F306" s="121" t="s">
        <v>1426</v>
      </c>
    </row>
    <row r="307" ht="22.5" customHeight="1">
      <c r="A307" s="121" t="s">
        <v>312</v>
      </c>
      <c r="B307" s="122">
        <v>306.0</v>
      </c>
      <c r="C307" s="122">
        <v>35.0</v>
      </c>
      <c r="D307" s="121" t="s">
        <v>447</v>
      </c>
      <c r="E307" s="122">
        <v>7.000496236E9</v>
      </c>
      <c r="F307" s="121" t="s">
        <v>1429</v>
      </c>
    </row>
    <row r="308" ht="22.5" customHeight="1">
      <c r="A308" s="121" t="s">
        <v>313</v>
      </c>
      <c r="B308" s="122">
        <v>307.0</v>
      </c>
      <c r="C308" s="122">
        <v>42.0</v>
      </c>
      <c r="D308" s="121" t="s">
        <v>458</v>
      </c>
      <c r="E308" s="122">
        <v>9.649566062E9</v>
      </c>
      <c r="F308" s="121" t="s">
        <v>1432</v>
      </c>
    </row>
    <row r="309" ht="22.5" customHeight="1">
      <c r="A309" s="121" t="s">
        <v>314</v>
      </c>
      <c r="B309" s="122">
        <v>308.0</v>
      </c>
      <c r="C309" s="122">
        <v>17.0</v>
      </c>
      <c r="D309" s="121" t="s">
        <v>1583</v>
      </c>
      <c r="E309" s="122">
        <v>7.869495296E9</v>
      </c>
      <c r="F309" s="121" t="s">
        <v>1583</v>
      </c>
    </row>
    <row r="310" ht="22.5" customHeight="1">
      <c r="A310" s="121" t="s">
        <v>315</v>
      </c>
      <c r="B310" s="122">
        <v>309.0</v>
      </c>
      <c r="C310" s="122">
        <v>19.0</v>
      </c>
      <c r="D310" s="121" t="s">
        <v>447</v>
      </c>
      <c r="E310" s="122">
        <v>7.024325588E9</v>
      </c>
      <c r="F310" s="121" t="s">
        <v>1436</v>
      </c>
    </row>
    <row r="311" ht="22.5" customHeight="1">
      <c r="A311" s="121" t="s">
        <v>316</v>
      </c>
      <c r="B311" s="122">
        <v>310.0</v>
      </c>
      <c r="C311" s="122">
        <v>18.0</v>
      </c>
      <c r="D311" s="121" t="s">
        <v>1438</v>
      </c>
      <c r="E311" s="122">
        <v>7.039033501E9</v>
      </c>
      <c r="F311" s="121" t="s">
        <v>1439</v>
      </c>
    </row>
    <row r="312" ht="22.5" customHeight="1">
      <c r="A312" s="121" t="s">
        <v>317</v>
      </c>
      <c r="B312" s="122">
        <v>311.0</v>
      </c>
      <c r="C312" s="122">
        <v>20.0</v>
      </c>
      <c r="D312" s="121" t="s">
        <v>447</v>
      </c>
      <c r="E312" s="122">
        <v>9.892981015E9</v>
      </c>
      <c r="F312" s="121" t="s">
        <v>1443</v>
      </c>
    </row>
    <row r="313" ht="22.5" customHeight="1">
      <c r="A313" s="121" t="s">
        <v>318</v>
      </c>
      <c r="B313" s="122">
        <v>312.0</v>
      </c>
      <c r="C313" s="122">
        <v>23.0</v>
      </c>
      <c r="D313" s="121" t="s">
        <v>487</v>
      </c>
      <c r="E313" s="122">
        <v>8.147304722E9</v>
      </c>
      <c r="F313" s="121" t="s">
        <v>1445</v>
      </c>
    </row>
    <row r="314" ht="22.5" customHeight="1">
      <c r="A314" s="121" t="s">
        <v>319</v>
      </c>
      <c r="B314" s="122">
        <v>313.0</v>
      </c>
      <c r="C314" s="122">
        <v>22.0</v>
      </c>
      <c r="D314" s="121" t="s">
        <v>458</v>
      </c>
      <c r="E314" s="122">
        <v>9.320864365E9</v>
      </c>
      <c r="F314" s="121" t="s">
        <v>1452</v>
      </c>
    </row>
    <row r="315" ht="22.5" customHeight="1">
      <c r="A315" s="121" t="s">
        <v>320</v>
      </c>
      <c r="B315" s="122">
        <v>314.0</v>
      </c>
      <c r="C315" s="122">
        <v>16.0</v>
      </c>
      <c r="D315" s="121" t="s">
        <v>458</v>
      </c>
      <c r="E315" s="122">
        <v>9.82118066E9</v>
      </c>
      <c r="F315" s="121" t="s">
        <v>1456</v>
      </c>
    </row>
    <row r="316" ht="22.5" customHeight="1">
      <c r="A316" s="121" t="s">
        <v>321</v>
      </c>
      <c r="B316" s="122">
        <v>315.0</v>
      </c>
      <c r="C316" s="122">
        <v>20.0</v>
      </c>
      <c r="D316" s="121" t="s">
        <v>447</v>
      </c>
      <c r="E316" s="122">
        <v>9.869076421E9</v>
      </c>
      <c r="F316" s="121" t="s">
        <v>1448</v>
      </c>
    </row>
    <row r="317" ht="22.5" customHeight="1">
      <c r="A317" s="121" t="s">
        <v>322</v>
      </c>
      <c r="B317" s="122">
        <v>316.0</v>
      </c>
      <c r="C317" s="122">
        <v>16.0</v>
      </c>
      <c r="D317" s="121" t="s">
        <v>470</v>
      </c>
      <c r="E317" s="122">
        <v>8.149880999E9</v>
      </c>
      <c r="F317" s="121" t="s">
        <v>1458</v>
      </c>
    </row>
    <row r="318" ht="22.5" customHeight="1">
      <c r="A318" s="121" t="s">
        <v>323</v>
      </c>
      <c r="B318" s="122">
        <v>317.0</v>
      </c>
      <c r="C318" s="122">
        <v>23.0</v>
      </c>
      <c r="D318" s="121" t="s">
        <v>487</v>
      </c>
      <c r="E318" s="122">
        <v>9.51163432E9</v>
      </c>
      <c r="F318" s="121" t="s">
        <v>1462</v>
      </c>
    </row>
    <row r="319" ht="22.5" customHeight="1">
      <c r="A319" s="121" t="s">
        <v>324</v>
      </c>
      <c r="B319" s="122">
        <v>318.0</v>
      </c>
      <c r="C319" s="122">
        <v>21.0</v>
      </c>
      <c r="D319" s="121" t="s">
        <v>1583</v>
      </c>
      <c r="E319" s="122">
        <v>9.309875185E9</v>
      </c>
      <c r="F319" s="121" t="s">
        <v>1583</v>
      </c>
    </row>
    <row r="320" ht="22.5" customHeight="1">
      <c r="A320" s="121" t="s">
        <v>325</v>
      </c>
      <c r="B320" s="122">
        <v>319.0</v>
      </c>
      <c r="C320" s="122">
        <v>19.0</v>
      </c>
      <c r="D320" s="121" t="s">
        <v>487</v>
      </c>
      <c r="E320" s="122">
        <v>8.369404892E9</v>
      </c>
      <c r="F320" s="121" t="s">
        <v>1465</v>
      </c>
    </row>
    <row r="321" ht="22.5" customHeight="1">
      <c r="A321" s="121" t="s">
        <v>326</v>
      </c>
      <c r="B321" s="122">
        <v>320.0</v>
      </c>
      <c r="C321" s="122">
        <v>35.0</v>
      </c>
      <c r="D321" s="121" t="s">
        <v>1583</v>
      </c>
      <c r="E321" s="122">
        <v>9.9781265E9</v>
      </c>
      <c r="F321" s="121" t="s">
        <v>1583</v>
      </c>
    </row>
    <row r="322" ht="22.5" customHeight="1">
      <c r="A322" s="121" t="s">
        <v>327</v>
      </c>
      <c r="B322" s="122">
        <v>321.0</v>
      </c>
      <c r="C322" s="122">
        <v>33.0</v>
      </c>
      <c r="D322" s="121" t="s">
        <v>458</v>
      </c>
      <c r="E322" s="122">
        <v>9.833199923E9</v>
      </c>
      <c r="F322" s="121" t="s">
        <v>1475</v>
      </c>
    </row>
    <row r="323" ht="22.5" customHeight="1">
      <c r="A323" s="121" t="s">
        <v>328</v>
      </c>
      <c r="B323" s="122">
        <v>322.0</v>
      </c>
      <c r="C323" s="122">
        <v>41.0</v>
      </c>
      <c r="D323" s="121" t="s">
        <v>458</v>
      </c>
      <c r="E323" s="122">
        <v>9.725555541E9</v>
      </c>
      <c r="F323" s="121" t="s">
        <v>1488</v>
      </c>
    </row>
    <row r="324" ht="22.5" customHeight="1">
      <c r="A324" s="121" t="s">
        <v>329</v>
      </c>
      <c r="B324" s="122">
        <v>323.0</v>
      </c>
      <c r="C324" s="122">
        <v>25.0</v>
      </c>
      <c r="D324" s="121" t="s">
        <v>458</v>
      </c>
      <c r="E324" s="122">
        <v>9.324834354E9</v>
      </c>
      <c r="F324" s="121" t="s">
        <v>1482</v>
      </c>
    </row>
    <row r="325" ht="22.5" customHeight="1">
      <c r="A325" s="121" t="s">
        <v>330</v>
      </c>
      <c r="B325" s="122">
        <v>324.0</v>
      </c>
      <c r="C325" s="122">
        <v>23.0</v>
      </c>
      <c r="D325" s="121" t="s">
        <v>447</v>
      </c>
      <c r="E325" s="122">
        <v>9.71291323E9</v>
      </c>
      <c r="F325" s="121" t="s">
        <v>1484</v>
      </c>
    </row>
    <row r="326" ht="22.5" customHeight="1">
      <c r="A326" s="121" t="s">
        <v>331</v>
      </c>
      <c r="B326" s="122">
        <v>325.0</v>
      </c>
      <c r="C326" s="122">
        <v>20.0</v>
      </c>
      <c r="D326" s="121" t="s">
        <v>458</v>
      </c>
      <c r="E326" s="122">
        <v>9.819528088E9</v>
      </c>
      <c r="F326" s="121" t="s">
        <v>1491</v>
      </c>
    </row>
    <row r="327" ht="22.5" customHeight="1">
      <c r="A327" s="121" t="s">
        <v>332</v>
      </c>
      <c r="B327" s="122">
        <v>326.0</v>
      </c>
      <c r="C327" s="122">
        <v>19.0</v>
      </c>
      <c r="D327" s="121" t="s">
        <v>458</v>
      </c>
      <c r="E327" s="122">
        <v>9.892613366E9</v>
      </c>
      <c r="F327" s="121" t="s">
        <v>1494</v>
      </c>
    </row>
    <row r="328" ht="22.5" customHeight="1">
      <c r="A328" s="121" t="s">
        <v>333</v>
      </c>
      <c r="B328" s="122">
        <v>327.0</v>
      </c>
      <c r="C328" s="122">
        <v>28.0</v>
      </c>
      <c r="D328" s="121" t="s">
        <v>458</v>
      </c>
      <c r="E328" s="122">
        <v>9.829188428E9</v>
      </c>
      <c r="F328" s="121" t="s">
        <v>1497</v>
      </c>
    </row>
    <row r="329" ht="22.5" customHeight="1">
      <c r="A329" s="121" t="s">
        <v>334</v>
      </c>
      <c r="B329" s="122">
        <v>328.0</v>
      </c>
      <c r="C329" s="122">
        <v>18.0</v>
      </c>
      <c r="D329" s="121" t="s">
        <v>447</v>
      </c>
      <c r="E329" s="122">
        <v>9.422666062E9</v>
      </c>
      <c r="F329" s="121" t="s">
        <v>1499</v>
      </c>
    </row>
    <row r="330" ht="22.5" customHeight="1">
      <c r="A330" s="121" t="s">
        <v>335</v>
      </c>
      <c r="B330" s="122">
        <v>329.0</v>
      </c>
      <c r="C330" s="122">
        <v>24.0</v>
      </c>
      <c r="D330" s="121" t="s">
        <v>447</v>
      </c>
      <c r="E330" s="122">
        <v>8.16078341E9</v>
      </c>
      <c r="F330" s="121" t="s">
        <v>1502</v>
      </c>
    </row>
    <row r="331" ht="22.5" customHeight="1">
      <c r="A331" s="121" t="s">
        <v>336</v>
      </c>
      <c r="B331" s="122">
        <v>330.0</v>
      </c>
      <c r="C331" s="122">
        <v>18.0</v>
      </c>
      <c r="D331" s="121" t="s">
        <v>447</v>
      </c>
      <c r="E331" s="122">
        <v>9.427066925E9</v>
      </c>
      <c r="F331" s="121" t="s">
        <v>1505</v>
      </c>
    </row>
    <row r="332" ht="22.5" customHeight="1">
      <c r="A332" s="121" t="s">
        <v>337</v>
      </c>
      <c r="B332" s="122">
        <v>331.0</v>
      </c>
      <c r="C332" s="122">
        <v>21.0</v>
      </c>
      <c r="D332" s="121" t="s">
        <v>458</v>
      </c>
      <c r="E332" s="122">
        <v>9.925995882E9</v>
      </c>
      <c r="F332" s="121" t="s">
        <v>1508</v>
      </c>
    </row>
    <row r="333" ht="22.5" customHeight="1">
      <c r="A333" s="121" t="s">
        <v>338</v>
      </c>
      <c r="B333" s="122">
        <v>332.0</v>
      </c>
      <c r="C333" s="122">
        <v>16.0</v>
      </c>
      <c r="D333" s="121" t="s">
        <v>447</v>
      </c>
      <c r="E333" s="122">
        <v>7.058053936E9</v>
      </c>
      <c r="F333" s="121" t="s">
        <v>1511</v>
      </c>
    </row>
    <row r="334" ht="22.5" customHeight="1">
      <c r="A334" s="121" t="s">
        <v>339</v>
      </c>
      <c r="B334" s="122">
        <v>333.0</v>
      </c>
      <c r="C334" s="122">
        <v>37.0</v>
      </c>
      <c r="D334" s="121" t="s">
        <v>447</v>
      </c>
      <c r="E334" s="122">
        <v>9.960840282E9</v>
      </c>
      <c r="F334" s="121" t="s">
        <v>735</v>
      </c>
    </row>
    <row r="335" ht="22.5" customHeight="1">
      <c r="A335" s="121" t="s">
        <v>340</v>
      </c>
      <c r="B335" s="122">
        <v>334.0</v>
      </c>
      <c r="C335" s="122">
        <v>22.0</v>
      </c>
      <c r="D335" s="121" t="s">
        <v>447</v>
      </c>
      <c r="E335" s="122">
        <v>7.849873562E9</v>
      </c>
      <c r="F335" s="121" t="s">
        <v>617</v>
      </c>
    </row>
    <row r="336" ht="22.5" customHeight="1">
      <c r="A336" s="121" t="s">
        <v>341</v>
      </c>
      <c r="B336" s="122">
        <v>335.0</v>
      </c>
      <c r="C336" s="122">
        <v>33.0</v>
      </c>
      <c r="D336" s="121" t="s">
        <v>447</v>
      </c>
      <c r="E336" s="122">
        <v>9.893285655E9</v>
      </c>
      <c r="F336" s="121" t="s">
        <v>854</v>
      </c>
    </row>
    <row r="337" ht="22.5" customHeight="1">
      <c r="A337" s="121" t="s">
        <v>342</v>
      </c>
      <c r="B337" s="122">
        <v>336.0</v>
      </c>
      <c r="C337" s="122">
        <v>33.0</v>
      </c>
      <c r="D337" s="121" t="s">
        <v>458</v>
      </c>
      <c r="E337" s="122">
        <v>9.619402561E9</v>
      </c>
      <c r="F337" s="121" t="s">
        <v>705</v>
      </c>
    </row>
    <row r="338" ht="22.5" customHeight="1">
      <c r="A338" s="121" t="s">
        <v>343</v>
      </c>
      <c r="B338" s="122">
        <v>337.0</v>
      </c>
      <c r="C338" s="122">
        <v>18.0</v>
      </c>
      <c r="D338" s="121" t="s">
        <v>458</v>
      </c>
      <c r="E338" s="122">
        <v>9.993993381E9</v>
      </c>
      <c r="F338" s="121" t="s">
        <v>567</v>
      </c>
    </row>
    <row r="339" ht="22.5" customHeight="1">
      <c r="A339" s="121" t="s">
        <v>344</v>
      </c>
      <c r="B339" s="122">
        <v>338.0</v>
      </c>
      <c r="C339" s="122">
        <v>31.0</v>
      </c>
      <c r="D339" s="121" t="s">
        <v>447</v>
      </c>
      <c r="E339" s="122">
        <v>9.413805414E9</v>
      </c>
      <c r="F339" s="121" t="s">
        <v>583</v>
      </c>
    </row>
    <row r="340" ht="22.5" customHeight="1">
      <c r="A340" s="121" t="s">
        <v>345</v>
      </c>
      <c r="B340" s="122">
        <v>339.0</v>
      </c>
      <c r="C340" s="122">
        <v>24.0</v>
      </c>
      <c r="D340" s="121" t="s">
        <v>487</v>
      </c>
      <c r="E340" s="122">
        <v>9.226144134E9</v>
      </c>
      <c r="F340" s="121" t="s">
        <v>708</v>
      </c>
    </row>
    <row r="341" ht="22.5" customHeight="1">
      <c r="A341" s="121" t="s">
        <v>346</v>
      </c>
      <c r="B341" s="122">
        <v>340.0</v>
      </c>
      <c r="C341" s="122">
        <v>42.0</v>
      </c>
      <c r="D341" s="121" t="s">
        <v>604</v>
      </c>
      <c r="E341" s="122">
        <v>9.820306577E9</v>
      </c>
      <c r="F341" s="121" t="s">
        <v>609</v>
      </c>
    </row>
    <row r="342" ht="22.5" customHeight="1">
      <c r="A342" s="121" t="s">
        <v>347</v>
      </c>
      <c r="B342" s="122">
        <v>341.0</v>
      </c>
      <c r="C342" s="122">
        <v>37.0</v>
      </c>
      <c r="D342" s="121" t="s">
        <v>487</v>
      </c>
      <c r="E342" s="122">
        <v>9.819882008E9</v>
      </c>
      <c r="F342" s="121" t="s">
        <v>1020</v>
      </c>
    </row>
    <row r="343" ht="22.5" customHeight="1">
      <c r="A343" s="121" t="s">
        <v>348</v>
      </c>
      <c r="B343" s="122">
        <v>342.0</v>
      </c>
      <c r="C343" s="122"/>
      <c r="D343" s="121" t="s">
        <v>1583</v>
      </c>
      <c r="E343" s="122">
        <v>7.987411677E9</v>
      </c>
      <c r="F343" s="121" t="s">
        <v>1583</v>
      </c>
    </row>
    <row r="344" ht="22.5" customHeight="1">
      <c r="A344" s="121" t="s">
        <v>349</v>
      </c>
      <c r="B344" s="122">
        <v>343.0</v>
      </c>
      <c r="C344" s="122">
        <v>32.0</v>
      </c>
      <c r="D344" s="121" t="s">
        <v>447</v>
      </c>
      <c r="E344" s="122">
        <v>9.870914343E9</v>
      </c>
      <c r="F344" s="121" t="s">
        <v>1027</v>
      </c>
    </row>
    <row r="345" ht="22.5" customHeight="1">
      <c r="A345" s="121" t="s">
        <v>350</v>
      </c>
      <c r="B345" s="122">
        <v>344.0</v>
      </c>
      <c r="C345" s="122">
        <v>29.0</v>
      </c>
      <c r="D345" s="121" t="s">
        <v>604</v>
      </c>
      <c r="E345" s="122">
        <v>9.773070052E9</v>
      </c>
      <c r="F345" s="121" t="s">
        <v>1334</v>
      </c>
    </row>
    <row r="346" ht="22.5" customHeight="1">
      <c r="A346" s="121" t="s">
        <v>351</v>
      </c>
      <c r="B346" s="122">
        <v>345.0</v>
      </c>
      <c r="C346" s="122">
        <v>26.0</v>
      </c>
      <c r="D346" s="121" t="s">
        <v>487</v>
      </c>
      <c r="E346" s="122">
        <v>8.839742689E9</v>
      </c>
      <c r="F346" s="121" t="s">
        <v>1238</v>
      </c>
    </row>
    <row r="347" ht="22.5" customHeight="1">
      <c r="A347" s="121" t="s">
        <v>352</v>
      </c>
      <c r="B347" s="122">
        <v>346.0</v>
      </c>
      <c r="C347" s="122"/>
      <c r="D347" s="121" t="s">
        <v>1583</v>
      </c>
      <c r="E347" s="122">
        <v>9.755410101E9</v>
      </c>
      <c r="F347" s="121" t="s">
        <v>1583</v>
      </c>
    </row>
    <row r="348" ht="22.5" customHeight="1">
      <c r="A348" s="121" t="s">
        <v>353</v>
      </c>
      <c r="B348" s="122">
        <v>347.0</v>
      </c>
      <c r="C348" s="122"/>
      <c r="D348" s="121" t="s">
        <v>1583</v>
      </c>
      <c r="E348" s="122">
        <v>7.710839615E9</v>
      </c>
      <c r="F348" s="121" t="s">
        <v>1583</v>
      </c>
    </row>
    <row r="349" ht="22.5" customHeight="1">
      <c r="A349" s="121" t="s">
        <v>354</v>
      </c>
      <c r="B349" s="122">
        <v>348.0</v>
      </c>
      <c r="C349" s="122">
        <v>17.0</v>
      </c>
      <c r="D349" s="121" t="s">
        <v>458</v>
      </c>
      <c r="E349" s="122">
        <v>9.5845327E9</v>
      </c>
      <c r="F349" s="121" t="s">
        <v>1411</v>
      </c>
    </row>
    <row r="350" ht="22.5" customHeight="1">
      <c r="A350" s="121" t="s">
        <v>355</v>
      </c>
      <c r="B350" s="122">
        <v>349.0</v>
      </c>
      <c r="C350" s="122">
        <v>19.0</v>
      </c>
      <c r="D350" s="121" t="s">
        <v>458</v>
      </c>
      <c r="E350" s="122">
        <v>6.353246842E9</v>
      </c>
      <c r="F350" s="121" t="s">
        <v>800</v>
      </c>
    </row>
    <row r="351" ht="22.5" customHeight="1">
      <c r="A351" s="121" t="s">
        <v>356</v>
      </c>
      <c r="B351" s="122">
        <v>350.0</v>
      </c>
      <c r="C351" s="122">
        <v>21.0</v>
      </c>
      <c r="D351" s="121" t="s">
        <v>487</v>
      </c>
      <c r="E351" s="122">
        <v>6.261254231E9</v>
      </c>
      <c r="F351" s="121" t="s">
        <v>1099</v>
      </c>
    </row>
    <row r="352" ht="22.5" customHeight="1">
      <c r="A352" s="121" t="s">
        <v>357</v>
      </c>
      <c r="B352" s="122">
        <v>351.0</v>
      </c>
      <c r="C352" s="122">
        <v>37.0</v>
      </c>
      <c r="D352" s="121" t="s">
        <v>470</v>
      </c>
      <c r="E352" s="122">
        <v>8.779142101E9</v>
      </c>
      <c r="F352" s="121" t="s">
        <v>1034</v>
      </c>
    </row>
    <row r="353" ht="22.5" customHeight="1">
      <c r="A353" s="121" t="s">
        <v>358</v>
      </c>
      <c r="B353" s="122">
        <v>352.0</v>
      </c>
      <c r="C353" s="122">
        <v>25.0</v>
      </c>
      <c r="D353" s="121" t="s">
        <v>447</v>
      </c>
      <c r="E353" s="122">
        <v>9.424881377E9</v>
      </c>
      <c r="F353" s="121" t="s">
        <v>545</v>
      </c>
    </row>
    <row r="354" ht="22.5" customHeight="1">
      <c r="A354" s="121" t="s">
        <v>359</v>
      </c>
      <c r="B354" s="122">
        <v>353.0</v>
      </c>
      <c r="C354" s="122">
        <v>24.0</v>
      </c>
      <c r="D354" s="121" t="s">
        <v>447</v>
      </c>
      <c r="E354" s="122">
        <v>9.766550372E9</v>
      </c>
      <c r="F354" s="121" t="s">
        <v>1073</v>
      </c>
    </row>
    <row r="355" ht="22.5" customHeight="1">
      <c r="A355" s="121" t="s">
        <v>360</v>
      </c>
      <c r="B355" s="122">
        <v>354.0</v>
      </c>
      <c r="C355" s="122">
        <v>28.0</v>
      </c>
      <c r="D355" s="121" t="s">
        <v>447</v>
      </c>
      <c r="E355" s="122">
        <v>9.32154693E9</v>
      </c>
      <c r="F355" s="121" t="s">
        <v>553</v>
      </c>
    </row>
    <row r="356" ht="22.5" customHeight="1">
      <c r="A356" s="121" t="s">
        <v>254</v>
      </c>
      <c r="B356" s="122">
        <v>355.0</v>
      </c>
      <c r="C356" s="122"/>
      <c r="D356" s="121" t="s">
        <v>1583</v>
      </c>
      <c r="E356" s="122">
        <v>9.409480931E9</v>
      </c>
      <c r="F356" s="121" t="s">
        <v>1583</v>
      </c>
    </row>
    <row r="357" ht="22.5" customHeight="1">
      <c r="A357" s="121" t="s">
        <v>361</v>
      </c>
      <c r="B357" s="122">
        <v>356.0</v>
      </c>
      <c r="C357" s="122">
        <v>23.0</v>
      </c>
      <c r="D357" s="121" t="s">
        <v>604</v>
      </c>
      <c r="E357" s="122">
        <v>8.320260005E9</v>
      </c>
      <c r="F357" s="121" t="s">
        <v>971</v>
      </c>
    </row>
    <row r="358" ht="22.5" customHeight="1">
      <c r="A358" s="121" t="s">
        <v>362</v>
      </c>
      <c r="B358" s="122">
        <v>357.0</v>
      </c>
      <c r="C358" s="122">
        <v>20.0</v>
      </c>
      <c r="D358" s="121" t="s">
        <v>458</v>
      </c>
      <c r="E358" s="122">
        <v>9.167040701E9</v>
      </c>
      <c r="F358" s="121" t="s">
        <v>1531</v>
      </c>
    </row>
    <row r="359" ht="22.5" customHeight="1">
      <c r="A359" s="121" t="s">
        <v>363</v>
      </c>
      <c r="B359" s="122">
        <v>358.0</v>
      </c>
      <c r="C359" s="122">
        <v>20.0</v>
      </c>
      <c r="D359" s="121" t="s">
        <v>487</v>
      </c>
      <c r="E359" s="122">
        <v>9.323011729E9</v>
      </c>
      <c r="F359" s="121" t="s">
        <v>934</v>
      </c>
    </row>
    <row r="360" ht="22.5" customHeight="1">
      <c r="A360" s="121" t="s">
        <v>364</v>
      </c>
      <c r="B360" s="122">
        <v>359.0</v>
      </c>
      <c r="C360" s="122">
        <v>22.0</v>
      </c>
      <c r="D360" s="121" t="s">
        <v>604</v>
      </c>
      <c r="E360" s="122">
        <v>7.066886661E9</v>
      </c>
      <c r="F360" s="121" t="s">
        <v>1397</v>
      </c>
    </row>
    <row r="361" ht="22.5" customHeight="1">
      <c r="A361" s="121" t="s">
        <v>365</v>
      </c>
      <c r="B361" s="122">
        <v>360.0</v>
      </c>
      <c r="C361" s="122">
        <v>23.0</v>
      </c>
      <c r="D361" s="121" t="s">
        <v>447</v>
      </c>
      <c r="E361" s="122">
        <v>9.374732037E9</v>
      </c>
      <c r="F361" s="121" t="s">
        <v>797</v>
      </c>
    </row>
    <row r="362" ht="22.5" customHeight="1">
      <c r="A362" s="121" t="s">
        <v>366</v>
      </c>
      <c r="B362" s="122">
        <v>361.0</v>
      </c>
      <c r="C362" s="122">
        <v>23.0</v>
      </c>
      <c r="D362" s="121" t="s">
        <v>447</v>
      </c>
      <c r="E362" s="122">
        <v>9.769563099E9</v>
      </c>
      <c r="F362" s="121" t="s">
        <v>628</v>
      </c>
    </row>
    <row r="363" ht="22.5" customHeight="1">
      <c r="A363" s="121" t="s">
        <v>367</v>
      </c>
      <c r="B363" s="122">
        <v>362.0</v>
      </c>
      <c r="C363" s="122">
        <v>45.0</v>
      </c>
      <c r="D363" s="121" t="s">
        <v>441</v>
      </c>
      <c r="E363" s="122">
        <v>9.890196748E9</v>
      </c>
      <c r="F363" s="121" t="s">
        <v>844</v>
      </c>
    </row>
    <row r="364" ht="22.5" customHeight="1">
      <c r="A364" s="121" t="s">
        <v>368</v>
      </c>
      <c r="B364" s="122">
        <v>363.0</v>
      </c>
      <c r="C364" s="122">
        <v>24.0</v>
      </c>
      <c r="D364" s="121" t="s">
        <v>487</v>
      </c>
      <c r="E364" s="122">
        <v>9.977273462E9</v>
      </c>
      <c r="F364" s="121" t="s">
        <v>1327</v>
      </c>
    </row>
    <row r="365" ht="22.5" customHeight="1">
      <c r="A365" s="121" t="s">
        <v>369</v>
      </c>
      <c r="B365" s="122">
        <v>364.0</v>
      </c>
      <c r="C365" s="122">
        <v>35.0</v>
      </c>
      <c r="D365" s="121" t="s">
        <v>441</v>
      </c>
      <c r="E365" s="122">
        <v>9.6869415E9</v>
      </c>
      <c r="F365" s="121" t="s">
        <v>1346</v>
      </c>
    </row>
    <row r="366" ht="22.5" customHeight="1">
      <c r="A366" s="121" t="s">
        <v>370</v>
      </c>
      <c r="B366" s="122">
        <v>365.0</v>
      </c>
      <c r="C366" s="122">
        <v>22.0</v>
      </c>
      <c r="D366" s="121" t="s">
        <v>458</v>
      </c>
      <c r="E366" s="122">
        <v>9.224617878E9</v>
      </c>
      <c r="F366" s="121" t="s">
        <v>1477</v>
      </c>
    </row>
    <row r="367" ht="22.5" customHeight="1">
      <c r="A367" s="121" t="s">
        <v>371</v>
      </c>
      <c r="B367" s="122">
        <v>366.0</v>
      </c>
      <c r="C367" s="122">
        <v>19.0</v>
      </c>
      <c r="D367" s="121" t="s">
        <v>487</v>
      </c>
      <c r="E367" s="122">
        <v>9.327620328E9</v>
      </c>
      <c r="F367" s="121" t="s">
        <v>715</v>
      </c>
    </row>
    <row r="368" ht="22.5" customHeight="1">
      <c r="A368" s="121" t="s">
        <v>372</v>
      </c>
      <c r="B368" s="122">
        <v>367.0</v>
      </c>
      <c r="C368" s="122">
        <v>20.0</v>
      </c>
      <c r="D368" s="121" t="s">
        <v>487</v>
      </c>
      <c r="E368" s="122">
        <v>9.029907634E9</v>
      </c>
      <c r="F368" s="121" t="s">
        <v>806</v>
      </c>
    </row>
    <row r="369" ht="22.5" customHeight="1">
      <c r="A369" s="121" t="s">
        <v>373</v>
      </c>
      <c r="B369" s="122">
        <v>368.0</v>
      </c>
      <c r="C369" s="122"/>
      <c r="D369" s="121" t="s">
        <v>1583</v>
      </c>
      <c r="E369" s="122">
        <v>7.666868225E9</v>
      </c>
      <c r="F369" s="121" t="s">
        <v>1583</v>
      </c>
    </row>
    <row r="370" ht="22.5" customHeight="1">
      <c r="A370" s="121" t="s">
        <v>374</v>
      </c>
      <c r="B370" s="122">
        <v>369.0</v>
      </c>
      <c r="C370" s="122">
        <v>21.0</v>
      </c>
      <c r="D370" s="121" t="s">
        <v>447</v>
      </c>
      <c r="E370" s="122">
        <v>9.327661474E9</v>
      </c>
      <c r="F370" s="121" t="s">
        <v>1480</v>
      </c>
    </row>
    <row r="371" ht="22.5" customHeight="1">
      <c r="A371" s="121" t="s">
        <v>375</v>
      </c>
      <c r="B371" s="122">
        <v>370.0</v>
      </c>
      <c r="C371" s="122">
        <v>22.0</v>
      </c>
      <c r="D371" s="121" t="s">
        <v>458</v>
      </c>
      <c r="E371" s="122">
        <v>9.376221223E9</v>
      </c>
      <c r="F371" s="121" t="s">
        <v>889</v>
      </c>
    </row>
    <row r="372" ht="22.5" customHeight="1">
      <c r="A372" s="121" t="s">
        <v>376</v>
      </c>
      <c r="B372" s="122">
        <v>371.0</v>
      </c>
      <c r="C372" s="122">
        <v>21.0</v>
      </c>
      <c r="D372" s="121" t="s">
        <v>487</v>
      </c>
      <c r="E372" s="122">
        <v>9.322516954E9</v>
      </c>
      <c r="F372" s="121" t="s">
        <v>549</v>
      </c>
    </row>
    <row r="373" ht="22.5" customHeight="1">
      <c r="A373" s="121" t="s">
        <v>377</v>
      </c>
      <c r="B373" s="122">
        <v>372.0</v>
      </c>
      <c r="C373" s="122">
        <v>19.0</v>
      </c>
      <c r="D373" s="121" t="s">
        <v>458</v>
      </c>
      <c r="E373" s="122">
        <v>9.376221223E9</v>
      </c>
      <c r="F373" s="121" t="s">
        <v>1308</v>
      </c>
    </row>
    <row r="374" ht="22.5" customHeight="1">
      <c r="A374" s="121" t="s">
        <v>378</v>
      </c>
      <c r="B374" s="122">
        <v>373.0</v>
      </c>
      <c r="C374" s="122">
        <v>21.0</v>
      </c>
      <c r="D374" s="121" t="s">
        <v>447</v>
      </c>
      <c r="E374" s="122">
        <v>9.427106123E9</v>
      </c>
      <c r="F374" s="121" t="s">
        <v>1013</v>
      </c>
    </row>
    <row r="375" ht="22.5" customHeight="1">
      <c r="A375" s="121" t="s">
        <v>379</v>
      </c>
      <c r="B375" s="122">
        <v>374.0</v>
      </c>
      <c r="C375" s="122">
        <v>18.0</v>
      </c>
      <c r="D375" s="121" t="s">
        <v>487</v>
      </c>
      <c r="E375" s="122">
        <v>9.228241495E9</v>
      </c>
      <c r="F375" s="121" t="s">
        <v>1135</v>
      </c>
    </row>
    <row r="376" ht="22.5" customHeight="1">
      <c r="A376" s="121" t="s">
        <v>380</v>
      </c>
      <c r="B376" s="122">
        <v>375.0</v>
      </c>
      <c r="C376" s="122">
        <v>31.0</v>
      </c>
      <c r="D376" s="121" t="s">
        <v>447</v>
      </c>
      <c r="E376" s="122">
        <v>8.817771516E9</v>
      </c>
      <c r="F376" s="121" t="s">
        <v>1024</v>
      </c>
    </row>
    <row r="377" ht="22.5" customHeight="1">
      <c r="A377" s="121" t="s">
        <v>381</v>
      </c>
      <c r="B377" s="122">
        <v>376.0</v>
      </c>
      <c r="C377" s="122">
        <v>22.0</v>
      </c>
      <c r="D377" s="121" t="s">
        <v>458</v>
      </c>
      <c r="E377" s="122">
        <v>7.862919657E9</v>
      </c>
      <c r="F377" s="121" t="s">
        <v>579</v>
      </c>
    </row>
    <row r="378" ht="22.5" customHeight="1">
      <c r="A378" s="121" t="s">
        <v>382</v>
      </c>
      <c r="B378" s="122">
        <v>377.0</v>
      </c>
      <c r="C378" s="122">
        <v>22.0</v>
      </c>
      <c r="D378" s="121" t="s">
        <v>458</v>
      </c>
      <c r="E378" s="122">
        <v>9.023142212E9</v>
      </c>
      <c r="F378" s="121" t="s">
        <v>907</v>
      </c>
    </row>
    <row r="379" ht="22.5" customHeight="1">
      <c r="A379" s="121" t="s">
        <v>383</v>
      </c>
      <c r="B379" s="122">
        <v>378.0</v>
      </c>
      <c r="C379" s="122">
        <v>15.0</v>
      </c>
      <c r="D379" s="121" t="s">
        <v>487</v>
      </c>
      <c r="E379" s="122">
        <v>9.022411491E9</v>
      </c>
      <c r="F379" s="121" t="s">
        <v>1060</v>
      </c>
    </row>
    <row r="380" ht="22.5" customHeight="1">
      <c r="A380" s="121" t="s">
        <v>384</v>
      </c>
      <c r="B380" s="122">
        <v>379.0</v>
      </c>
      <c r="C380" s="122">
        <v>35.0</v>
      </c>
      <c r="D380" s="121" t="s">
        <v>441</v>
      </c>
      <c r="E380" s="122">
        <v>9.773782183E9</v>
      </c>
      <c r="F380" s="121" t="s">
        <v>1323</v>
      </c>
    </row>
    <row r="381" ht="22.5" customHeight="1">
      <c r="A381" s="121" t="s">
        <v>385</v>
      </c>
      <c r="B381" s="122">
        <v>380.0</v>
      </c>
      <c r="C381" s="122">
        <v>16.0</v>
      </c>
      <c r="D381" s="121" t="s">
        <v>487</v>
      </c>
      <c r="E381" s="122">
        <v>9.324286756E9</v>
      </c>
      <c r="F381" s="121" t="s">
        <v>1065</v>
      </c>
    </row>
    <row r="382" ht="22.5" customHeight="1">
      <c r="A382" s="121" t="s">
        <v>386</v>
      </c>
      <c r="B382" s="122">
        <v>381.0</v>
      </c>
      <c r="C382" s="122">
        <v>22.0</v>
      </c>
      <c r="D382" s="121" t="s">
        <v>441</v>
      </c>
      <c r="E382" s="122">
        <v>7.7730736E9</v>
      </c>
      <c r="F382" s="121" t="s">
        <v>1160</v>
      </c>
    </row>
    <row r="383" ht="22.5" customHeight="1">
      <c r="A383" s="121" t="s">
        <v>387</v>
      </c>
      <c r="B383" s="122">
        <v>382.0</v>
      </c>
      <c r="C383" s="122">
        <v>49.0</v>
      </c>
      <c r="D383" s="121" t="s">
        <v>447</v>
      </c>
      <c r="E383" s="122">
        <v>9.769563099E9</v>
      </c>
      <c r="F383" s="121" t="s">
        <v>655</v>
      </c>
    </row>
    <row r="384" ht="22.5" customHeight="1">
      <c r="A384" s="121" t="s">
        <v>388</v>
      </c>
      <c r="B384" s="122">
        <v>383.0</v>
      </c>
      <c r="C384" s="122">
        <v>37.0</v>
      </c>
      <c r="D384" s="121" t="s">
        <v>458</v>
      </c>
      <c r="E384" s="122">
        <v>9.867353355E9</v>
      </c>
      <c r="F384" s="121" t="s">
        <v>747</v>
      </c>
    </row>
    <row r="385" ht="22.5" customHeight="1">
      <c r="A385" s="121" t="s">
        <v>389</v>
      </c>
      <c r="B385" s="122">
        <v>384.0</v>
      </c>
      <c r="C385" s="122"/>
      <c r="D385" s="121" t="s">
        <v>1583</v>
      </c>
      <c r="E385" s="122">
        <v>9.111347172E9</v>
      </c>
      <c r="F385" s="121" t="s">
        <v>1583</v>
      </c>
    </row>
    <row r="386" ht="22.5" customHeight="1">
      <c r="A386" s="121" t="s">
        <v>390</v>
      </c>
      <c r="B386" s="122">
        <v>385.0</v>
      </c>
      <c r="C386" s="122">
        <v>21.0</v>
      </c>
      <c r="D386" s="121" t="s">
        <v>470</v>
      </c>
      <c r="E386" s="122">
        <v>9.925258608E9</v>
      </c>
      <c r="F386" s="121" t="s">
        <v>1286</v>
      </c>
    </row>
    <row r="387" ht="22.5" customHeight="1">
      <c r="A387" s="121" t="s">
        <v>391</v>
      </c>
      <c r="B387" s="122">
        <v>386.0</v>
      </c>
      <c r="C387" s="122">
        <v>21.0</v>
      </c>
      <c r="D387" s="121" t="s">
        <v>487</v>
      </c>
      <c r="E387" s="122">
        <v>9.408471971E9</v>
      </c>
      <c r="F387" s="121" t="s">
        <v>1044</v>
      </c>
    </row>
    <row r="388" ht="22.5" customHeight="1">
      <c r="A388" s="121" t="s">
        <v>392</v>
      </c>
      <c r="B388" s="122">
        <v>387.0</v>
      </c>
      <c r="C388" s="122">
        <v>20.0</v>
      </c>
      <c r="D388" s="121" t="s">
        <v>458</v>
      </c>
      <c r="E388" s="122">
        <v>9.039339725E9</v>
      </c>
      <c r="F388" s="121" t="s">
        <v>1226</v>
      </c>
    </row>
    <row r="389" ht="22.5" customHeight="1">
      <c r="A389" s="121" t="s">
        <v>355</v>
      </c>
      <c r="B389" s="122">
        <v>388.0</v>
      </c>
      <c r="C389" s="122">
        <v>18.0</v>
      </c>
      <c r="D389" s="121" t="s">
        <v>458</v>
      </c>
      <c r="E389" s="122">
        <v>8.983021828E9</v>
      </c>
      <c r="F389" s="121" t="s">
        <v>1350</v>
      </c>
    </row>
    <row r="390" ht="22.5" customHeight="1">
      <c r="A390" s="121" t="s">
        <v>343</v>
      </c>
      <c r="B390" s="122">
        <v>389.0</v>
      </c>
      <c r="C390" s="122">
        <v>24.0</v>
      </c>
      <c r="D390" s="121" t="s">
        <v>447</v>
      </c>
      <c r="E390" s="122">
        <v>9.926552626E9</v>
      </c>
      <c r="F390" s="121" t="s">
        <v>563</v>
      </c>
    </row>
    <row r="391" ht="22.5" customHeight="1">
      <c r="A391" s="121" t="s">
        <v>393</v>
      </c>
      <c r="B391" s="122">
        <v>390.0</v>
      </c>
      <c r="C391" s="122">
        <v>16.0</v>
      </c>
      <c r="D391" s="121" t="s">
        <v>447</v>
      </c>
      <c r="E391" s="122">
        <v>7.898717647E9</v>
      </c>
      <c r="F391" s="121" t="s">
        <v>768</v>
      </c>
    </row>
    <row r="392" ht="22.5" customHeight="1">
      <c r="A392" s="121" t="s">
        <v>394</v>
      </c>
      <c r="B392" s="122">
        <v>391.0</v>
      </c>
      <c r="C392" s="122">
        <v>27.0</v>
      </c>
      <c r="D392" s="121" t="s">
        <v>458</v>
      </c>
      <c r="E392" s="122">
        <v>9.16761899E9</v>
      </c>
      <c r="F392" s="121" t="s">
        <v>1056</v>
      </c>
    </row>
    <row r="393" ht="22.5" customHeight="1">
      <c r="A393" s="121" t="s">
        <v>395</v>
      </c>
      <c r="B393" s="122">
        <v>392.0</v>
      </c>
      <c r="C393" s="122">
        <v>21.0</v>
      </c>
      <c r="D393" s="121" t="s">
        <v>458</v>
      </c>
      <c r="E393" s="122">
        <v>9.97985076E9</v>
      </c>
      <c r="F393" s="121" t="s">
        <v>1472</v>
      </c>
    </row>
    <row r="394" ht="22.5" customHeight="1">
      <c r="A394" s="121" t="s">
        <v>396</v>
      </c>
      <c r="B394" s="122">
        <v>393.0</v>
      </c>
      <c r="C394" s="122">
        <v>35.0</v>
      </c>
      <c r="D394" s="121" t="s">
        <v>447</v>
      </c>
      <c r="E394" s="122">
        <v>9.981000715E9</v>
      </c>
      <c r="F394" s="121" t="s">
        <v>515</v>
      </c>
    </row>
    <row r="395" ht="22.5" customHeight="1">
      <c r="A395" s="121" t="s">
        <v>397</v>
      </c>
      <c r="B395" s="122">
        <v>394.0</v>
      </c>
      <c r="C395" s="122"/>
      <c r="D395" s="121" t="s">
        <v>1583</v>
      </c>
      <c r="E395" s="122">
        <v>9.981000715E9</v>
      </c>
      <c r="F395" s="121" t="s">
        <v>1583</v>
      </c>
    </row>
    <row r="396" ht="22.5" customHeight="1">
      <c r="A396" s="121" t="s">
        <v>398</v>
      </c>
      <c r="B396" s="122">
        <v>395.0</v>
      </c>
      <c r="C396" s="122">
        <v>20.0</v>
      </c>
      <c r="D396" s="121" t="s">
        <v>458</v>
      </c>
      <c r="E396" s="122">
        <v>9.886534226E9</v>
      </c>
      <c r="F396" s="121" t="s">
        <v>1514</v>
      </c>
    </row>
    <row r="397" ht="22.5" customHeight="1">
      <c r="A397" s="121" t="s">
        <v>399</v>
      </c>
      <c r="B397" s="122">
        <v>396.0</v>
      </c>
      <c r="C397" s="122">
        <v>29.0</v>
      </c>
      <c r="D397" s="121" t="s">
        <v>458</v>
      </c>
      <c r="E397" s="122">
        <v>9.860567263E9</v>
      </c>
      <c r="F397" s="121" t="s">
        <v>1517</v>
      </c>
    </row>
    <row r="398" ht="22.5" customHeight="1">
      <c r="A398" s="121" t="s">
        <v>400</v>
      </c>
      <c r="B398" s="122">
        <v>397.0</v>
      </c>
      <c r="C398" s="122">
        <v>18.0</v>
      </c>
      <c r="D398" s="121" t="s">
        <v>487</v>
      </c>
      <c r="E398" s="122">
        <v>9.428163345E9</v>
      </c>
      <c r="F398" s="121" t="s">
        <v>1520</v>
      </c>
    </row>
    <row r="399" ht="22.5" customHeight="1">
      <c r="A399" s="121" t="s">
        <v>401</v>
      </c>
      <c r="B399" s="122">
        <v>398.0</v>
      </c>
      <c r="C399" s="122">
        <v>36.0</v>
      </c>
      <c r="D399" s="121" t="s">
        <v>441</v>
      </c>
      <c r="E399" s="122">
        <v>8.34949286E9</v>
      </c>
      <c r="F399" s="121" t="s">
        <v>1528</v>
      </c>
    </row>
    <row r="400" ht="22.5" customHeight="1">
      <c r="A400" s="121" t="s">
        <v>402</v>
      </c>
      <c r="B400" s="122">
        <v>399.0</v>
      </c>
      <c r="C400" s="122">
        <v>34.0</v>
      </c>
      <c r="D400" s="121" t="s">
        <v>441</v>
      </c>
      <c r="E400" s="122">
        <v>6.260188588E9</v>
      </c>
      <c r="F400" s="121" t="s">
        <v>1524</v>
      </c>
    </row>
    <row r="401" ht="22.5" customHeight="1">
      <c r="A401" s="121" t="s">
        <v>403</v>
      </c>
      <c r="B401" s="122">
        <v>400.0</v>
      </c>
      <c r="C401" s="122"/>
      <c r="D401" s="121" t="s">
        <v>1583</v>
      </c>
      <c r="E401" s="122">
        <v>9.893267239E9</v>
      </c>
      <c r="F401" s="121" t="s">
        <v>1583</v>
      </c>
    </row>
    <row r="402" ht="22.5" customHeight="1">
      <c r="A402" s="121" t="s">
        <v>404</v>
      </c>
      <c r="B402" s="124">
        <v>401.0</v>
      </c>
      <c r="C402" s="122">
        <v>26.0</v>
      </c>
      <c r="D402" s="121" t="s">
        <v>487</v>
      </c>
      <c r="E402" s="122">
        <v>8.45979757E9</v>
      </c>
      <c r="F402" s="121" t="s">
        <v>1567</v>
      </c>
    </row>
    <row r="403" ht="22.5" customHeight="1">
      <c r="A403" s="121" t="s">
        <v>405</v>
      </c>
      <c r="B403" s="124">
        <v>402.0</v>
      </c>
      <c r="C403" s="122">
        <v>20.0</v>
      </c>
      <c r="D403" s="121" t="s">
        <v>447</v>
      </c>
      <c r="E403" s="122">
        <v>9.372197799E9</v>
      </c>
      <c r="F403" s="121" t="s">
        <v>1542</v>
      </c>
    </row>
    <row r="404" ht="22.5" customHeight="1">
      <c r="A404" s="121" t="s">
        <v>406</v>
      </c>
      <c r="B404" s="124">
        <v>403.0</v>
      </c>
      <c r="C404" s="122">
        <v>22.0</v>
      </c>
      <c r="D404" s="121" t="s">
        <v>447</v>
      </c>
      <c r="E404" s="122">
        <v>9.373329244E9</v>
      </c>
      <c r="F404" s="121" t="s">
        <v>1578</v>
      </c>
    </row>
    <row r="405" ht="22.5" customHeight="1">
      <c r="A405" s="121" t="s">
        <v>407</v>
      </c>
      <c r="B405" s="124">
        <v>404.0</v>
      </c>
      <c r="C405" s="122"/>
      <c r="D405" s="121" t="s">
        <v>1583</v>
      </c>
      <c r="E405" s="122">
        <v>9.049038089E9</v>
      </c>
      <c r="F405" s="121" t="s">
        <v>1583</v>
      </c>
    </row>
    <row r="406" ht="22.5" customHeight="1">
      <c r="A406" s="121" t="s">
        <v>408</v>
      </c>
      <c r="B406" s="124">
        <v>405.0</v>
      </c>
      <c r="C406" s="122">
        <v>16.0</v>
      </c>
      <c r="D406" s="121" t="s">
        <v>458</v>
      </c>
      <c r="E406" s="122">
        <v>9.201696457E9</v>
      </c>
      <c r="F406" s="121" t="s">
        <v>1535</v>
      </c>
    </row>
    <row r="407" ht="22.5" customHeight="1">
      <c r="A407" s="121" t="s">
        <v>409</v>
      </c>
      <c r="B407" s="124">
        <v>406.0</v>
      </c>
      <c r="C407" s="122">
        <v>26.0</v>
      </c>
      <c r="D407" s="121" t="s">
        <v>447</v>
      </c>
      <c r="E407" s="122">
        <v>9.834083806E9</v>
      </c>
      <c r="F407" s="121" t="s">
        <v>1538</v>
      </c>
    </row>
    <row r="408" ht="22.5" customHeight="1">
      <c r="A408" s="121" t="s">
        <v>410</v>
      </c>
      <c r="B408" s="124">
        <v>407.0</v>
      </c>
      <c r="C408" s="122">
        <v>22.0</v>
      </c>
      <c r="D408" s="121" t="s">
        <v>447</v>
      </c>
      <c r="E408" s="122">
        <v>7.226890093E9</v>
      </c>
      <c r="F408" s="121" t="s">
        <v>1545</v>
      </c>
    </row>
    <row r="409" ht="22.5" customHeight="1">
      <c r="A409" s="121" t="s">
        <v>411</v>
      </c>
      <c r="B409" s="124">
        <v>408.0</v>
      </c>
      <c r="C409" s="122"/>
      <c r="D409" s="121" t="s">
        <v>1583</v>
      </c>
      <c r="E409" s="122">
        <v>7.62204382E9</v>
      </c>
      <c r="F409" s="121" t="s">
        <v>1583</v>
      </c>
    </row>
    <row r="410" ht="22.5" customHeight="1">
      <c r="A410" s="121" t="s">
        <v>412</v>
      </c>
      <c r="B410" s="124">
        <v>409.0</v>
      </c>
      <c r="C410" s="122">
        <v>22.0</v>
      </c>
      <c r="D410" s="121" t="s">
        <v>487</v>
      </c>
      <c r="E410" s="122">
        <v>9.173035986E9</v>
      </c>
      <c r="F410" s="121" t="s">
        <v>1556</v>
      </c>
    </row>
    <row r="411" ht="22.5" customHeight="1">
      <c r="A411" s="121" t="s">
        <v>413</v>
      </c>
      <c r="B411" s="124">
        <v>410.0</v>
      </c>
      <c r="C411" s="122"/>
      <c r="D411" s="121" t="s">
        <v>1583</v>
      </c>
      <c r="E411" s="122">
        <v>9.426172768E9</v>
      </c>
      <c r="F411" s="121" t="s">
        <v>1583</v>
      </c>
    </row>
    <row r="412" ht="22.5" customHeight="1">
      <c r="A412" s="121" t="s">
        <v>414</v>
      </c>
      <c r="B412" s="124">
        <v>411.0</v>
      </c>
      <c r="C412" s="122">
        <v>29.0</v>
      </c>
      <c r="D412" s="121" t="s">
        <v>458</v>
      </c>
      <c r="E412" s="122">
        <v>8.971996137E9</v>
      </c>
      <c r="F412" s="121" t="s">
        <v>1574</v>
      </c>
    </row>
    <row r="413" ht="22.5" customHeight="1">
      <c r="A413" s="121" t="s">
        <v>415</v>
      </c>
      <c r="B413" s="124">
        <v>412.0</v>
      </c>
      <c r="C413" s="122">
        <v>22.0</v>
      </c>
      <c r="D413" s="121" t="s">
        <v>447</v>
      </c>
      <c r="E413" s="122">
        <v>8.320063574E9</v>
      </c>
      <c r="F413" s="121" t="s">
        <v>1549</v>
      </c>
    </row>
    <row r="414" ht="22.5" customHeight="1">
      <c r="A414" s="121" t="s">
        <v>416</v>
      </c>
      <c r="B414" s="124">
        <v>413.0</v>
      </c>
      <c r="C414" s="122">
        <v>52.0</v>
      </c>
      <c r="D414" s="121" t="s">
        <v>447</v>
      </c>
      <c r="E414" s="122">
        <v>7.069835119E9</v>
      </c>
      <c r="F414" s="121" t="s">
        <v>1553</v>
      </c>
    </row>
    <row r="415" ht="22.5" customHeight="1">
      <c r="A415" s="121" t="s">
        <v>417</v>
      </c>
      <c r="B415" s="124">
        <v>414.0</v>
      </c>
      <c r="C415" s="122">
        <v>43.0</v>
      </c>
      <c r="D415" s="121" t="s">
        <v>447</v>
      </c>
      <c r="E415" s="122">
        <v>9.755283303E9</v>
      </c>
      <c r="F415" s="121" t="s">
        <v>1559</v>
      </c>
    </row>
    <row r="416" ht="22.5" customHeight="1">
      <c r="A416" s="121" t="s">
        <v>418</v>
      </c>
      <c r="B416" s="124">
        <v>415.0</v>
      </c>
      <c r="C416" s="122">
        <v>14.0</v>
      </c>
      <c r="D416" s="121" t="s">
        <v>458</v>
      </c>
      <c r="E416" s="122">
        <v>9.826319193E9</v>
      </c>
      <c r="F416" s="121" t="s">
        <v>1563</v>
      </c>
    </row>
    <row r="417" ht="22.5" customHeight="1">
      <c r="A417" s="121" t="s">
        <v>419</v>
      </c>
      <c r="B417" s="124">
        <v>416.0</v>
      </c>
      <c r="C417" s="122"/>
      <c r="D417" s="121" t="s">
        <v>1583</v>
      </c>
      <c r="E417" s="122">
        <v>9.17362393E9</v>
      </c>
      <c r="F417" s="121" t="s">
        <v>1583</v>
      </c>
    </row>
    <row r="418" ht="22.5" customHeight="1">
      <c r="A418" s="121" t="s">
        <v>420</v>
      </c>
      <c r="B418" s="124">
        <v>417.0</v>
      </c>
      <c r="C418" s="122">
        <v>23.0</v>
      </c>
      <c r="D418" s="121" t="s">
        <v>441</v>
      </c>
      <c r="E418" s="122">
        <v>9.427608729E9</v>
      </c>
      <c r="F418" s="121" t="s">
        <v>1571</v>
      </c>
    </row>
  </sheetData>
  <dataValidations>
    <dataValidation type="custom" allowBlank="1" showDropDown="1" sqref="B2:C418 E2:E418">
      <formula1>AND(ISNUMBER(B2),(NOT(OR(NOT(ISERROR(DATEVALUE(B2))), AND(ISNUMBER(B2), LEFT(CELL("format", B2))="D")))))</formula1>
    </dataValidation>
  </dataValidations>
  <hyperlinks>
    <hyperlink r:id="rId1" ref="F2"/>
    <hyperlink r:id="rId2" ref="F3"/>
    <hyperlink r:id="rId3" ref="F6"/>
    <hyperlink r:id="rId4" ref="F7"/>
    <hyperlink r:id="rId5" ref="F9"/>
  </hyperlinks>
  <drawing r:id="rId6"/>
  <tableParts count="1">
    <tablePart r:id="rId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5" max="5" width="25.25"/>
    <col customWidth="1" min="7" max="7" width="22.63"/>
    <col customWidth="1" min="8" max="8" width="17.25"/>
  </cols>
  <sheetData>
    <row r="1">
      <c r="A1" s="125" t="s">
        <v>2</v>
      </c>
      <c r="B1" s="125" t="s">
        <v>1</v>
      </c>
      <c r="C1" s="125" t="s">
        <v>3</v>
      </c>
      <c r="D1" s="125" t="s">
        <v>433</v>
      </c>
      <c r="E1" s="125" t="s">
        <v>435</v>
      </c>
      <c r="F1" s="125" t="s">
        <v>1584</v>
      </c>
      <c r="G1" s="125" t="s">
        <v>1585</v>
      </c>
      <c r="H1" s="125" t="s">
        <v>1586</v>
      </c>
      <c r="I1" s="126"/>
      <c r="J1" s="126"/>
      <c r="K1" s="126"/>
      <c r="L1" s="126"/>
      <c r="M1" s="126"/>
      <c r="N1" s="126"/>
      <c r="O1" s="126"/>
      <c r="P1" s="126"/>
      <c r="Q1" s="126"/>
      <c r="R1" s="126"/>
      <c r="S1" s="126"/>
      <c r="T1" s="126"/>
      <c r="U1" s="126"/>
      <c r="V1" s="126"/>
      <c r="W1" s="126"/>
      <c r="X1" s="126"/>
      <c r="Y1" s="126"/>
      <c r="Z1" s="126"/>
    </row>
    <row r="2">
      <c r="A2" s="127" t="s">
        <v>1587</v>
      </c>
      <c r="B2" s="127">
        <v>1.0</v>
      </c>
      <c r="C2" s="127">
        <v>15.0</v>
      </c>
      <c r="D2" s="127" t="s">
        <v>447</v>
      </c>
      <c r="E2" s="127">
        <v>7.720064326E9</v>
      </c>
      <c r="F2" s="127" t="s">
        <v>1588</v>
      </c>
      <c r="G2" s="127" t="s">
        <v>1587</v>
      </c>
      <c r="H2" s="127" t="s">
        <v>1589</v>
      </c>
      <c r="I2" s="126"/>
      <c r="J2" s="126"/>
      <c r="K2" s="126"/>
      <c r="L2" s="126"/>
      <c r="M2" s="126"/>
      <c r="N2" s="126"/>
      <c r="O2" s="126"/>
      <c r="P2" s="126"/>
      <c r="Q2" s="126"/>
      <c r="R2" s="126"/>
      <c r="S2" s="126"/>
      <c r="T2" s="126"/>
      <c r="U2" s="126"/>
      <c r="V2" s="126"/>
      <c r="W2" s="126"/>
      <c r="X2" s="126"/>
      <c r="Y2" s="126"/>
      <c r="Z2" s="126"/>
    </row>
    <row r="3">
      <c r="A3" s="127" t="s">
        <v>1590</v>
      </c>
      <c r="B3" s="127">
        <v>2.0</v>
      </c>
      <c r="C3" s="127">
        <v>26.0</v>
      </c>
      <c r="D3" s="127" t="s">
        <v>447</v>
      </c>
      <c r="E3" s="128">
        <v>9.826990266E9</v>
      </c>
      <c r="F3" s="127" t="s">
        <v>1588</v>
      </c>
      <c r="G3" s="127" t="s">
        <v>1590</v>
      </c>
      <c r="H3" s="127" t="s">
        <v>1591</v>
      </c>
      <c r="I3" s="126"/>
      <c r="J3" s="126"/>
      <c r="K3" s="126"/>
      <c r="L3" s="126"/>
      <c r="M3" s="126"/>
      <c r="N3" s="126"/>
      <c r="O3" s="126"/>
      <c r="P3" s="126"/>
      <c r="Q3" s="126"/>
      <c r="R3" s="126"/>
      <c r="S3" s="126"/>
      <c r="T3" s="126"/>
      <c r="U3" s="126"/>
      <c r="V3" s="126"/>
      <c r="W3" s="126"/>
      <c r="X3" s="126"/>
      <c r="Y3" s="126"/>
      <c r="Z3" s="126"/>
    </row>
    <row r="4">
      <c r="A4" s="127" t="s">
        <v>10</v>
      </c>
      <c r="B4" s="127">
        <v>3.0</v>
      </c>
      <c r="C4" s="127"/>
      <c r="D4" s="127"/>
      <c r="E4" s="127">
        <v>7.405658429E9</v>
      </c>
      <c r="F4" s="127" t="s">
        <v>1592</v>
      </c>
      <c r="G4" s="127"/>
      <c r="H4" s="127" t="s">
        <v>1593</v>
      </c>
      <c r="I4" s="126"/>
      <c r="J4" s="126"/>
      <c r="K4" s="126"/>
      <c r="L4" s="126"/>
      <c r="M4" s="126"/>
      <c r="N4" s="126"/>
      <c r="O4" s="126"/>
      <c r="P4" s="126"/>
      <c r="Q4" s="126"/>
      <c r="R4" s="126"/>
      <c r="S4" s="126"/>
      <c r="T4" s="126"/>
      <c r="U4" s="126"/>
      <c r="V4" s="126"/>
      <c r="W4" s="126"/>
      <c r="X4" s="126"/>
      <c r="Y4" s="126"/>
      <c r="Z4" s="126"/>
    </row>
    <row r="5">
      <c r="A5" s="127" t="s">
        <v>12</v>
      </c>
      <c r="B5" s="127">
        <v>4.0</v>
      </c>
      <c r="C5" s="127"/>
      <c r="D5" s="127"/>
      <c r="E5" s="127">
        <v>9.90408206E9</v>
      </c>
      <c r="F5" s="127" t="s">
        <v>1592</v>
      </c>
      <c r="G5" s="127"/>
      <c r="H5" s="127" t="s">
        <v>1594</v>
      </c>
      <c r="I5" s="126"/>
      <c r="J5" s="126"/>
      <c r="K5" s="126"/>
      <c r="L5" s="126"/>
      <c r="M5" s="126"/>
      <c r="N5" s="126"/>
      <c r="O5" s="126"/>
      <c r="P5" s="126"/>
      <c r="Q5" s="126"/>
      <c r="R5" s="126"/>
      <c r="S5" s="126"/>
      <c r="T5" s="126"/>
      <c r="U5" s="126"/>
      <c r="V5" s="126"/>
      <c r="W5" s="126"/>
      <c r="X5" s="126"/>
      <c r="Y5" s="126"/>
      <c r="Z5" s="126"/>
    </row>
    <row r="6">
      <c r="A6" s="127" t="s">
        <v>1595</v>
      </c>
      <c r="B6" s="127">
        <v>5.0</v>
      </c>
      <c r="C6" s="127">
        <v>16.0</v>
      </c>
      <c r="D6" s="127"/>
      <c r="E6" s="127">
        <v>9.827637699E9</v>
      </c>
      <c r="F6" s="127" t="s">
        <v>1592</v>
      </c>
      <c r="G6" s="127"/>
      <c r="H6" s="127" t="s">
        <v>1596</v>
      </c>
      <c r="I6" s="126"/>
      <c r="J6" s="126"/>
      <c r="K6" s="126"/>
      <c r="L6" s="126"/>
      <c r="M6" s="126"/>
      <c r="N6" s="126"/>
      <c r="O6" s="126"/>
      <c r="P6" s="126"/>
      <c r="Q6" s="126"/>
      <c r="R6" s="126"/>
      <c r="S6" s="126"/>
      <c r="T6" s="126"/>
      <c r="U6" s="126"/>
      <c r="V6" s="126"/>
      <c r="W6" s="126"/>
      <c r="X6" s="126"/>
      <c r="Y6" s="126"/>
      <c r="Z6" s="126"/>
    </row>
    <row r="7">
      <c r="A7" s="127" t="s">
        <v>15</v>
      </c>
      <c r="B7" s="127">
        <v>6.0</v>
      </c>
      <c r="C7" s="127">
        <v>15.0</v>
      </c>
      <c r="D7" s="127" t="s">
        <v>447</v>
      </c>
      <c r="E7" s="127">
        <v>7.000496236E9</v>
      </c>
      <c r="F7" s="127" t="s">
        <v>1588</v>
      </c>
      <c r="G7" s="127" t="s">
        <v>15</v>
      </c>
      <c r="H7" s="127" t="s">
        <v>1597</v>
      </c>
      <c r="I7" s="126"/>
      <c r="J7" s="126"/>
      <c r="K7" s="126"/>
      <c r="L7" s="126"/>
      <c r="M7" s="126"/>
      <c r="N7" s="126"/>
      <c r="O7" s="126"/>
      <c r="P7" s="126"/>
      <c r="Q7" s="126"/>
      <c r="R7" s="126"/>
      <c r="S7" s="126"/>
      <c r="T7" s="126"/>
      <c r="U7" s="126"/>
      <c r="V7" s="126"/>
      <c r="W7" s="126"/>
      <c r="X7" s="126"/>
      <c r="Y7" s="126"/>
      <c r="Z7" s="126"/>
    </row>
    <row r="8">
      <c r="A8" s="127" t="s">
        <v>16</v>
      </c>
      <c r="B8" s="127">
        <v>7.0</v>
      </c>
      <c r="C8" s="127">
        <v>19.0</v>
      </c>
      <c r="D8" s="127" t="s">
        <v>441</v>
      </c>
      <c r="E8" s="127">
        <v>6.261707675E9</v>
      </c>
      <c r="F8" s="127" t="s">
        <v>1588</v>
      </c>
      <c r="G8" s="127" t="s">
        <v>16</v>
      </c>
      <c r="H8" s="127" t="s">
        <v>1598</v>
      </c>
      <c r="I8" s="126"/>
      <c r="J8" s="126"/>
      <c r="K8" s="126"/>
      <c r="L8" s="126"/>
      <c r="M8" s="126"/>
      <c r="N8" s="126"/>
      <c r="O8" s="126"/>
      <c r="P8" s="126"/>
      <c r="Q8" s="126"/>
      <c r="R8" s="126"/>
      <c r="S8" s="126"/>
      <c r="T8" s="126"/>
      <c r="U8" s="126"/>
      <c r="V8" s="126"/>
      <c r="W8" s="126"/>
      <c r="X8" s="126"/>
      <c r="Y8" s="126"/>
      <c r="Z8" s="126"/>
    </row>
    <row r="9">
      <c r="A9" s="127" t="s">
        <v>17</v>
      </c>
      <c r="B9" s="127">
        <v>8.0</v>
      </c>
      <c r="C9" s="127">
        <v>25.0</v>
      </c>
      <c r="D9" s="127" t="s">
        <v>470</v>
      </c>
      <c r="E9" s="127">
        <v>9.224190392E9</v>
      </c>
      <c r="F9" s="127" t="s">
        <v>1588</v>
      </c>
      <c r="G9" s="127" t="s">
        <v>469</v>
      </c>
      <c r="H9" s="127" t="s">
        <v>1599</v>
      </c>
      <c r="I9" s="126"/>
      <c r="J9" s="126"/>
      <c r="K9" s="126"/>
      <c r="L9" s="126"/>
      <c r="M9" s="126"/>
      <c r="N9" s="126"/>
      <c r="O9" s="126"/>
      <c r="P9" s="126"/>
      <c r="Q9" s="126"/>
      <c r="R9" s="126"/>
      <c r="S9" s="126"/>
      <c r="T9" s="126"/>
      <c r="U9" s="126"/>
      <c r="V9" s="126"/>
      <c r="W9" s="126"/>
      <c r="X9" s="126"/>
      <c r="Y9" s="126"/>
      <c r="Z9" s="126"/>
    </row>
    <row r="10">
      <c r="A10" s="127" t="s">
        <v>18</v>
      </c>
      <c r="B10" s="127">
        <v>9.0</v>
      </c>
      <c r="C10" s="127">
        <v>34.0</v>
      </c>
      <c r="D10" s="127"/>
      <c r="E10" s="127">
        <v>7.089024861E9</v>
      </c>
      <c r="F10" s="127" t="s">
        <v>1592</v>
      </c>
      <c r="G10" s="127"/>
      <c r="H10" s="127" t="s">
        <v>1600</v>
      </c>
      <c r="I10" s="126"/>
      <c r="J10" s="126"/>
      <c r="K10" s="126"/>
      <c r="L10" s="126"/>
      <c r="M10" s="126"/>
      <c r="N10" s="126"/>
      <c r="O10" s="126"/>
      <c r="P10" s="126"/>
      <c r="Q10" s="126"/>
      <c r="R10" s="126"/>
      <c r="S10" s="126"/>
      <c r="T10" s="126"/>
      <c r="U10" s="126"/>
      <c r="V10" s="126"/>
      <c r="W10" s="126"/>
      <c r="X10" s="126"/>
      <c r="Y10" s="126"/>
      <c r="Z10" s="126"/>
    </row>
    <row r="11">
      <c r="A11" s="127" t="s">
        <v>19</v>
      </c>
      <c r="B11" s="127">
        <v>10.0</v>
      </c>
      <c r="C11" s="127">
        <v>23.0</v>
      </c>
      <c r="D11" s="127" t="s">
        <v>447</v>
      </c>
      <c r="E11" s="127">
        <v>9.940478564E9</v>
      </c>
      <c r="F11" s="127" t="s">
        <v>1588</v>
      </c>
      <c r="G11" s="127" t="s">
        <v>19</v>
      </c>
      <c r="H11" s="127" t="s">
        <v>1601</v>
      </c>
      <c r="I11" s="126"/>
      <c r="J11" s="126"/>
      <c r="K11" s="126"/>
      <c r="L11" s="126"/>
      <c r="M11" s="126"/>
      <c r="N11" s="126"/>
      <c r="O11" s="126"/>
      <c r="P11" s="126"/>
      <c r="Q11" s="126"/>
      <c r="R11" s="126"/>
      <c r="S11" s="126"/>
      <c r="T11" s="126"/>
      <c r="U11" s="126"/>
      <c r="V11" s="126"/>
      <c r="W11" s="126"/>
      <c r="X11" s="126"/>
      <c r="Y11" s="126"/>
      <c r="Z11" s="126"/>
    </row>
    <row r="12">
      <c r="A12" s="127" t="s">
        <v>20</v>
      </c>
      <c r="B12" s="127">
        <v>11.0</v>
      </c>
      <c r="C12" s="127"/>
      <c r="D12" s="127"/>
      <c r="E12" s="127">
        <v>8.104916757E9</v>
      </c>
      <c r="F12" s="127" t="s">
        <v>1592</v>
      </c>
      <c r="G12" s="127"/>
      <c r="H12" s="127" t="s">
        <v>1602</v>
      </c>
      <c r="I12" s="126"/>
      <c r="J12" s="126"/>
      <c r="K12" s="126"/>
      <c r="L12" s="126"/>
      <c r="M12" s="126"/>
      <c r="N12" s="126"/>
      <c r="O12" s="126"/>
      <c r="P12" s="126"/>
      <c r="Q12" s="126"/>
      <c r="R12" s="126"/>
      <c r="S12" s="126"/>
      <c r="T12" s="126"/>
      <c r="U12" s="126"/>
      <c r="V12" s="126"/>
      <c r="W12" s="126"/>
      <c r="X12" s="126"/>
      <c r="Y12" s="126"/>
      <c r="Z12" s="126"/>
    </row>
    <row r="13">
      <c r="A13" s="127" t="s">
        <v>21</v>
      </c>
      <c r="B13" s="127">
        <v>12.0</v>
      </c>
      <c r="C13" s="127">
        <v>21.0</v>
      </c>
      <c r="D13" s="127" t="s">
        <v>458</v>
      </c>
      <c r="E13" s="127">
        <v>6.260662123E9</v>
      </c>
      <c r="F13" s="127" t="s">
        <v>1588</v>
      </c>
      <c r="G13" s="127" t="s">
        <v>1603</v>
      </c>
      <c r="H13" s="127" t="s">
        <v>1604</v>
      </c>
      <c r="I13" s="126"/>
      <c r="J13" s="126"/>
      <c r="K13" s="126"/>
      <c r="L13" s="126"/>
      <c r="M13" s="126"/>
      <c r="N13" s="126"/>
      <c r="O13" s="126"/>
      <c r="P13" s="126"/>
      <c r="Q13" s="126"/>
      <c r="R13" s="126"/>
      <c r="S13" s="126"/>
      <c r="T13" s="126"/>
      <c r="U13" s="126"/>
      <c r="V13" s="126"/>
      <c r="W13" s="126"/>
      <c r="X13" s="126"/>
      <c r="Y13" s="126"/>
      <c r="Z13" s="126"/>
    </row>
    <row r="14">
      <c r="A14" s="127" t="s">
        <v>22</v>
      </c>
      <c r="B14" s="127">
        <v>13.0</v>
      </c>
      <c r="C14" s="127">
        <v>23.0</v>
      </c>
      <c r="D14" s="127" t="s">
        <v>487</v>
      </c>
      <c r="E14" s="127">
        <v>9.324746678E9</v>
      </c>
      <c r="F14" s="127" t="s">
        <v>1588</v>
      </c>
      <c r="G14" s="127" t="s">
        <v>486</v>
      </c>
      <c r="H14" s="127" t="s">
        <v>1605</v>
      </c>
      <c r="I14" s="126"/>
      <c r="J14" s="126"/>
      <c r="K14" s="126"/>
      <c r="L14" s="126"/>
      <c r="M14" s="126"/>
      <c r="N14" s="126"/>
      <c r="O14" s="126"/>
      <c r="P14" s="126"/>
      <c r="Q14" s="126"/>
      <c r="R14" s="126"/>
      <c r="S14" s="126"/>
      <c r="T14" s="126"/>
      <c r="U14" s="126"/>
      <c r="V14" s="126"/>
      <c r="W14" s="126"/>
      <c r="X14" s="126"/>
      <c r="Y14" s="126"/>
      <c r="Z14" s="126"/>
    </row>
    <row r="15">
      <c r="A15" s="127" t="s">
        <v>23</v>
      </c>
      <c r="B15" s="127">
        <v>14.0</v>
      </c>
      <c r="C15" s="127">
        <v>26.0</v>
      </c>
      <c r="D15" s="127" t="s">
        <v>447</v>
      </c>
      <c r="E15" s="127">
        <v>9.89361827E9</v>
      </c>
      <c r="F15" s="127" t="s">
        <v>1588</v>
      </c>
      <c r="G15" s="127" t="s">
        <v>23</v>
      </c>
      <c r="H15" s="127" t="s">
        <v>1606</v>
      </c>
      <c r="I15" s="126"/>
      <c r="J15" s="126"/>
      <c r="K15" s="126"/>
      <c r="L15" s="126"/>
      <c r="M15" s="126"/>
      <c r="N15" s="126"/>
      <c r="O15" s="126"/>
      <c r="P15" s="126"/>
      <c r="Q15" s="126"/>
      <c r="R15" s="126"/>
      <c r="S15" s="126"/>
      <c r="T15" s="126"/>
      <c r="U15" s="126"/>
      <c r="V15" s="126"/>
      <c r="W15" s="126"/>
      <c r="X15" s="126"/>
      <c r="Y15" s="126"/>
      <c r="Z15" s="126"/>
    </row>
    <row r="16">
      <c r="A16" s="127" t="s">
        <v>24</v>
      </c>
      <c r="B16" s="127">
        <v>15.0</v>
      </c>
      <c r="C16" s="127">
        <v>16.0</v>
      </c>
      <c r="D16" s="127"/>
      <c r="E16" s="127">
        <v>9.584175407E9</v>
      </c>
      <c r="F16" s="127" t="s">
        <v>1592</v>
      </c>
      <c r="G16" s="127"/>
      <c r="H16" s="127" t="s">
        <v>1607</v>
      </c>
      <c r="I16" s="126"/>
      <c r="J16" s="126"/>
      <c r="K16" s="126"/>
      <c r="L16" s="126"/>
      <c r="M16" s="126"/>
      <c r="N16" s="126"/>
      <c r="O16" s="126"/>
      <c r="P16" s="126"/>
      <c r="Q16" s="126"/>
      <c r="R16" s="126"/>
      <c r="S16" s="126"/>
      <c r="T16" s="126"/>
      <c r="U16" s="126"/>
      <c r="V16" s="126"/>
      <c r="W16" s="126"/>
      <c r="X16" s="126"/>
      <c r="Y16" s="126"/>
      <c r="Z16" s="126"/>
    </row>
    <row r="17">
      <c r="A17" s="127" t="s">
        <v>25</v>
      </c>
      <c r="B17" s="127">
        <v>16.0</v>
      </c>
      <c r="C17" s="127">
        <v>17.0</v>
      </c>
      <c r="D17" s="127"/>
      <c r="E17" s="127">
        <v>8.25300371E9</v>
      </c>
      <c r="F17" s="127" t="s">
        <v>1592</v>
      </c>
      <c r="G17" s="127"/>
      <c r="H17" s="127" t="s">
        <v>1608</v>
      </c>
      <c r="I17" s="126"/>
      <c r="J17" s="126"/>
      <c r="K17" s="126"/>
      <c r="L17" s="126"/>
      <c r="M17" s="126"/>
      <c r="N17" s="126"/>
      <c r="O17" s="126"/>
      <c r="P17" s="126"/>
      <c r="Q17" s="126"/>
      <c r="R17" s="126"/>
      <c r="S17" s="126"/>
      <c r="T17" s="126"/>
      <c r="U17" s="126"/>
      <c r="V17" s="126"/>
      <c r="W17" s="126"/>
      <c r="X17" s="126"/>
      <c r="Y17" s="126"/>
      <c r="Z17" s="126"/>
    </row>
    <row r="18">
      <c r="A18" s="127" t="s">
        <v>26</v>
      </c>
      <c r="B18" s="127">
        <v>17.0</v>
      </c>
      <c r="C18" s="127">
        <v>25.0</v>
      </c>
      <c r="D18" s="127" t="s">
        <v>487</v>
      </c>
      <c r="E18" s="127">
        <v>9.713410009E9</v>
      </c>
      <c r="F18" s="127" t="s">
        <v>1588</v>
      </c>
      <c r="G18" s="127" t="s">
        <v>26</v>
      </c>
      <c r="H18" s="127" t="s">
        <v>1609</v>
      </c>
      <c r="I18" s="126"/>
      <c r="J18" s="126"/>
      <c r="K18" s="126"/>
      <c r="L18" s="126"/>
      <c r="M18" s="126"/>
      <c r="N18" s="126"/>
      <c r="O18" s="126"/>
      <c r="P18" s="126"/>
      <c r="Q18" s="126"/>
      <c r="R18" s="126"/>
      <c r="S18" s="126"/>
      <c r="T18" s="126"/>
      <c r="U18" s="126"/>
      <c r="V18" s="126"/>
      <c r="W18" s="126"/>
      <c r="X18" s="126"/>
      <c r="Y18" s="126"/>
      <c r="Z18" s="126"/>
    </row>
    <row r="19">
      <c r="A19" s="127" t="s">
        <v>27</v>
      </c>
      <c r="B19" s="127">
        <v>18.0</v>
      </c>
      <c r="C19" s="127">
        <v>32.0</v>
      </c>
      <c r="D19" s="127" t="s">
        <v>447</v>
      </c>
      <c r="E19" s="127">
        <v>9.762808997E9</v>
      </c>
      <c r="F19" s="127" t="s">
        <v>1588</v>
      </c>
      <c r="G19" s="127" t="s">
        <v>27</v>
      </c>
      <c r="H19" s="127" t="s">
        <v>1610</v>
      </c>
      <c r="I19" s="126"/>
      <c r="J19" s="126"/>
      <c r="K19" s="126"/>
      <c r="L19" s="126"/>
      <c r="M19" s="126"/>
      <c r="N19" s="126"/>
      <c r="O19" s="126"/>
      <c r="P19" s="126"/>
      <c r="Q19" s="126"/>
      <c r="R19" s="126"/>
      <c r="S19" s="126"/>
      <c r="T19" s="126"/>
      <c r="U19" s="126"/>
      <c r="V19" s="126"/>
      <c r="W19" s="126"/>
      <c r="X19" s="126"/>
      <c r="Y19" s="126"/>
      <c r="Z19" s="126"/>
    </row>
    <row r="20">
      <c r="A20" s="127" t="s">
        <v>1611</v>
      </c>
      <c r="B20" s="127">
        <v>19.0</v>
      </c>
      <c r="C20" s="127">
        <v>19.0</v>
      </c>
      <c r="D20" s="127"/>
      <c r="E20" s="127">
        <v>9.737943472E9</v>
      </c>
      <c r="F20" s="127" t="s">
        <v>1592</v>
      </c>
      <c r="G20" s="127"/>
      <c r="H20" s="127" t="s">
        <v>1612</v>
      </c>
      <c r="I20" s="126"/>
      <c r="J20" s="126"/>
      <c r="K20" s="126"/>
      <c r="L20" s="126"/>
      <c r="M20" s="126"/>
      <c r="N20" s="126"/>
      <c r="O20" s="126"/>
      <c r="P20" s="126"/>
      <c r="Q20" s="126"/>
      <c r="R20" s="126"/>
      <c r="S20" s="126"/>
      <c r="T20" s="126"/>
      <c r="U20" s="126"/>
      <c r="V20" s="126"/>
      <c r="W20" s="126"/>
      <c r="X20" s="126"/>
      <c r="Y20" s="126"/>
      <c r="Z20" s="126"/>
    </row>
    <row r="21">
      <c r="A21" s="127" t="s">
        <v>29</v>
      </c>
      <c r="B21" s="127">
        <v>20.0</v>
      </c>
      <c r="C21" s="127">
        <v>42.0</v>
      </c>
      <c r="D21" s="127" t="s">
        <v>447</v>
      </c>
      <c r="E21" s="127">
        <v>9.825011862E9</v>
      </c>
      <c r="F21" s="127" t="s">
        <v>1588</v>
      </c>
      <c r="G21" s="127" t="s">
        <v>29</v>
      </c>
      <c r="H21" s="127" t="s">
        <v>1613</v>
      </c>
      <c r="I21" s="126"/>
      <c r="J21" s="126"/>
      <c r="K21" s="126"/>
      <c r="L21" s="126"/>
      <c r="M21" s="126"/>
      <c r="N21" s="126"/>
      <c r="O21" s="126"/>
      <c r="P21" s="126"/>
      <c r="Q21" s="126"/>
      <c r="R21" s="126"/>
      <c r="S21" s="126"/>
      <c r="T21" s="126"/>
      <c r="U21" s="126"/>
      <c r="V21" s="126"/>
      <c r="W21" s="126"/>
      <c r="X21" s="126"/>
      <c r="Y21" s="126"/>
      <c r="Z21" s="126"/>
    </row>
    <row r="22">
      <c r="A22" s="127" t="s">
        <v>30</v>
      </c>
      <c r="B22" s="127">
        <v>21.0</v>
      </c>
      <c r="C22" s="127">
        <v>24.0</v>
      </c>
      <c r="D22" s="127" t="s">
        <v>458</v>
      </c>
      <c r="E22" s="127">
        <v>9.827071761E9</v>
      </c>
      <c r="F22" s="127" t="s">
        <v>1588</v>
      </c>
      <c r="G22" s="127" t="s">
        <v>30</v>
      </c>
      <c r="H22" s="127" t="s">
        <v>1614</v>
      </c>
      <c r="I22" s="126"/>
      <c r="J22" s="126"/>
      <c r="K22" s="126"/>
      <c r="L22" s="126"/>
      <c r="M22" s="126"/>
      <c r="N22" s="126"/>
      <c r="O22" s="126"/>
      <c r="P22" s="126"/>
      <c r="Q22" s="126"/>
      <c r="R22" s="126"/>
      <c r="S22" s="126"/>
      <c r="T22" s="126"/>
      <c r="U22" s="126"/>
      <c r="V22" s="126"/>
      <c r="W22" s="126"/>
      <c r="X22" s="126"/>
      <c r="Y22" s="126"/>
      <c r="Z22" s="126"/>
    </row>
    <row r="23">
      <c r="A23" s="127" t="s">
        <v>31</v>
      </c>
      <c r="B23" s="127">
        <v>22.0</v>
      </c>
      <c r="C23" s="127">
        <v>21.0</v>
      </c>
      <c r="D23" s="127" t="s">
        <v>447</v>
      </c>
      <c r="E23" s="127">
        <v>9.425104131E9</v>
      </c>
      <c r="F23" s="127" t="s">
        <v>1588</v>
      </c>
      <c r="G23" s="127" t="s">
        <v>31</v>
      </c>
      <c r="H23" s="127" t="s">
        <v>1615</v>
      </c>
      <c r="I23" s="126"/>
      <c r="J23" s="126"/>
      <c r="K23" s="126"/>
      <c r="L23" s="126"/>
      <c r="M23" s="126"/>
      <c r="N23" s="126"/>
      <c r="O23" s="126"/>
      <c r="P23" s="126"/>
      <c r="Q23" s="126"/>
      <c r="R23" s="126"/>
      <c r="S23" s="126"/>
      <c r="T23" s="126"/>
      <c r="U23" s="126"/>
      <c r="V23" s="126"/>
      <c r="W23" s="126"/>
      <c r="X23" s="126"/>
      <c r="Y23" s="126"/>
      <c r="Z23" s="126"/>
    </row>
    <row r="24">
      <c r="A24" s="127" t="s">
        <v>32</v>
      </c>
      <c r="B24" s="127">
        <v>23.0</v>
      </c>
      <c r="C24" s="127">
        <v>31.0</v>
      </c>
      <c r="D24" s="127" t="s">
        <v>447</v>
      </c>
      <c r="E24" s="127">
        <v>7.999992925E9</v>
      </c>
      <c r="F24" s="127" t="s">
        <v>1588</v>
      </c>
      <c r="G24" s="127" t="s">
        <v>32</v>
      </c>
      <c r="H24" s="127" t="s">
        <v>1616</v>
      </c>
      <c r="I24" s="126"/>
      <c r="J24" s="126"/>
      <c r="K24" s="126"/>
      <c r="L24" s="126"/>
      <c r="M24" s="126"/>
      <c r="N24" s="126"/>
      <c r="O24" s="126"/>
      <c r="P24" s="126"/>
      <c r="Q24" s="126"/>
      <c r="R24" s="126"/>
      <c r="S24" s="126"/>
      <c r="T24" s="126"/>
      <c r="U24" s="126"/>
      <c r="V24" s="126"/>
      <c r="W24" s="126"/>
      <c r="X24" s="126"/>
      <c r="Y24" s="126"/>
      <c r="Z24" s="126"/>
    </row>
    <row r="25">
      <c r="A25" s="127" t="s">
        <v>33</v>
      </c>
      <c r="B25" s="127">
        <v>24.0</v>
      </c>
      <c r="C25" s="127">
        <v>26.0</v>
      </c>
      <c r="D25" s="127" t="s">
        <v>487</v>
      </c>
      <c r="E25" s="127">
        <v>9.01109655E9</v>
      </c>
      <c r="F25" s="127" t="s">
        <v>1588</v>
      </c>
      <c r="G25" s="127" t="s">
        <v>33</v>
      </c>
      <c r="H25" s="127" t="s">
        <v>1617</v>
      </c>
      <c r="I25" s="126"/>
      <c r="J25" s="126"/>
      <c r="K25" s="126"/>
      <c r="L25" s="126"/>
      <c r="M25" s="126"/>
      <c r="N25" s="126"/>
      <c r="O25" s="126"/>
      <c r="P25" s="126"/>
      <c r="Q25" s="126"/>
      <c r="R25" s="126"/>
      <c r="S25" s="126"/>
      <c r="T25" s="126"/>
      <c r="U25" s="126"/>
      <c r="V25" s="126"/>
      <c r="W25" s="126"/>
      <c r="X25" s="126"/>
      <c r="Y25" s="126"/>
      <c r="Z25" s="126"/>
    </row>
    <row r="26">
      <c r="A26" s="127" t="s">
        <v>34</v>
      </c>
      <c r="B26" s="127">
        <v>25.0</v>
      </c>
      <c r="C26" s="127">
        <v>23.0</v>
      </c>
      <c r="D26" s="127" t="s">
        <v>458</v>
      </c>
      <c r="E26" s="127">
        <v>9.17935231E9</v>
      </c>
      <c r="F26" s="127" t="s">
        <v>1588</v>
      </c>
      <c r="G26" s="127" t="s">
        <v>34</v>
      </c>
      <c r="H26" s="127" t="s">
        <v>1618</v>
      </c>
      <c r="I26" s="126"/>
      <c r="J26" s="126"/>
      <c r="K26" s="126"/>
      <c r="L26" s="126"/>
      <c r="M26" s="126"/>
      <c r="N26" s="126"/>
      <c r="O26" s="126"/>
      <c r="P26" s="126"/>
      <c r="Q26" s="126"/>
      <c r="R26" s="126"/>
      <c r="S26" s="126"/>
      <c r="T26" s="126"/>
      <c r="U26" s="126"/>
      <c r="V26" s="126"/>
      <c r="W26" s="126"/>
      <c r="X26" s="126"/>
      <c r="Y26" s="126"/>
      <c r="Z26" s="126"/>
    </row>
    <row r="27">
      <c r="A27" s="127" t="s">
        <v>35</v>
      </c>
      <c r="B27" s="127">
        <v>26.0</v>
      </c>
      <c r="C27" s="127">
        <v>36.0</v>
      </c>
      <c r="D27" s="127" t="s">
        <v>458</v>
      </c>
      <c r="E27" s="127">
        <v>8.770483294E9</v>
      </c>
      <c r="F27" s="127" t="s">
        <v>1588</v>
      </c>
      <c r="G27" s="127" t="s">
        <v>35</v>
      </c>
      <c r="H27" s="127" t="s">
        <v>1619</v>
      </c>
      <c r="I27" s="126"/>
      <c r="J27" s="126"/>
      <c r="K27" s="126"/>
      <c r="L27" s="126"/>
      <c r="M27" s="126"/>
      <c r="N27" s="126"/>
      <c r="O27" s="126"/>
      <c r="P27" s="126"/>
      <c r="Q27" s="126"/>
      <c r="R27" s="126"/>
      <c r="S27" s="126"/>
      <c r="T27" s="126"/>
      <c r="U27" s="126"/>
      <c r="V27" s="126"/>
      <c r="W27" s="126"/>
      <c r="X27" s="126"/>
      <c r="Y27" s="126"/>
      <c r="Z27" s="126"/>
    </row>
    <row r="28">
      <c r="A28" s="127" t="s">
        <v>440</v>
      </c>
      <c r="B28" s="127">
        <v>27.0</v>
      </c>
      <c r="C28" s="127">
        <v>18.0</v>
      </c>
      <c r="D28" s="127" t="s">
        <v>441</v>
      </c>
      <c r="E28" s="127">
        <v>9.425068194E9</v>
      </c>
      <c r="F28" s="127" t="s">
        <v>1588</v>
      </c>
      <c r="G28" s="127" t="s">
        <v>440</v>
      </c>
      <c r="H28" s="127" t="s">
        <v>1620</v>
      </c>
      <c r="I28" s="126"/>
      <c r="J28" s="126"/>
      <c r="K28" s="126"/>
      <c r="L28" s="126"/>
      <c r="M28" s="126"/>
      <c r="N28" s="126"/>
      <c r="O28" s="126"/>
      <c r="P28" s="126"/>
      <c r="Q28" s="126"/>
      <c r="R28" s="126"/>
      <c r="S28" s="126"/>
      <c r="T28" s="126"/>
      <c r="U28" s="126"/>
      <c r="V28" s="126"/>
      <c r="W28" s="126"/>
      <c r="X28" s="126"/>
      <c r="Y28" s="126"/>
      <c r="Z28" s="126"/>
    </row>
    <row r="29">
      <c r="A29" s="127" t="s">
        <v>1621</v>
      </c>
      <c r="B29" s="127">
        <v>28.0</v>
      </c>
      <c r="C29" s="127">
        <v>19.0</v>
      </c>
      <c r="D29" s="127"/>
      <c r="E29" s="127">
        <v>9.424044167E9</v>
      </c>
      <c r="F29" s="127" t="s">
        <v>1592</v>
      </c>
      <c r="G29" s="127"/>
      <c r="H29" s="127" t="s">
        <v>1622</v>
      </c>
      <c r="I29" s="126"/>
      <c r="J29" s="126"/>
      <c r="K29" s="126"/>
      <c r="L29" s="126"/>
      <c r="M29" s="126"/>
      <c r="N29" s="126"/>
      <c r="O29" s="126"/>
      <c r="P29" s="126"/>
      <c r="Q29" s="126"/>
      <c r="R29" s="126"/>
      <c r="S29" s="126"/>
      <c r="T29" s="126"/>
      <c r="U29" s="126"/>
      <c r="V29" s="126"/>
      <c r="W29" s="126"/>
      <c r="X29" s="126"/>
      <c r="Y29" s="126"/>
      <c r="Z29" s="126"/>
    </row>
    <row r="30">
      <c r="A30" s="127" t="s">
        <v>1623</v>
      </c>
      <c r="B30" s="127">
        <v>29.0</v>
      </c>
      <c r="C30" s="127">
        <v>27.0</v>
      </c>
      <c r="D30" s="127" t="s">
        <v>447</v>
      </c>
      <c r="E30" s="127">
        <v>7.771906579E9</v>
      </c>
      <c r="F30" s="127" t="s">
        <v>1588</v>
      </c>
      <c r="G30" s="127" t="s">
        <v>1624</v>
      </c>
      <c r="H30" s="127" t="s">
        <v>1625</v>
      </c>
      <c r="I30" s="126"/>
      <c r="J30" s="126"/>
      <c r="K30" s="126"/>
      <c r="L30" s="126"/>
      <c r="M30" s="126"/>
      <c r="N30" s="126"/>
      <c r="O30" s="126"/>
      <c r="P30" s="126"/>
      <c r="Q30" s="126"/>
      <c r="R30" s="126"/>
      <c r="S30" s="126"/>
      <c r="T30" s="126"/>
      <c r="U30" s="126"/>
      <c r="V30" s="126"/>
      <c r="W30" s="126"/>
      <c r="X30" s="126"/>
      <c r="Y30" s="126"/>
      <c r="Z30" s="126"/>
    </row>
    <row r="31">
      <c r="A31" s="127" t="s">
        <v>39</v>
      </c>
      <c r="B31" s="127">
        <v>30.0</v>
      </c>
      <c r="C31" s="127">
        <v>24.0</v>
      </c>
      <c r="D31" s="127" t="s">
        <v>458</v>
      </c>
      <c r="E31" s="127">
        <v>7.354054343E9</v>
      </c>
      <c r="F31" s="127" t="s">
        <v>1588</v>
      </c>
      <c r="G31" s="127" t="s">
        <v>39</v>
      </c>
      <c r="H31" s="127" t="s">
        <v>1626</v>
      </c>
      <c r="I31" s="126"/>
      <c r="J31" s="126"/>
      <c r="K31" s="126"/>
      <c r="L31" s="126"/>
      <c r="M31" s="126"/>
      <c r="N31" s="126"/>
      <c r="O31" s="126"/>
      <c r="P31" s="126"/>
      <c r="Q31" s="126"/>
      <c r="R31" s="126"/>
      <c r="S31" s="126"/>
      <c r="T31" s="126"/>
      <c r="U31" s="126"/>
      <c r="V31" s="126"/>
      <c r="W31" s="126"/>
      <c r="X31" s="126"/>
      <c r="Y31" s="126"/>
      <c r="Z31" s="126"/>
    </row>
    <row r="32">
      <c r="A32" s="127" t="s">
        <v>40</v>
      </c>
      <c r="B32" s="127">
        <v>31.0</v>
      </c>
      <c r="C32" s="127">
        <v>28.0</v>
      </c>
      <c r="D32" s="127" t="s">
        <v>458</v>
      </c>
      <c r="E32" s="127">
        <v>9.381015186E9</v>
      </c>
      <c r="F32" s="127" t="s">
        <v>1588</v>
      </c>
      <c r="G32" s="127" t="s">
        <v>40</v>
      </c>
      <c r="H32" s="127" t="s">
        <v>1627</v>
      </c>
      <c r="I32" s="126"/>
      <c r="J32" s="126"/>
      <c r="K32" s="126"/>
      <c r="L32" s="126"/>
      <c r="M32" s="126"/>
      <c r="N32" s="126"/>
      <c r="O32" s="126"/>
      <c r="P32" s="126"/>
      <c r="Q32" s="126"/>
      <c r="R32" s="126"/>
      <c r="S32" s="126"/>
      <c r="T32" s="126"/>
      <c r="U32" s="126"/>
      <c r="V32" s="126"/>
      <c r="W32" s="126"/>
      <c r="X32" s="126"/>
      <c r="Y32" s="126"/>
      <c r="Z32" s="126"/>
    </row>
    <row r="33">
      <c r="A33" s="127" t="s">
        <v>41</v>
      </c>
      <c r="B33" s="127">
        <v>32.0</v>
      </c>
      <c r="C33" s="127">
        <v>13.0</v>
      </c>
      <c r="D33" s="127" t="s">
        <v>458</v>
      </c>
      <c r="E33" s="127">
        <v>9.552278383E9</v>
      </c>
      <c r="F33" s="127" t="s">
        <v>1588</v>
      </c>
      <c r="G33" s="127" t="s">
        <v>41</v>
      </c>
      <c r="H33" s="127" t="s">
        <v>1628</v>
      </c>
      <c r="I33" s="126"/>
      <c r="J33" s="126"/>
      <c r="K33" s="126"/>
      <c r="L33" s="126"/>
      <c r="M33" s="126"/>
      <c r="N33" s="126"/>
      <c r="O33" s="126"/>
      <c r="P33" s="126"/>
      <c r="Q33" s="126"/>
      <c r="R33" s="126"/>
      <c r="S33" s="126"/>
      <c r="T33" s="126"/>
      <c r="U33" s="126"/>
      <c r="V33" s="126"/>
      <c r="W33" s="126"/>
      <c r="X33" s="126"/>
      <c r="Y33" s="126"/>
      <c r="Z33" s="126"/>
    </row>
    <row r="34">
      <c r="A34" s="127" t="s">
        <v>1629</v>
      </c>
      <c r="B34" s="127">
        <v>33.0</v>
      </c>
      <c r="C34" s="127">
        <v>40.0</v>
      </c>
      <c r="D34" s="127" t="s">
        <v>447</v>
      </c>
      <c r="E34" s="127">
        <v>8.369232493E9</v>
      </c>
      <c r="F34" s="127" t="s">
        <v>1588</v>
      </c>
      <c r="G34" s="127" t="s">
        <v>1629</v>
      </c>
      <c r="H34" s="127" t="s">
        <v>1630</v>
      </c>
      <c r="I34" s="126"/>
      <c r="J34" s="126"/>
      <c r="K34" s="126"/>
      <c r="L34" s="126"/>
      <c r="M34" s="126"/>
      <c r="N34" s="126"/>
      <c r="O34" s="126"/>
      <c r="P34" s="126"/>
      <c r="Q34" s="126"/>
      <c r="R34" s="126"/>
      <c r="S34" s="126"/>
      <c r="T34" s="126"/>
      <c r="U34" s="126"/>
      <c r="V34" s="126"/>
      <c r="W34" s="126"/>
      <c r="X34" s="126"/>
      <c r="Y34" s="126"/>
      <c r="Z34" s="126"/>
    </row>
    <row r="35">
      <c r="A35" s="127" t="s">
        <v>1631</v>
      </c>
      <c r="B35" s="127">
        <v>34.0</v>
      </c>
      <c r="C35" s="127">
        <v>33.0</v>
      </c>
      <c r="D35" s="127"/>
      <c r="E35" s="127">
        <v>7.667643221E9</v>
      </c>
      <c r="F35" s="127" t="s">
        <v>1592</v>
      </c>
      <c r="G35" s="127"/>
      <c r="H35" s="127" t="s">
        <v>1632</v>
      </c>
      <c r="I35" s="126"/>
      <c r="J35" s="126"/>
      <c r="K35" s="126"/>
      <c r="L35" s="126"/>
      <c r="M35" s="126"/>
      <c r="N35" s="126"/>
      <c r="O35" s="126"/>
      <c r="P35" s="126"/>
      <c r="Q35" s="126"/>
      <c r="R35" s="126"/>
      <c r="S35" s="126"/>
      <c r="T35" s="126"/>
      <c r="U35" s="126"/>
      <c r="V35" s="126"/>
      <c r="W35" s="126"/>
      <c r="X35" s="126"/>
      <c r="Y35" s="126"/>
      <c r="Z35" s="126"/>
    </row>
    <row r="36">
      <c r="A36" s="127" t="s">
        <v>44</v>
      </c>
      <c r="B36" s="127">
        <v>35.0</v>
      </c>
      <c r="C36" s="127">
        <v>20.0</v>
      </c>
      <c r="D36" s="127" t="s">
        <v>441</v>
      </c>
      <c r="E36" s="127">
        <v>8.015363385E9</v>
      </c>
      <c r="F36" s="127" t="s">
        <v>1588</v>
      </c>
      <c r="G36" s="127" t="s">
        <v>44</v>
      </c>
      <c r="H36" s="127" t="s">
        <v>1633</v>
      </c>
      <c r="I36" s="126"/>
      <c r="J36" s="126"/>
      <c r="K36" s="126"/>
      <c r="L36" s="126"/>
      <c r="M36" s="126"/>
      <c r="N36" s="126"/>
      <c r="O36" s="126"/>
      <c r="P36" s="126"/>
      <c r="Q36" s="126"/>
      <c r="R36" s="126"/>
      <c r="S36" s="126"/>
      <c r="T36" s="126"/>
      <c r="U36" s="126"/>
      <c r="V36" s="126"/>
      <c r="W36" s="126"/>
      <c r="X36" s="126"/>
      <c r="Y36" s="126"/>
      <c r="Z36" s="126"/>
    </row>
    <row r="37">
      <c r="A37" s="127" t="s">
        <v>45</v>
      </c>
      <c r="B37" s="127">
        <v>36.0</v>
      </c>
      <c r="C37" s="127">
        <v>15.0</v>
      </c>
      <c r="D37" s="127" t="s">
        <v>458</v>
      </c>
      <c r="E37" s="127">
        <v>9.584231441E9</v>
      </c>
      <c r="F37" s="127" t="s">
        <v>1588</v>
      </c>
      <c r="G37" s="127" t="s">
        <v>587</v>
      </c>
      <c r="H37" s="127" t="s">
        <v>1634</v>
      </c>
      <c r="I37" s="126"/>
      <c r="J37" s="126"/>
      <c r="K37" s="126"/>
      <c r="L37" s="126"/>
      <c r="M37" s="126"/>
      <c r="N37" s="126"/>
      <c r="O37" s="126"/>
      <c r="P37" s="126"/>
      <c r="Q37" s="126"/>
      <c r="R37" s="126"/>
      <c r="S37" s="126"/>
      <c r="T37" s="126"/>
      <c r="U37" s="126"/>
      <c r="V37" s="126"/>
      <c r="W37" s="126"/>
      <c r="X37" s="126"/>
      <c r="Y37" s="126"/>
      <c r="Z37" s="126"/>
    </row>
    <row r="38">
      <c r="A38" s="127" t="s">
        <v>46</v>
      </c>
      <c r="B38" s="127">
        <v>37.0</v>
      </c>
      <c r="C38" s="127">
        <v>18.0</v>
      </c>
      <c r="D38" s="127"/>
      <c r="E38" s="127">
        <v>7.620396824E9</v>
      </c>
      <c r="F38" s="127" t="s">
        <v>1592</v>
      </c>
      <c r="G38" s="127"/>
      <c r="H38" s="127" t="s">
        <v>1635</v>
      </c>
      <c r="I38" s="126"/>
      <c r="J38" s="126"/>
      <c r="K38" s="126"/>
      <c r="L38" s="126"/>
      <c r="M38" s="126"/>
      <c r="N38" s="126"/>
      <c r="O38" s="126"/>
      <c r="P38" s="126"/>
      <c r="Q38" s="126"/>
      <c r="R38" s="126"/>
      <c r="S38" s="126"/>
      <c r="T38" s="126"/>
      <c r="U38" s="126"/>
      <c r="V38" s="126"/>
      <c r="W38" s="126"/>
      <c r="X38" s="126"/>
      <c r="Y38" s="126"/>
      <c r="Z38" s="126"/>
    </row>
    <row r="39">
      <c r="A39" s="127" t="s">
        <v>47</v>
      </c>
      <c r="B39" s="127">
        <v>38.0</v>
      </c>
      <c r="C39" s="127">
        <v>30.0</v>
      </c>
      <c r="D39" s="127" t="s">
        <v>487</v>
      </c>
      <c r="E39" s="127">
        <v>9.561195563E9</v>
      </c>
      <c r="F39" s="127" t="s">
        <v>1636</v>
      </c>
      <c r="G39" s="127" t="s">
        <v>591</v>
      </c>
      <c r="H39" s="127" t="s">
        <v>1637</v>
      </c>
      <c r="I39" s="126"/>
      <c r="J39" s="126"/>
      <c r="K39" s="126"/>
      <c r="L39" s="126"/>
      <c r="M39" s="126"/>
      <c r="N39" s="126"/>
      <c r="O39" s="126"/>
      <c r="P39" s="126"/>
      <c r="Q39" s="126"/>
      <c r="R39" s="126"/>
      <c r="S39" s="126"/>
      <c r="T39" s="126"/>
      <c r="U39" s="126"/>
      <c r="V39" s="126"/>
      <c r="W39" s="126"/>
      <c r="X39" s="126"/>
      <c r="Y39" s="126"/>
      <c r="Z39" s="126"/>
    </row>
    <row r="40">
      <c r="A40" s="127" t="s">
        <v>1638</v>
      </c>
      <c r="B40" s="127">
        <v>39.0</v>
      </c>
      <c r="C40" s="127">
        <v>19.0</v>
      </c>
      <c r="D40" s="127"/>
      <c r="E40" s="127">
        <v>9.404825525E9</v>
      </c>
      <c r="F40" s="127" t="s">
        <v>1592</v>
      </c>
      <c r="G40" s="127"/>
      <c r="H40" s="127" t="s">
        <v>1639</v>
      </c>
      <c r="I40" s="126"/>
      <c r="J40" s="126"/>
      <c r="K40" s="126"/>
      <c r="L40" s="126"/>
      <c r="M40" s="126"/>
      <c r="N40" s="126"/>
      <c r="O40" s="126"/>
      <c r="P40" s="126"/>
      <c r="Q40" s="126"/>
      <c r="R40" s="126"/>
      <c r="S40" s="126"/>
      <c r="T40" s="126"/>
      <c r="U40" s="126"/>
      <c r="V40" s="126"/>
      <c r="W40" s="126"/>
      <c r="X40" s="126"/>
      <c r="Y40" s="126"/>
      <c r="Z40" s="126"/>
    </row>
    <row r="41">
      <c r="A41" s="127" t="s">
        <v>49</v>
      </c>
      <c r="B41" s="127">
        <v>40.0</v>
      </c>
      <c r="C41" s="127">
        <v>19.0</v>
      </c>
      <c r="D41" s="127" t="s">
        <v>458</v>
      </c>
      <c r="E41" s="127">
        <v>9.406635227E9</v>
      </c>
      <c r="F41" s="127" t="s">
        <v>1588</v>
      </c>
      <c r="G41" s="127" t="s">
        <v>49</v>
      </c>
      <c r="H41" s="127" t="s">
        <v>1640</v>
      </c>
      <c r="I41" s="126"/>
      <c r="J41" s="126"/>
      <c r="K41" s="126"/>
      <c r="L41" s="126"/>
      <c r="M41" s="126"/>
      <c r="N41" s="126"/>
      <c r="O41" s="126"/>
      <c r="P41" s="126"/>
      <c r="Q41" s="126"/>
      <c r="R41" s="126"/>
      <c r="S41" s="126"/>
      <c r="T41" s="126"/>
      <c r="U41" s="126"/>
      <c r="V41" s="126"/>
      <c r="W41" s="126"/>
      <c r="X41" s="126"/>
      <c r="Y41" s="126"/>
      <c r="Z41" s="126"/>
    </row>
    <row r="42">
      <c r="A42" s="127" t="s">
        <v>50</v>
      </c>
      <c r="B42" s="127">
        <v>41.0</v>
      </c>
      <c r="C42" s="127">
        <v>35.0</v>
      </c>
      <c r="D42" s="127" t="s">
        <v>604</v>
      </c>
      <c r="E42" s="127">
        <v>9.821127986E9</v>
      </c>
      <c r="F42" s="127" t="s">
        <v>1588</v>
      </c>
      <c r="G42" s="127" t="s">
        <v>603</v>
      </c>
      <c r="H42" s="127" t="s">
        <v>1641</v>
      </c>
      <c r="I42" s="126"/>
      <c r="J42" s="126"/>
      <c r="K42" s="126"/>
      <c r="L42" s="126"/>
      <c r="M42" s="126"/>
      <c r="N42" s="126"/>
      <c r="O42" s="126"/>
      <c r="P42" s="126"/>
      <c r="Q42" s="126"/>
      <c r="R42" s="126"/>
      <c r="S42" s="126"/>
      <c r="T42" s="126"/>
      <c r="U42" s="126"/>
      <c r="V42" s="126"/>
      <c r="W42" s="126"/>
      <c r="X42" s="126"/>
      <c r="Y42" s="126"/>
      <c r="Z42" s="126"/>
    </row>
    <row r="43">
      <c r="A43" s="127" t="s">
        <v>51</v>
      </c>
      <c r="B43" s="127">
        <v>42.0</v>
      </c>
      <c r="C43" s="127">
        <v>18.0</v>
      </c>
      <c r="D43" s="127" t="s">
        <v>458</v>
      </c>
      <c r="E43" s="127">
        <v>9.824379449E9</v>
      </c>
      <c r="F43" s="127" t="s">
        <v>1588</v>
      </c>
      <c r="G43" s="127" t="s">
        <v>611</v>
      </c>
      <c r="H43" s="127" t="s">
        <v>1642</v>
      </c>
      <c r="I43" s="126"/>
      <c r="J43" s="126"/>
      <c r="K43" s="126"/>
      <c r="L43" s="126"/>
      <c r="M43" s="126"/>
      <c r="N43" s="126"/>
      <c r="O43" s="126"/>
      <c r="P43" s="126"/>
      <c r="Q43" s="126"/>
      <c r="R43" s="126"/>
      <c r="S43" s="126"/>
      <c r="T43" s="126"/>
      <c r="U43" s="126"/>
      <c r="V43" s="126"/>
      <c r="W43" s="126"/>
      <c r="X43" s="126"/>
      <c r="Y43" s="126"/>
      <c r="Z43" s="126"/>
    </row>
    <row r="44">
      <c r="A44" s="127" t="s">
        <v>52</v>
      </c>
      <c r="B44" s="127">
        <v>43.0</v>
      </c>
      <c r="C44" s="127">
        <v>43.0</v>
      </c>
      <c r="D44" s="127" t="s">
        <v>447</v>
      </c>
      <c r="E44" s="127">
        <v>9.819992095E9</v>
      </c>
      <c r="F44" s="127" t="s">
        <v>1588</v>
      </c>
      <c r="G44" s="127" t="s">
        <v>619</v>
      </c>
      <c r="H44" s="127" t="s">
        <v>1643</v>
      </c>
      <c r="I44" s="126"/>
      <c r="J44" s="126"/>
      <c r="K44" s="126"/>
      <c r="L44" s="126"/>
      <c r="M44" s="126"/>
      <c r="N44" s="126"/>
      <c r="O44" s="126"/>
      <c r="P44" s="126"/>
      <c r="Q44" s="126"/>
      <c r="R44" s="126"/>
      <c r="S44" s="126"/>
      <c r="T44" s="126"/>
      <c r="U44" s="126"/>
      <c r="V44" s="126"/>
      <c r="W44" s="126"/>
      <c r="X44" s="126"/>
      <c r="Y44" s="126"/>
      <c r="Z44" s="126"/>
    </row>
    <row r="45">
      <c r="A45" s="127" t="s">
        <v>53</v>
      </c>
      <c r="B45" s="127">
        <v>44.0</v>
      </c>
      <c r="C45" s="127">
        <v>20.0</v>
      </c>
      <c r="D45" s="127"/>
      <c r="E45" s="127">
        <v>8.980189111E9</v>
      </c>
      <c r="F45" s="127" t="s">
        <v>1592</v>
      </c>
      <c r="G45" s="127"/>
      <c r="H45" s="127" t="s">
        <v>1644</v>
      </c>
      <c r="I45" s="126"/>
      <c r="J45" s="126"/>
      <c r="K45" s="126"/>
      <c r="L45" s="126"/>
      <c r="M45" s="126"/>
      <c r="N45" s="126"/>
      <c r="O45" s="126"/>
      <c r="P45" s="126"/>
      <c r="Q45" s="126"/>
      <c r="R45" s="126"/>
      <c r="S45" s="126"/>
      <c r="T45" s="126"/>
      <c r="U45" s="126"/>
      <c r="V45" s="126"/>
      <c r="W45" s="126"/>
      <c r="X45" s="126"/>
      <c r="Y45" s="126"/>
      <c r="Z45" s="126"/>
    </row>
    <row r="46">
      <c r="A46" s="127" t="s">
        <v>1645</v>
      </c>
      <c r="B46" s="127">
        <v>45.0</v>
      </c>
      <c r="C46" s="127">
        <v>28.0</v>
      </c>
      <c r="D46" s="127" t="s">
        <v>458</v>
      </c>
      <c r="E46" s="127">
        <v>7.760976547E9</v>
      </c>
      <c r="F46" s="127" t="s">
        <v>1588</v>
      </c>
      <c r="G46" s="127" t="s">
        <v>622</v>
      </c>
      <c r="H46" s="127" t="s">
        <v>1646</v>
      </c>
      <c r="I46" s="126"/>
      <c r="J46" s="126"/>
      <c r="K46" s="126"/>
      <c r="L46" s="126"/>
      <c r="M46" s="126"/>
      <c r="N46" s="126"/>
      <c r="O46" s="126"/>
      <c r="P46" s="126"/>
      <c r="Q46" s="126"/>
      <c r="R46" s="126"/>
      <c r="S46" s="126"/>
      <c r="T46" s="126"/>
      <c r="U46" s="126"/>
      <c r="V46" s="126"/>
      <c r="W46" s="126"/>
      <c r="X46" s="126"/>
      <c r="Y46" s="126"/>
      <c r="Z46" s="126"/>
    </row>
    <row r="47">
      <c r="A47" s="127" t="s">
        <v>55</v>
      </c>
      <c r="B47" s="127">
        <v>46.0</v>
      </c>
      <c r="C47" s="127">
        <v>21.0</v>
      </c>
      <c r="D47" s="127" t="s">
        <v>447</v>
      </c>
      <c r="E47" s="127">
        <v>9.32400493E9</v>
      </c>
      <c r="F47" s="127" t="s">
        <v>1588</v>
      </c>
      <c r="G47" s="127" t="s">
        <v>1647</v>
      </c>
      <c r="H47" s="127" t="s">
        <v>1648</v>
      </c>
      <c r="I47" s="126"/>
      <c r="J47" s="126"/>
      <c r="K47" s="126"/>
      <c r="L47" s="126"/>
      <c r="M47" s="126"/>
      <c r="N47" s="126"/>
      <c r="O47" s="126"/>
      <c r="P47" s="126"/>
      <c r="Q47" s="126"/>
      <c r="R47" s="126"/>
      <c r="S47" s="126"/>
      <c r="T47" s="126"/>
      <c r="U47" s="126"/>
      <c r="V47" s="126"/>
      <c r="W47" s="126"/>
      <c r="X47" s="126"/>
      <c r="Y47" s="126"/>
      <c r="Z47" s="126"/>
    </row>
    <row r="48">
      <c r="A48" s="127" t="s">
        <v>56</v>
      </c>
      <c r="B48" s="127">
        <v>47.0</v>
      </c>
      <c r="C48" s="127">
        <v>18.0</v>
      </c>
      <c r="D48" s="127" t="s">
        <v>441</v>
      </c>
      <c r="E48" s="127">
        <v>8.880898189E9</v>
      </c>
      <c r="F48" s="127" t="s">
        <v>1588</v>
      </c>
      <c r="G48" s="127" t="s">
        <v>634</v>
      </c>
      <c r="H48" s="127" t="s">
        <v>1649</v>
      </c>
      <c r="I48" s="126"/>
      <c r="J48" s="126"/>
      <c r="K48" s="126"/>
      <c r="L48" s="126"/>
      <c r="M48" s="126"/>
      <c r="N48" s="126"/>
      <c r="O48" s="126"/>
      <c r="P48" s="126"/>
      <c r="Q48" s="126"/>
      <c r="R48" s="126"/>
      <c r="S48" s="126"/>
      <c r="T48" s="126"/>
      <c r="U48" s="126"/>
      <c r="V48" s="126"/>
      <c r="W48" s="126"/>
      <c r="X48" s="126"/>
      <c r="Y48" s="126"/>
      <c r="Z48" s="126"/>
    </row>
    <row r="49">
      <c r="A49" s="127" t="s">
        <v>57</v>
      </c>
      <c r="B49" s="127">
        <v>48.0</v>
      </c>
      <c r="C49" s="127"/>
      <c r="D49" s="127"/>
      <c r="E49" s="127"/>
      <c r="F49" s="127" t="s">
        <v>1650</v>
      </c>
      <c r="G49" s="127"/>
      <c r="H49" s="127" t="s">
        <v>1651</v>
      </c>
      <c r="I49" s="126"/>
      <c r="J49" s="126"/>
      <c r="K49" s="126"/>
      <c r="L49" s="126"/>
      <c r="M49" s="126"/>
      <c r="N49" s="126"/>
      <c r="O49" s="126"/>
      <c r="P49" s="126"/>
      <c r="Q49" s="126"/>
      <c r="R49" s="126"/>
      <c r="S49" s="126"/>
      <c r="T49" s="126"/>
      <c r="U49" s="126"/>
      <c r="V49" s="126"/>
      <c r="W49" s="126"/>
      <c r="X49" s="126"/>
      <c r="Y49" s="126"/>
      <c r="Z49" s="126"/>
    </row>
    <row r="50">
      <c r="A50" s="127" t="s">
        <v>58</v>
      </c>
      <c r="B50" s="127">
        <v>49.0</v>
      </c>
      <c r="C50" s="127"/>
      <c r="D50" s="127"/>
      <c r="E50" s="127">
        <v>9.820462839E9</v>
      </c>
      <c r="F50" s="127" t="s">
        <v>1592</v>
      </c>
      <c r="G50" s="127"/>
      <c r="H50" s="127" t="s">
        <v>1652</v>
      </c>
      <c r="I50" s="126"/>
      <c r="J50" s="126"/>
      <c r="K50" s="126"/>
      <c r="L50" s="126"/>
      <c r="M50" s="126"/>
      <c r="N50" s="126"/>
      <c r="O50" s="126"/>
      <c r="P50" s="126"/>
      <c r="Q50" s="126"/>
      <c r="R50" s="126"/>
      <c r="S50" s="126"/>
      <c r="T50" s="126"/>
      <c r="U50" s="126"/>
      <c r="V50" s="126"/>
      <c r="W50" s="126"/>
      <c r="X50" s="126"/>
      <c r="Y50" s="126"/>
      <c r="Z50" s="126"/>
    </row>
    <row r="51">
      <c r="A51" s="127" t="s">
        <v>59</v>
      </c>
      <c r="B51" s="127">
        <v>50.0</v>
      </c>
      <c r="C51" s="127"/>
      <c r="D51" s="127"/>
      <c r="E51" s="127"/>
      <c r="F51" s="127" t="s">
        <v>1650</v>
      </c>
      <c r="G51" s="127"/>
      <c r="H51" s="127" t="s">
        <v>1651</v>
      </c>
      <c r="I51" s="126"/>
      <c r="J51" s="126"/>
      <c r="K51" s="126"/>
      <c r="L51" s="126"/>
      <c r="M51" s="126"/>
      <c r="N51" s="126"/>
      <c r="O51" s="126"/>
      <c r="P51" s="126"/>
      <c r="Q51" s="126"/>
      <c r="R51" s="126"/>
      <c r="S51" s="126"/>
      <c r="T51" s="126"/>
      <c r="U51" s="126"/>
      <c r="V51" s="126"/>
      <c r="W51" s="126"/>
      <c r="X51" s="126"/>
      <c r="Y51" s="126"/>
      <c r="Z51" s="126"/>
    </row>
    <row r="52">
      <c r="A52" s="127" t="s">
        <v>59</v>
      </c>
      <c r="B52" s="127">
        <v>51.0</v>
      </c>
      <c r="C52" s="127"/>
      <c r="D52" s="127"/>
      <c r="E52" s="127"/>
      <c r="F52" s="127" t="s">
        <v>1650</v>
      </c>
      <c r="G52" s="127"/>
      <c r="H52" s="127" t="s">
        <v>1651</v>
      </c>
      <c r="I52" s="126"/>
      <c r="J52" s="126"/>
      <c r="K52" s="126"/>
      <c r="L52" s="126"/>
      <c r="M52" s="126"/>
      <c r="N52" s="126"/>
      <c r="O52" s="126"/>
      <c r="P52" s="126"/>
      <c r="Q52" s="126"/>
      <c r="R52" s="126"/>
      <c r="S52" s="126"/>
      <c r="T52" s="126"/>
      <c r="U52" s="126"/>
      <c r="V52" s="126"/>
      <c r="W52" s="126"/>
      <c r="X52" s="126"/>
      <c r="Y52" s="126"/>
      <c r="Z52" s="126"/>
    </row>
    <row r="53">
      <c r="A53" s="127" t="s">
        <v>649</v>
      </c>
      <c r="B53" s="127">
        <v>52.0</v>
      </c>
      <c r="C53" s="127">
        <v>18.0</v>
      </c>
      <c r="D53" s="127" t="s">
        <v>487</v>
      </c>
      <c r="E53" s="127">
        <v>9.004252646E9</v>
      </c>
      <c r="F53" s="127" t="s">
        <v>1588</v>
      </c>
      <c r="G53" s="127" t="s">
        <v>649</v>
      </c>
      <c r="H53" s="127" t="s">
        <v>1653</v>
      </c>
      <c r="I53" s="126"/>
      <c r="J53" s="126"/>
      <c r="K53" s="126"/>
      <c r="L53" s="126"/>
      <c r="M53" s="126"/>
      <c r="N53" s="126"/>
      <c r="O53" s="126"/>
      <c r="P53" s="126"/>
      <c r="Q53" s="126"/>
      <c r="R53" s="126"/>
      <c r="S53" s="126"/>
      <c r="T53" s="126"/>
      <c r="U53" s="126"/>
      <c r="V53" s="126"/>
      <c r="W53" s="126"/>
      <c r="X53" s="126"/>
      <c r="Y53" s="126"/>
      <c r="Z53" s="126"/>
    </row>
    <row r="54">
      <c r="A54" s="127" t="s">
        <v>61</v>
      </c>
      <c r="B54" s="127">
        <v>53.0</v>
      </c>
      <c r="C54" s="127">
        <v>11.0</v>
      </c>
      <c r="D54" s="127"/>
      <c r="E54" s="127">
        <v>9.820507278E9</v>
      </c>
      <c r="F54" s="127" t="s">
        <v>1592</v>
      </c>
      <c r="G54" s="127"/>
      <c r="H54" s="127" t="s">
        <v>61</v>
      </c>
      <c r="I54" s="126"/>
      <c r="J54" s="126"/>
      <c r="K54" s="126"/>
      <c r="L54" s="126"/>
      <c r="M54" s="126"/>
      <c r="N54" s="126"/>
      <c r="O54" s="126"/>
      <c r="P54" s="126"/>
      <c r="Q54" s="126"/>
      <c r="R54" s="126"/>
      <c r="S54" s="126"/>
      <c r="T54" s="126"/>
      <c r="U54" s="126"/>
      <c r="V54" s="126"/>
      <c r="W54" s="126"/>
      <c r="X54" s="126"/>
      <c r="Y54" s="126"/>
      <c r="Z54" s="126"/>
    </row>
    <row r="55">
      <c r="A55" s="127" t="s">
        <v>1654</v>
      </c>
      <c r="B55" s="127">
        <v>54.0</v>
      </c>
      <c r="C55" s="127">
        <v>34.0</v>
      </c>
      <c r="D55" s="127"/>
      <c r="E55" s="127">
        <v>8.555828384E9</v>
      </c>
      <c r="F55" s="127" t="s">
        <v>1592</v>
      </c>
      <c r="G55" s="127"/>
      <c r="H55" s="127" t="s">
        <v>1655</v>
      </c>
      <c r="I55" s="126"/>
      <c r="J55" s="126"/>
      <c r="K55" s="126"/>
      <c r="L55" s="126"/>
      <c r="M55" s="126"/>
      <c r="N55" s="126"/>
      <c r="O55" s="126"/>
      <c r="P55" s="126"/>
      <c r="Q55" s="126"/>
      <c r="R55" s="126"/>
      <c r="S55" s="126"/>
      <c r="T55" s="126"/>
      <c r="U55" s="126"/>
      <c r="V55" s="126"/>
      <c r="W55" s="126"/>
      <c r="X55" s="126"/>
      <c r="Y55" s="126"/>
      <c r="Z55" s="126"/>
    </row>
    <row r="56">
      <c r="A56" s="127" t="s">
        <v>63</v>
      </c>
      <c r="B56" s="127">
        <v>55.0</v>
      </c>
      <c r="C56" s="127">
        <v>30.0</v>
      </c>
      <c r="D56" s="127" t="s">
        <v>447</v>
      </c>
      <c r="E56" s="127">
        <v>9.512447281E9</v>
      </c>
      <c r="F56" s="127" t="s">
        <v>1588</v>
      </c>
      <c r="G56" s="127" t="s">
        <v>1656</v>
      </c>
      <c r="H56" s="127" t="s">
        <v>1657</v>
      </c>
      <c r="I56" s="126"/>
      <c r="J56" s="126"/>
      <c r="K56" s="126"/>
      <c r="L56" s="126"/>
      <c r="M56" s="126"/>
      <c r="N56" s="126"/>
      <c r="O56" s="126"/>
      <c r="P56" s="126"/>
      <c r="Q56" s="126"/>
      <c r="R56" s="126"/>
      <c r="S56" s="126"/>
      <c r="T56" s="126"/>
      <c r="U56" s="126"/>
      <c r="V56" s="126"/>
      <c r="W56" s="126"/>
      <c r="X56" s="126"/>
      <c r="Y56" s="126"/>
      <c r="Z56" s="126"/>
    </row>
    <row r="57">
      <c r="A57" s="127" t="s">
        <v>64</v>
      </c>
      <c r="B57" s="127">
        <v>56.0</v>
      </c>
      <c r="C57" s="127">
        <v>21.0</v>
      </c>
      <c r="D57" s="127" t="s">
        <v>447</v>
      </c>
      <c r="E57" s="127">
        <v>9.590313474E9</v>
      </c>
      <c r="F57" s="127" t="s">
        <v>1588</v>
      </c>
      <c r="G57" s="127" t="s">
        <v>64</v>
      </c>
      <c r="H57" s="127" t="s">
        <v>1658</v>
      </c>
      <c r="I57" s="126"/>
      <c r="J57" s="126"/>
      <c r="K57" s="126"/>
      <c r="L57" s="126"/>
      <c r="M57" s="126"/>
      <c r="N57" s="126"/>
      <c r="O57" s="126"/>
      <c r="P57" s="126"/>
      <c r="Q57" s="126"/>
      <c r="R57" s="126"/>
      <c r="S57" s="126"/>
      <c r="T57" s="126"/>
      <c r="U57" s="126"/>
      <c r="V57" s="126"/>
      <c r="W57" s="126"/>
      <c r="X57" s="126"/>
      <c r="Y57" s="126"/>
      <c r="Z57" s="126"/>
    </row>
    <row r="58">
      <c r="A58" s="127" t="s">
        <v>65</v>
      </c>
      <c r="B58" s="127">
        <v>57.0</v>
      </c>
      <c r="C58" s="127">
        <v>27.0</v>
      </c>
      <c r="D58" s="127" t="s">
        <v>447</v>
      </c>
      <c r="E58" s="127">
        <v>9.26036368E9</v>
      </c>
      <c r="F58" s="127" t="s">
        <v>1588</v>
      </c>
      <c r="G58" s="127" t="s">
        <v>668</v>
      </c>
      <c r="H58" s="127" t="s">
        <v>1659</v>
      </c>
      <c r="I58" s="126"/>
      <c r="J58" s="126"/>
      <c r="K58" s="126"/>
      <c r="L58" s="126"/>
      <c r="M58" s="126"/>
      <c r="N58" s="126"/>
      <c r="O58" s="126"/>
      <c r="P58" s="126"/>
      <c r="Q58" s="126"/>
      <c r="R58" s="126"/>
      <c r="S58" s="126"/>
      <c r="T58" s="126"/>
      <c r="U58" s="126"/>
      <c r="V58" s="126"/>
      <c r="W58" s="126"/>
      <c r="X58" s="126"/>
      <c r="Y58" s="126"/>
      <c r="Z58" s="126"/>
    </row>
    <row r="59">
      <c r="A59" s="127" t="s">
        <v>66</v>
      </c>
      <c r="B59" s="127">
        <v>58.0</v>
      </c>
      <c r="C59" s="127">
        <v>14.0</v>
      </c>
      <c r="D59" s="127" t="s">
        <v>447</v>
      </c>
      <c r="E59" s="127">
        <v>9.824379449E9</v>
      </c>
      <c r="F59" s="127" t="s">
        <v>1588</v>
      </c>
      <c r="G59" s="127" t="s">
        <v>672</v>
      </c>
      <c r="H59" s="127" t="s">
        <v>1660</v>
      </c>
      <c r="I59" s="126"/>
      <c r="J59" s="126"/>
      <c r="K59" s="126"/>
      <c r="L59" s="126"/>
      <c r="M59" s="126"/>
      <c r="N59" s="126"/>
      <c r="O59" s="126"/>
      <c r="P59" s="126"/>
      <c r="Q59" s="126"/>
      <c r="R59" s="126"/>
      <c r="S59" s="126"/>
      <c r="T59" s="126"/>
      <c r="U59" s="126"/>
      <c r="V59" s="126"/>
      <c r="W59" s="126"/>
      <c r="X59" s="126"/>
      <c r="Y59" s="126"/>
      <c r="Z59" s="126"/>
    </row>
    <row r="60">
      <c r="A60" s="127" t="s">
        <v>1661</v>
      </c>
      <c r="B60" s="127">
        <v>59.0</v>
      </c>
      <c r="C60" s="127">
        <v>20.0</v>
      </c>
      <c r="D60" s="127" t="s">
        <v>458</v>
      </c>
      <c r="E60" s="127">
        <v>8.310278103E9</v>
      </c>
      <c r="F60" s="127" t="s">
        <v>1636</v>
      </c>
      <c r="G60" s="127" t="s">
        <v>68</v>
      </c>
      <c r="H60" s="127" t="s">
        <v>1662</v>
      </c>
      <c r="I60" s="126"/>
      <c r="J60" s="126"/>
      <c r="K60" s="126"/>
      <c r="L60" s="126"/>
      <c r="M60" s="126"/>
      <c r="N60" s="126"/>
      <c r="O60" s="126"/>
      <c r="P60" s="126"/>
      <c r="Q60" s="126"/>
      <c r="R60" s="126"/>
      <c r="S60" s="126"/>
      <c r="T60" s="126"/>
      <c r="U60" s="126"/>
      <c r="V60" s="126"/>
      <c r="W60" s="126"/>
      <c r="X60" s="126"/>
      <c r="Y60" s="126"/>
      <c r="Z60" s="126"/>
    </row>
    <row r="61">
      <c r="A61" s="127" t="s">
        <v>68</v>
      </c>
      <c r="B61" s="127">
        <v>60.0</v>
      </c>
      <c r="C61" s="127">
        <v>20.0</v>
      </c>
      <c r="D61" s="127" t="s">
        <v>458</v>
      </c>
      <c r="E61" s="127">
        <v>8.310278103E9</v>
      </c>
      <c r="F61" s="127" t="s">
        <v>1588</v>
      </c>
      <c r="G61" s="127" t="s">
        <v>68</v>
      </c>
      <c r="H61" s="127" t="s">
        <v>1663</v>
      </c>
      <c r="I61" s="126"/>
      <c r="J61" s="126"/>
      <c r="K61" s="126"/>
      <c r="L61" s="126"/>
      <c r="M61" s="126"/>
      <c r="N61" s="126"/>
      <c r="O61" s="126"/>
      <c r="P61" s="126"/>
      <c r="Q61" s="126"/>
      <c r="R61" s="126"/>
      <c r="S61" s="126"/>
      <c r="T61" s="126"/>
      <c r="U61" s="126"/>
      <c r="V61" s="126"/>
      <c r="W61" s="126"/>
      <c r="X61" s="126"/>
      <c r="Y61" s="126"/>
      <c r="Z61" s="126"/>
    </row>
    <row r="62">
      <c r="A62" s="127" t="s">
        <v>1664</v>
      </c>
      <c r="B62" s="127">
        <v>61.0</v>
      </c>
      <c r="C62" s="127">
        <v>24.0</v>
      </c>
      <c r="D62" s="127"/>
      <c r="E62" s="127">
        <v>7.498959194E9</v>
      </c>
      <c r="F62" s="127" t="s">
        <v>1592</v>
      </c>
      <c r="G62" s="127"/>
      <c r="H62" s="127" t="s">
        <v>1665</v>
      </c>
      <c r="I62" s="126"/>
      <c r="J62" s="126"/>
      <c r="K62" s="126"/>
      <c r="L62" s="126"/>
      <c r="M62" s="126"/>
      <c r="N62" s="126"/>
      <c r="O62" s="126"/>
      <c r="P62" s="126"/>
      <c r="Q62" s="126"/>
      <c r="R62" s="126"/>
      <c r="S62" s="126"/>
      <c r="T62" s="126"/>
      <c r="U62" s="126"/>
      <c r="V62" s="126"/>
      <c r="W62" s="126"/>
      <c r="X62" s="126"/>
      <c r="Y62" s="126"/>
      <c r="Z62" s="126"/>
    </row>
    <row r="63">
      <c r="A63" s="127" t="s">
        <v>70</v>
      </c>
      <c r="B63" s="127">
        <v>62.0</v>
      </c>
      <c r="C63" s="127">
        <v>20.0</v>
      </c>
      <c r="D63" s="127"/>
      <c r="E63" s="127">
        <v>8.591664343E9</v>
      </c>
      <c r="F63" s="127" t="s">
        <v>1592</v>
      </c>
      <c r="G63" s="127"/>
      <c r="H63" s="127" t="s">
        <v>1666</v>
      </c>
      <c r="I63" s="126"/>
      <c r="J63" s="126"/>
      <c r="K63" s="126"/>
      <c r="L63" s="126"/>
      <c r="M63" s="126"/>
      <c r="N63" s="126"/>
      <c r="O63" s="126"/>
      <c r="P63" s="126"/>
      <c r="Q63" s="126"/>
      <c r="R63" s="126"/>
      <c r="S63" s="126"/>
      <c r="T63" s="126"/>
      <c r="U63" s="126"/>
      <c r="V63" s="126"/>
      <c r="W63" s="126"/>
      <c r="X63" s="126"/>
      <c r="Y63" s="126"/>
      <c r="Z63" s="126"/>
    </row>
    <row r="64">
      <c r="A64" s="127" t="s">
        <v>1667</v>
      </c>
      <c r="B64" s="127">
        <v>63.0</v>
      </c>
      <c r="C64" s="127"/>
      <c r="D64" s="127"/>
      <c r="E64" s="127"/>
      <c r="F64" s="127" t="s">
        <v>1650</v>
      </c>
      <c r="G64" s="127"/>
      <c r="H64" s="127" t="s">
        <v>1668</v>
      </c>
      <c r="I64" s="126"/>
      <c r="J64" s="126"/>
      <c r="K64" s="126"/>
      <c r="L64" s="126"/>
      <c r="M64" s="126"/>
      <c r="N64" s="126"/>
      <c r="O64" s="126"/>
      <c r="P64" s="126"/>
      <c r="Q64" s="126"/>
      <c r="R64" s="126"/>
      <c r="S64" s="126"/>
      <c r="T64" s="126"/>
      <c r="U64" s="126"/>
      <c r="V64" s="126"/>
      <c r="W64" s="126"/>
      <c r="X64" s="126"/>
      <c r="Y64" s="126"/>
      <c r="Z64" s="126"/>
    </row>
    <row r="65">
      <c r="A65" s="127" t="s">
        <v>72</v>
      </c>
      <c r="B65" s="127">
        <v>64.0</v>
      </c>
      <c r="C65" s="127">
        <v>21.0</v>
      </c>
      <c r="D65" s="127"/>
      <c r="E65" s="127">
        <v>8.431311533E9</v>
      </c>
      <c r="F65" s="127" t="s">
        <v>1592</v>
      </c>
      <c r="G65" s="127"/>
      <c r="H65" s="127" t="s">
        <v>1669</v>
      </c>
      <c r="I65" s="126"/>
      <c r="J65" s="126"/>
      <c r="K65" s="126"/>
      <c r="L65" s="126"/>
      <c r="M65" s="126"/>
      <c r="N65" s="126"/>
      <c r="O65" s="126"/>
      <c r="P65" s="126"/>
      <c r="Q65" s="126"/>
      <c r="R65" s="126"/>
      <c r="S65" s="126"/>
      <c r="T65" s="126"/>
      <c r="U65" s="126"/>
      <c r="V65" s="126"/>
      <c r="W65" s="126"/>
      <c r="X65" s="126"/>
      <c r="Y65" s="126"/>
      <c r="Z65" s="126"/>
    </row>
    <row r="66">
      <c r="A66" s="127" t="s">
        <v>73</v>
      </c>
      <c r="B66" s="127">
        <v>65.0</v>
      </c>
      <c r="C66" s="127"/>
      <c r="D66" s="127"/>
      <c r="E66" s="127"/>
      <c r="F66" s="127" t="s">
        <v>1650</v>
      </c>
      <c r="G66" s="127"/>
      <c r="H66" s="127" t="s">
        <v>1670</v>
      </c>
      <c r="I66" s="126"/>
      <c r="J66" s="126"/>
      <c r="K66" s="126"/>
      <c r="L66" s="126"/>
      <c r="M66" s="126"/>
      <c r="N66" s="126"/>
      <c r="O66" s="126"/>
      <c r="P66" s="126"/>
      <c r="Q66" s="126"/>
      <c r="R66" s="126"/>
      <c r="S66" s="126"/>
      <c r="T66" s="126"/>
      <c r="U66" s="126"/>
      <c r="V66" s="126"/>
      <c r="W66" s="126"/>
      <c r="X66" s="126"/>
      <c r="Y66" s="126"/>
      <c r="Z66" s="126"/>
    </row>
    <row r="67">
      <c r="A67" s="127" t="s">
        <v>74</v>
      </c>
      <c r="B67" s="127">
        <v>66.0</v>
      </c>
      <c r="C67" s="127"/>
      <c r="D67" s="127"/>
      <c r="E67" s="127"/>
      <c r="F67" s="127" t="s">
        <v>1650</v>
      </c>
      <c r="G67" s="127"/>
      <c r="H67" s="127" t="s">
        <v>1668</v>
      </c>
      <c r="I67" s="126"/>
      <c r="J67" s="126"/>
      <c r="K67" s="126"/>
      <c r="L67" s="126"/>
      <c r="M67" s="126"/>
      <c r="N67" s="126"/>
      <c r="O67" s="126"/>
      <c r="P67" s="126"/>
      <c r="Q67" s="126"/>
      <c r="R67" s="126"/>
      <c r="S67" s="126"/>
      <c r="T67" s="126"/>
      <c r="U67" s="126"/>
      <c r="V67" s="126"/>
      <c r="W67" s="126"/>
      <c r="X67" s="126"/>
      <c r="Y67" s="126"/>
      <c r="Z67" s="126"/>
    </row>
    <row r="68">
      <c r="A68" s="127" t="s">
        <v>75</v>
      </c>
      <c r="B68" s="127">
        <v>67.0</v>
      </c>
      <c r="C68" s="127"/>
      <c r="D68" s="127"/>
      <c r="E68" s="127"/>
      <c r="F68" s="127" t="s">
        <v>1650</v>
      </c>
      <c r="G68" s="127"/>
      <c r="H68" s="127" t="s">
        <v>1670</v>
      </c>
      <c r="I68" s="126"/>
      <c r="J68" s="126"/>
      <c r="K68" s="126"/>
      <c r="L68" s="126"/>
      <c r="M68" s="126"/>
      <c r="N68" s="126"/>
      <c r="O68" s="126"/>
      <c r="P68" s="126"/>
      <c r="Q68" s="126"/>
      <c r="R68" s="126"/>
      <c r="S68" s="126"/>
      <c r="T68" s="126"/>
      <c r="U68" s="126"/>
      <c r="V68" s="126"/>
      <c r="W68" s="126"/>
      <c r="X68" s="126"/>
      <c r="Y68" s="126"/>
      <c r="Z68" s="126"/>
    </row>
    <row r="69">
      <c r="A69" s="127" t="s">
        <v>76</v>
      </c>
      <c r="B69" s="127">
        <v>68.0</v>
      </c>
      <c r="C69" s="127"/>
      <c r="D69" s="127"/>
      <c r="E69" s="127"/>
      <c r="F69" s="127" t="s">
        <v>1650</v>
      </c>
      <c r="G69" s="127"/>
      <c r="H69" s="127" t="s">
        <v>1668</v>
      </c>
      <c r="I69" s="126"/>
      <c r="J69" s="126"/>
      <c r="K69" s="126"/>
      <c r="L69" s="126"/>
      <c r="M69" s="126"/>
      <c r="N69" s="126"/>
      <c r="O69" s="126"/>
      <c r="P69" s="126"/>
      <c r="Q69" s="126"/>
      <c r="R69" s="126"/>
      <c r="S69" s="126"/>
      <c r="T69" s="126"/>
      <c r="U69" s="126"/>
      <c r="V69" s="126"/>
      <c r="W69" s="126"/>
      <c r="X69" s="126"/>
      <c r="Y69" s="126"/>
      <c r="Z69" s="126"/>
    </row>
    <row r="70">
      <c r="A70" s="127" t="s">
        <v>1671</v>
      </c>
      <c r="B70" s="127">
        <v>69.0</v>
      </c>
      <c r="C70" s="127">
        <v>19.0</v>
      </c>
      <c r="D70" s="127"/>
      <c r="E70" s="127">
        <v>7.361003004E9</v>
      </c>
      <c r="F70" s="127" t="s">
        <v>1592</v>
      </c>
      <c r="G70" s="127"/>
      <c r="H70" s="127" t="s">
        <v>1672</v>
      </c>
      <c r="I70" s="126"/>
      <c r="J70" s="126"/>
      <c r="K70" s="126"/>
      <c r="L70" s="126"/>
      <c r="M70" s="126"/>
      <c r="N70" s="126"/>
      <c r="O70" s="126"/>
      <c r="P70" s="126"/>
      <c r="Q70" s="126"/>
      <c r="R70" s="126"/>
      <c r="S70" s="126"/>
      <c r="T70" s="126"/>
      <c r="U70" s="126"/>
      <c r="V70" s="126"/>
      <c r="W70" s="126"/>
      <c r="X70" s="126"/>
      <c r="Y70" s="126"/>
      <c r="Z70" s="126"/>
    </row>
    <row r="71">
      <c r="A71" s="127" t="s">
        <v>78</v>
      </c>
      <c r="B71" s="127">
        <v>70.0</v>
      </c>
      <c r="C71" s="127">
        <v>25.0</v>
      </c>
      <c r="D71" s="127" t="s">
        <v>441</v>
      </c>
      <c r="E71" s="127">
        <v>9.974173115E9</v>
      </c>
      <c r="F71" s="127" t="s">
        <v>1588</v>
      </c>
      <c r="G71" s="127" t="s">
        <v>78</v>
      </c>
      <c r="H71" s="127" t="s">
        <v>1673</v>
      </c>
      <c r="I71" s="126"/>
      <c r="J71" s="126"/>
      <c r="K71" s="126"/>
      <c r="L71" s="126"/>
      <c r="M71" s="126"/>
      <c r="N71" s="126"/>
      <c r="O71" s="126"/>
      <c r="P71" s="126"/>
      <c r="Q71" s="126"/>
      <c r="R71" s="126"/>
      <c r="S71" s="126"/>
      <c r="T71" s="126"/>
      <c r="U71" s="126"/>
      <c r="V71" s="126"/>
      <c r="W71" s="126"/>
      <c r="X71" s="126"/>
      <c r="Y71" s="126"/>
      <c r="Z71" s="126"/>
    </row>
    <row r="72">
      <c r="A72" s="127" t="s">
        <v>79</v>
      </c>
      <c r="B72" s="127">
        <v>71.0</v>
      </c>
      <c r="C72" s="127">
        <v>16.0</v>
      </c>
      <c r="D72" s="127"/>
      <c r="E72" s="127">
        <v>7.999136791E9</v>
      </c>
      <c r="F72" s="127" t="s">
        <v>1592</v>
      </c>
      <c r="G72" s="127"/>
      <c r="H72" s="127" t="s">
        <v>1674</v>
      </c>
      <c r="I72" s="126"/>
      <c r="J72" s="126"/>
      <c r="K72" s="126"/>
      <c r="L72" s="126"/>
      <c r="M72" s="126"/>
      <c r="N72" s="126"/>
      <c r="O72" s="126"/>
      <c r="P72" s="126"/>
      <c r="Q72" s="126"/>
      <c r="R72" s="126"/>
      <c r="S72" s="126"/>
      <c r="T72" s="126"/>
      <c r="U72" s="126"/>
      <c r="V72" s="126"/>
      <c r="W72" s="126"/>
      <c r="X72" s="126"/>
      <c r="Y72" s="126"/>
      <c r="Z72" s="126"/>
    </row>
    <row r="73">
      <c r="A73" s="127" t="s">
        <v>1675</v>
      </c>
      <c r="B73" s="127">
        <v>72.0</v>
      </c>
      <c r="C73" s="127">
        <v>18.0</v>
      </c>
      <c r="D73" s="127"/>
      <c r="E73" s="127">
        <v>7.984572089E9</v>
      </c>
      <c r="F73" s="127" t="s">
        <v>1592</v>
      </c>
      <c r="G73" s="127"/>
      <c r="H73" s="127" t="s">
        <v>1676</v>
      </c>
      <c r="I73" s="126"/>
      <c r="J73" s="126"/>
      <c r="K73" s="126"/>
      <c r="L73" s="126"/>
      <c r="M73" s="126"/>
      <c r="N73" s="126"/>
      <c r="O73" s="126"/>
      <c r="P73" s="126"/>
      <c r="Q73" s="126"/>
      <c r="R73" s="126"/>
      <c r="S73" s="126"/>
      <c r="T73" s="126"/>
      <c r="U73" s="126"/>
      <c r="V73" s="126"/>
      <c r="W73" s="126"/>
      <c r="X73" s="126"/>
      <c r="Y73" s="126"/>
      <c r="Z73" s="126"/>
    </row>
    <row r="74">
      <c r="A74" s="127" t="s">
        <v>81</v>
      </c>
      <c r="B74" s="127">
        <v>73.0</v>
      </c>
      <c r="C74" s="127">
        <v>18.0</v>
      </c>
      <c r="D74" s="127" t="s">
        <v>447</v>
      </c>
      <c r="E74" s="127">
        <v>9.426325854E9</v>
      </c>
      <c r="F74" s="127" t="s">
        <v>1588</v>
      </c>
      <c r="G74" s="127" t="s">
        <v>81</v>
      </c>
      <c r="H74" s="127" t="s">
        <v>1677</v>
      </c>
      <c r="I74" s="126"/>
      <c r="J74" s="126"/>
      <c r="K74" s="126"/>
      <c r="L74" s="126"/>
      <c r="M74" s="126"/>
      <c r="N74" s="126"/>
      <c r="O74" s="126"/>
      <c r="P74" s="126"/>
      <c r="Q74" s="126"/>
      <c r="R74" s="126"/>
      <c r="S74" s="126"/>
      <c r="T74" s="126"/>
      <c r="U74" s="126"/>
      <c r="V74" s="126"/>
      <c r="W74" s="126"/>
      <c r="X74" s="126"/>
      <c r="Y74" s="126"/>
      <c r="Z74" s="126"/>
    </row>
    <row r="75">
      <c r="A75" s="127" t="s">
        <v>700</v>
      </c>
      <c r="B75" s="127">
        <v>74.0</v>
      </c>
      <c r="C75" s="127">
        <v>24.0</v>
      </c>
      <c r="D75" s="127" t="s">
        <v>447</v>
      </c>
      <c r="E75" s="127">
        <v>9.423368067E9</v>
      </c>
      <c r="F75" s="127" t="s">
        <v>1588</v>
      </c>
      <c r="G75" s="127" t="s">
        <v>700</v>
      </c>
      <c r="H75" s="127" t="s">
        <v>1678</v>
      </c>
      <c r="I75" s="126"/>
      <c r="J75" s="126"/>
      <c r="K75" s="126"/>
      <c r="L75" s="126"/>
      <c r="M75" s="126"/>
      <c r="N75" s="126"/>
      <c r="O75" s="126"/>
      <c r="P75" s="126"/>
      <c r="Q75" s="126"/>
      <c r="R75" s="126"/>
      <c r="S75" s="126"/>
      <c r="T75" s="126"/>
      <c r="U75" s="126"/>
      <c r="V75" s="126"/>
      <c r="W75" s="126"/>
      <c r="X75" s="126"/>
      <c r="Y75" s="126"/>
      <c r="Z75" s="126"/>
    </row>
    <row r="76">
      <c r="A76" s="127" t="s">
        <v>83</v>
      </c>
      <c r="B76" s="127">
        <v>75.0</v>
      </c>
      <c r="C76" s="127">
        <v>20.0</v>
      </c>
      <c r="D76" s="127"/>
      <c r="E76" s="127">
        <v>7.04908267E9</v>
      </c>
      <c r="F76" s="127" t="s">
        <v>1592</v>
      </c>
      <c r="G76" s="127"/>
      <c r="H76" s="127" t="s">
        <v>1679</v>
      </c>
      <c r="I76" s="126"/>
      <c r="J76" s="126"/>
      <c r="K76" s="126"/>
      <c r="L76" s="126"/>
      <c r="M76" s="126"/>
      <c r="N76" s="126"/>
      <c r="O76" s="126"/>
      <c r="P76" s="126"/>
      <c r="Q76" s="126"/>
      <c r="R76" s="126"/>
      <c r="S76" s="126"/>
      <c r="T76" s="126"/>
      <c r="U76" s="126"/>
      <c r="V76" s="126"/>
      <c r="W76" s="126"/>
      <c r="X76" s="126"/>
      <c r="Y76" s="126"/>
      <c r="Z76" s="126"/>
    </row>
    <row r="77">
      <c r="A77" s="127" t="s">
        <v>710</v>
      </c>
      <c r="B77" s="127">
        <v>76.0</v>
      </c>
      <c r="C77" s="127">
        <v>25.0</v>
      </c>
      <c r="D77" s="127" t="s">
        <v>447</v>
      </c>
      <c r="E77" s="127">
        <v>8.850502382E9</v>
      </c>
      <c r="F77" s="127" t="s">
        <v>1588</v>
      </c>
      <c r="G77" s="127" t="s">
        <v>710</v>
      </c>
      <c r="H77" s="127" t="s">
        <v>1680</v>
      </c>
      <c r="I77" s="126"/>
      <c r="J77" s="126"/>
      <c r="K77" s="126"/>
      <c r="L77" s="126"/>
      <c r="M77" s="126"/>
      <c r="N77" s="126"/>
      <c r="O77" s="126"/>
      <c r="P77" s="126"/>
      <c r="Q77" s="126"/>
      <c r="R77" s="126"/>
      <c r="S77" s="126"/>
      <c r="T77" s="126"/>
      <c r="U77" s="126"/>
      <c r="V77" s="126"/>
      <c r="W77" s="126"/>
      <c r="X77" s="126"/>
      <c r="Y77" s="126"/>
      <c r="Z77" s="126"/>
    </row>
    <row r="78">
      <c r="A78" s="127" t="s">
        <v>85</v>
      </c>
      <c r="B78" s="127">
        <v>77.0</v>
      </c>
      <c r="C78" s="127">
        <v>22.0</v>
      </c>
      <c r="D78" s="127" t="s">
        <v>447</v>
      </c>
      <c r="E78" s="127">
        <v>9.699946077E9</v>
      </c>
      <c r="F78" s="127" t="s">
        <v>1588</v>
      </c>
      <c r="G78" s="127" t="s">
        <v>85</v>
      </c>
      <c r="H78" s="127" t="s">
        <v>1681</v>
      </c>
      <c r="I78" s="126"/>
      <c r="J78" s="126"/>
      <c r="K78" s="126"/>
      <c r="L78" s="126"/>
      <c r="M78" s="126"/>
      <c r="N78" s="126"/>
      <c r="O78" s="126"/>
      <c r="P78" s="126"/>
      <c r="Q78" s="126"/>
      <c r="R78" s="126"/>
      <c r="S78" s="126"/>
      <c r="T78" s="126"/>
      <c r="U78" s="126"/>
      <c r="V78" s="126"/>
      <c r="W78" s="126"/>
      <c r="X78" s="126"/>
      <c r="Y78" s="126"/>
      <c r="Z78" s="126"/>
    </row>
    <row r="79">
      <c r="A79" s="127" t="s">
        <v>1682</v>
      </c>
      <c r="B79" s="127">
        <v>78.0</v>
      </c>
      <c r="C79" s="127">
        <v>28.0</v>
      </c>
      <c r="D79" s="127"/>
      <c r="E79" s="127">
        <v>7.01673067E9</v>
      </c>
      <c r="F79" s="127" t="s">
        <v>1592</v>
      </c>
      <c r="G79" s="127"/>
      <c r="H79" s="127" t="s">
        <v>1683</v>
      </c>
      <c r="I79" s="126"/>
      <c r="J79" s="126"/>
      <c r="K79" s="126"/>
      <c r="L79" s="126"/>
      <c r="M79" s="126"/>
      <c r="N79" s="126"/>
      <c r="O79" s="126"/>
      <c r="P79" s="126"/>
      <c r="Q79" s="126"/>
      <c r="R79" s="126"/>
      <c r="S79" s="126"/>
      <c r="T79" s="126"/>
      <c r="U79" s="126"/>
      <c r="V79" s="126"/>
      <c r="W79" s="126"/>
      <c r="X79" s="126"/>
      <c r="Y79" s="126"/>
      <c r="Z79" s="126"/>
    </row>
    <row r="80">
      <c r="A80" s="127" t="s">
        <v>87</v>
      </c>
      <c r="B80" s="127">
        <v>79.0</v>
      </c>
      <c r="C80" s="127">
        <v>27.0</v>
      </c>
      <c r="D80" s="127" t="s">
        <v>447</v>
      </c>
      <c r="E80" s="127">
        <v>9.923604321E9</v>
      </c>
      <c r="F80" s="127" t="s">
        <v>1588</v>
      </c>
      <c r="G80" s="127" t="s">
        <v>87</v>
      </c>
      <c r="H80" s="127" t="s">
        <v>1684</v>
      </c>
      <c r="I80" s="126"/>
      <c r="J80" s="126"/>
      <c r="K80" s="126"/>
      <c r="L80" s="126"/>
      <c r="M80" s="126"/>
      <c r="N80" s="126"/>
      <c r="O80" s="126"/>
      <c r="P80" s="126"/>
      <c r="Q80" s="126"/>
      <c r="R80" s="126"/>
      <c r="S80" s="126"/>
      <c r="T80" s="126"/>
      <c r="U80" s="126"/>
      <c r="V80" s="126"/>
      <c r="W80" s="126"/>
      <c r="X80" s="126"/>
      <c r="Y80" s="126"/>
      <c r="Z80" s="126"/>
    </row>
    <row r="81">
      <c r="A81" s="127" t="s">
        <v>1685</v>
      </c>
      <c r="B81" s="127">
        <v>80.0</v>
      </c>
      <c r="C81" s="127">
        <v>20.0</v>
      </c>
      <c r="D81" s="127"/>
      <c r="E81" s="127">
        <v>7.738668568E9</v>
      </c>
      <c r="F81" s="127" t="s">
        <v>1592</v>
      </c>
      <c r="G81" s="127"/>
      <c r="H81" s="127" t="s">
        <v>1686</v>
      </c>
      <c r="I81" s="126"/>
      <c r="J81" s="126"/>
      <c r="K81" s="126"/>
      <c r="L81" s="126"/>
      <c r="M81" s="126"/>
      <c r="N81" s="126"/>
      <c r="O81" s="126"/>
      <c r="P81" s="126"/>
      <c r="Q81" s="126"/>
      <c r="R81" s="126"/>
      <c r="S81" s="126"/>
      <c r="T81" s="126"/>
      <c r="U81" s="126"/>
      <c r="V81" s="126"/>
      <c r="W81" s="126"/>
      <c r="X81" s="126"/>
      <c r="Y81" s="126"/>
      <c r="Z81" s="126"/>
    </row>
    <row r="82">
      <c r="A82" s="127" t="s">
        <v>89</v>
      </c>
      <c r="B82" s="127">
        <v>81.0</v>
      </c>
      <c r="C82" s="127">
        <v>22.0</v>
      </c>
      <c r="D82" s="127" t="s">
        <v>447</v>
      </c>
      <c r="E82" s="127">
        <v>9.821355636E9</v>
      </c>
      <c r="F82" s="127" t="s">
        <v>1588</v>
      </c>
      <c r="G82" s="127" t="s">
        <v>89</v>
      </c>
      <c r="H82" s="127" t="s">
        <v>1687</v>
      </c>
      <c r="I82" s="126"/>
      <c r="J82" s="126"/>
      <c r="K82" s="126"/>
      <c r="L82" s="126"/>
      <c r="M82" s="126"/>
      <c r="N82" s="126"/>
      <c r="O82" s="126"/>
      <c r="P82" s="126"/>
      <c r="Q82" s="126"/>
      <c r="R82" s="126"/>
      <c r="S82" s="126"/>
      <c r="T82" s="126"/>
      <c r="U82" s="126"/>
      <c r="V82" s="126"/>
      <c r="W82" s="126"/>
      <c r="X82" s="126"/>
      <c r="Y82" s="126"/>
      <c r="Z82" s="126"/>
    </row>
    <row r="83">
      <c r="A83" s="127" t="s">
        <v>1688</v>
      </c>
      <c r="B83" s="127">
        <v>82.0</v>
      </c>
      <c r="C83" s="127">
        <v>18.0</v>
      </c>
      <c r="D83" s="127" t="s">
        <v>487</v>
      </c>
      <c r="E83" s="127">
        <v>9.653151546E9</v>
      </c>
      <c r="F83" s="127" t="s">
        <v>1588</v>
      </c>
      <c r="G83" s="127" t="s">
        <v>1689</v>
      </c>
      <c r="H83" s="127" t="s">
        <v>1690</v>
      </c>
      <c r="I83" s="126"/>
      <c r="J83" s="126"/>
      <c r="K83" s="126"/>
      <c r="L83" s="126"/>
      <c r="M83" s="126"/>
      <c r="N83" s="126"/>
      <c r="O83" s="126"/>
      <c r="P83" s="126"/>
      <c r="Q83" s="126"/>
      <c r="R83" s="126"/>
      <c r="S83" s="126"/>
      <c r="T83" s="126"/>
      <c r="U83" s="126"/>
      <c r="V83" s="126"/>
      <c r="W83" s="126"/>
      <c r="X83" s="126"/>
      <c r="Y83" s="126"/>
      <c r="Z83" s="126"/>
    </row>
    <row r="84">
      <c r="A84" s="127" t="s">
        <v>91</v>
      </c>
      <c r="B84" s="127">
        <v>83.0</v>
      </c>
      <c r="C84" s="127">
        <v>50.0</v>
      </c>
      <c r="D84" s="127" t="s">
        <v>458</v>
      </c>
      <c r="E84" s="127">
        <v>9.820183544E9</v>
      </c>
      <c r="F84" s="127" t="s">
        <v>1588</v>
      </c>
      <c r="G84" s="127" t="s">
        <v>91</v>
      </c>
      <c r="H84" s="127" t="s">
        <v>1691</v>
      </c>
      <c r="I84" s="126"/>
      <c r="J84" s="126"/>
      <c r="K84" s="126"/>
      <c r="L84" s="126"/>
      <c r="M84" s="126"/>
      <c r="N84" s="126"/>
      <c r="O84" s="126"/>
      <c r="P84" s="126"/>
      <c r="Q84" s="126"/>
      <c r="R84" s="126"/>
      <c r="S84" s="126"/>
      <c r="T84" s="126"/>
      <c r="U84" s="126"/>
      <c r="V84" s="126"/>
      <c r="W84" s="126"/>
      <c r="X84" s="126"/>
      <c r="Y84" s="126"/>
      <c r="Z84" s="126"/>
    </row>
    <row r="85">
      <c r="A85" s="127" t="s">
        <v>92</v>
      </c>
      <c r="B85" s="127">
        <v>84.0</v>
      </c>
      <c r="C85" s="127">
        <v>12.0</v>
      </c>
      <c r="D85" s="127" t="s">
        <v>447</v>
      </c>
      <c r="E85" s="127">
        <v>7.977736076E9</v>
      </c>
      <c r="F85" s="127" t="s">
        <v>1588</v>
      </c>
      <c r="G85" s="127" t="s">
        <v>92</v>
      </c>
      <c r="H85" s="127" t="s">
        <v>1692</v>
      </c>
      <c r="I85" s="126"/>
      <c r="J85" s="126"/>
      <c r="K85" s="126"/>
      <c r="L85" s="126"/>
      <c r="M85" s="126"/>
      <c r="N85" s="126"/>
      <c r="O85" s="126"/>
      <c r="P85" s="126"/>
      <c r="Q85" s="126"/>
      <c r="R85" s="126"/>
      <c r="S85" s="126"/>
      <c r="T85" s="126"/>
      <c r="U85" s="126"/>
      <c r="V85" s="126"/>
      <c r="W85" s="126"/>
      <c r="X85" s="126"/>
      <c r="Y85" s="126"/>
      <c r="Z85" s="126"/>
    </row>
    <row r="86">
      <c r="A86" s="127" t="s">
        <v>1693</v>
      </c>
      <c r="B86" s="127">
        <v>85.0</v>
      </c>
      <c r="C86" s="127">
        <v>21.0</v>
      </c>
      <c r="D86" s="127" t="s">
        <v>441</v>
      </c>
      <c r="E86" s="127">
        <v>9.324842615E9</v>
      </c>
      <c r="F86" s="127" t="s">
        <v>1588</v>
      </c>
      <c r="G86" s="127" t="s">
        <v>1694</v>
      </c>
      <c r="H86" s="127" t="s">
        <v>1695</v>
      </c>
      <c r="I86" s="126"/>
      <c r="J86" s="126"/>
      <c r="K86" s="126"/>
      <c r="L86" s="126"/>
      <c r="M86" s="126"/>
      <c r="N86" s="126"/>
      <c r="O86" s="126"/>
      <c r="P86" s="126"/>
      <c r="Q86" s="126"/>
      <c r="R86" s="126"/>
      <c r="S86" s="126"/>
      <c r="T86" s="126"/>
      <c r="U86" s="126"/>
      <c r="V86" s="126"/>
      <c r="W86" s="126"/>
      <c r="X86" s="126"/>
      <c r="Y86" s="126"/>
      <c r="Z86" s="126"/>
    </row>
    <row r="87">
      <c r="A87" s="127" t="s">
        <v>94</v>
      </c>
      <c r="B87" s="127">
        <v>86.0</v>
      </c>
      <c r="C87" s="127">
        <v>25.0</v>
      </c>
      <c r="D87" s="127" t="s">
        <v>487</v>
      </c>
      <c r="E87" s="127">
        <v>9.821273773E9</v>
      </c>
      <c r="F87" s="127" t="s">
        <v>1588</v>
      </c>
      <c r="G87" s="127" t="s">
        <v>94</v>
      </c>
      <c r="H87" s="127" t="s">
        <v>1696</v>
      </c>
      <c r="I87" s="126"/>
      <c r="J87" s="126"/>
      <c r="K87" s="126"/>
      <c r="L87" s="126"/>
      <c r="M87" s="126"/>
      <c r="N87" s="126"/>
      <c r="O87" s="126"/>
      <c r="P87" s="126"/>
      <c r="Q87" s="126"/>
      <c r="R87" s="126"/>
      <c r="S87" s="126"/>
      <c r="T87" s="126"/>
      <c r="U87" s="126"/>
      <c r="V87" s="126"/>
      <c r="W87" s="126"/>
      <c r="X87" s="126"/>
      <c r="Y87" s="126"/>
      <c r="Z87" s="126"/>
    </row>
    <row r="88">
      <c r="A88" s="127" t="s">
        <v>1697</v>
      </c>
      <c r="B88" s="127">
        <v>87.0</v>
      </c>
      <c r="C88" s="127"/>
      <c r="D88" s="127"/>
      <c r="E88" s="127"/>
      <c r="F88" s="127" t="s">
        <v>1650</v>
      </c>
      <c r="G88" s="127"/>
      <c r="H88" s="127" t="s">
        <v>1698</v>
      </c>
      <c r="I88" s="126"/>
      <c r="J88" s="126"/>
      <c r="K88" s="126"/>
      <c r="L88" s="126"/>
      <c r="M88" s="126"/>
      <c r="N88" s="126"/>
      <c r="O88" s="126"/>
      <c r="P88" s="126"/>
      <c r="Q88" s="126"/>
      <c r="R88" s="126"/>
      <c r="S88" s="126"/>
      <c r="T88" s="126"/>
      <c r="U88" s="126"/>
      <c r="V88" s="126"/>
      <c r="W88" s="126"/>
      <c r="X88" s="126"/>
      <c r="Y88" s="126"/>
      <c r="Z88" s="126"/>
    </row>
    <row r="89">
      <c r="A89" s="127" t="s">
        <v>96</v>
      </c>
      <c r="B89" s="127">
        <v>88.0</v>
      </c>
      <c r="C89" s="127"/>
      <c r="D89" s="127"/>
      <c r="E89" s="127"/>
      <c r="F89" s="127" t="s">
        <v>1650</v>
      </c>
      <c r="G89" s="127"/>
      <c r="H89" s="127" t="s">
        <v>1698</v>
      </c>
      <c r="I89" s="126"/>
      <c r="J89" s="126"/>
      <c r="K89" s="126"/>
      <c r="L89" s="126"/>
      <c r="M89" s="126"/>
      <c r="N89" s="126"/>
      <c r="O89" s="126"/>
      <c r="P89" s="126"/>
      <c r="Q89" s="126"/>
      <c r="R89" s="126"/>
      <c r="S89" s="126"/>
      <c r="T89" s="126"/>
      <c r="U89" s="126"/>
      <c r="V89" s="126"/>
      <c r="W89" s="126"/>
      <c r="X89" s="126"/>
      <c r="Y89" s="126"/>
      <c r="Z89" s="126"/>
    </row>
    <row r="90">
      <c r="A90" s="127" t="s">
        <v>97</v>
      </c>
      <c r="B90" s="127">
        <v>89.0</v>
      </c>
      <c r="C90" s="127">
        <v>21.0</v>
      </c>
      <c r="D90" s="127" t="s">
        <v>487</v>
      </c>
      <c r="E90" s="127">
        <v>7.977757478E9</v>
      </c>
      <c r="F90" s="127" t="s">
        <v>1588</v>
      </c>
      <c r="G90" s="127" t="s">
        <v>1699</v>
      </c>
      <c r="H90" s="127" t="s">
        <v>1700</v>
      </c>
      <c r="I90" s="126"/>
      <c r="J90" s="126"/>
      <c r="K90" s="126"/>
      <c r="L90" s="126"/>
      <c r="M90" s="126"/>
      <c r="N90" s="126"/>
      <c r="O90" s="126"/>
      <c r="P90" s="126"/>
      <c r="Q90" s="126"/>
      <c r="R90" s="126"/>
      <c r="S90" s="126"/>
      <c r="T90" s="126"/>
      <c r="U90" s="126"/>
      <c r="V90" s="126"/>
      <c r="W90" s="126"/>
      <c r="X90" s="126"/>
      <c r="Y90" s="126"/>
      <c r="Z90" s="126"/>
    </row>
    <row r="91">
      <c r="A91" s="127" t="s">
        <v>1701</v>
      </c>
      <c r="B91" s="127">
        <v>90.0</v>
      </c>
      <c r="C91" s="127">
        <v>42.0</v>
      </c>
      <c r="D91" s="127" t="s">
        <v>447</v>
      </c>
      <c r="E91" s="127">
        <v>8.097675227E9</v>
      </c>
      <c r="F91" s="127" t="s">
        <v>1588</v>
      </c>
      <c r="G91" s="127" t="s">
        <v>1702</v>
      </c>
      <c r="H91" s="127" t="s">
        <v>1703</v>
      </c>
      <c r="I91" s="126"/>
      <c r="J91" s="126"/>
      <c r="K91" s="126"/>
      <c r="L91" s="126"/>
      <c r="M91" s="126"/>
      <c r="N91" s="126"/>
      <c r="O91" s="126"/>
      <c r="P91" s="126"/>
      <c r="Q91" s="126"/>
      <c r="R91" s="126"/>
      <c r="S91" s="126"/>
      <c r="T91" s="126"/>
      <c r="U91" s="126"/>
      <c r="V91" s="126"/>
      <c r="W91" s="126"/>
      <c r="X91" s="126"/>
      <c r="Y91" s="126"/>
      <c r="Z91" s="126"/>
    </row>
    <row r="92">
      <c r="A92" s="127" t="s">
        <v>99</v>
      </c>
      <c r="B92" s="127">
        <v>91.0</v>
      </c>
      <c r="C92" s="127">
        <v>18.0</v>
      </c>
      <c r="D92" s="127" t="s">
        <v>441</v>
      </c>
      <c r="E92" s="127">
        <v>8.976230296E9</v>
      </c>
      <c r="F92" s="127" t="s">
        <v>1588</v>
      </c>
      <c r="G92" s="127" t="s">
        <v>762</v>
      </c>
      <c r="H92" s="127" t="s">
        <v>1704</v>
      </c>
      <c r="I92" s="126"/>
      <c r="J92" s="126"/>
      <c r="K92" s="126"/>
      <c r="L92" s="126"/>
      <c r="M92" s="126"/>
      <c r="N92" s="126"/>
      <c r="O92" s="126"/>
      <c r="P92" s="126"/>
      <c r="Q92" s="126"/>
      <c r="R92" s="126"/>
      <c r="S92" s="126"/>
      <c r="T92" s="126"/>
      <c r="U92" s="126"/>
      <c r="V92" s="126"/>
      <c r="W92" s="126"/>
      <c r="X92" s="126"/>
      <c r="Y92" s="126"/>
      <c r="Z92" s="126"/>
    </row>
    <row r="93">
      <c r="A93" s="127" t="s">
        <v>100</v>
      </c>
      <c r="B93" s="127">
        <v>92.0</v>
      </c>
      <c r="C93" s="127">
        <v>17.0</v>
      </c>
      <c r="D93" s="127" t="s">
        <v>447</v>
      </c>
      <c r="E93" s="127">
        <v>9.372446603E9</v>
      </c>
      <c r="F93" s="127" t="s">
        <v>1588</v>
      </c>
      <c r="G93" s="127" t="s">
        <v>100</v>
      </c>
      <c r="H93" s="127" t="s">
        <v>1705</v>
      </c>
      <c r="I93" s="126"/>
      <c r="J93" s="126"/>
      <c r="K93" s="126"/>
      <c r="L93" s="126"/>
      <c r="M93" s="126"/>
      <c r="N93" s="126"/>
      <c r="O93" s="126"/>
      <c r="P93" s="126"/>
      <c r="Q93" s="126"/>
      <c r="R93" s="126"/>
      <c r="S93" s="126"/>
      <c r="T93" s="126"/>
      <c r="U93" s="126"/>
      <c r="V93" s="126"/>
      <c r="W93" s="126"/>
      <c r="X93" s="126"/>
      <c r="Y93" s="126"/>
      <c r="Z93" s="126"/>
    </row>
    <row r="94">
      <c r="A94" s="127" t="s">
        <v>101</v>
      </c>
      <c r="B94" s="127">
        <v>93.0</v>
      </c>
      <c r="C94" s="127">
        <v>21.0</v>
      </c>
      <c r="D94" s="127" t="s">
        <v>458</v>
      </c>
      <c r="E94" s="127">
        <v>9.820211078E9</v>
      </c>
      <c r="F94" s="127" t="s">
        <v>1588</v>
      </c>
      <c r="G94" s="127" t="s">
        <v>101</v>
      </c>
      <c r="H94" s="127" t="s">
        <v>1706</v>
      </c>
      <c r="I94" s="126"/>
      <c r="J94" s="126"/>
      <c r="K94" s="126"/>
      <c r="L94" s="126"/>
      <c r="M94" s="126"/>
      <c r="N94" s="126"/>
      <c r="O94" s="126"/>
      <c r="P94" s="126"/>
      <c r="Q94" s="126"/>
      <c r="R94" s="126"/>
      <c r="S94" s="126"/>
      <c r="T94" s="126"/>
      <c r="U94" s="126"/>
      <c r="V94" s="126"/>
      <c r="W94" s="126"/>
      <c r="X94" s="126"/>
      <c r="Y94" s="126"/>
      <c r="Z94" s="126"/>
    </row>
    <row r="95">
      <c r="A95" s="127" t="s">
        <v>102</v>
      </c>
      <c r="B95" s="127">
        <v>94.0</v>
      </c>
      <c r="C95" s="127">
        <v>22.0</v>
      </c>
      <c r="D95" s="127" t="s">
        <v>458</v>
      </c>
      <c r="E95" s="127">
        <v>7.666444892E9</v>
      </c>
      <c r="F95" s="127" t="s">
        <v>1588</v>
      </c>
      <c r="G95" s="127" t="s">
        <v>102</v>
      </c>
      <c r="H95" s="127" t="s">
        <v>1707</v>
      </c>
      <c r="I95" s="126"/>
      <c r="J95" s="126"/>
      <c r="K95" s="126"/>
      <c r="L95" s="126"/>
      <c r="M95" s="126"/>
      <c r="N95" s="126"/>
      <c r="O95" s="126"/>
      <c r="P95" s="126"/>
      <c r="Q95" s="126"/>
      <c r="R95" s="126"/>
      <c r="S95" s="126"/>
      <c r="T95" s="126"/>
      <c r="U95" s="126"/>
      <c r="V95" s="126"/>
      <c r="W95" s="126"/>
      <c r="X95" s="126"/>
      <c r="Y95" s="126"/>
      <c r="Z95" s="126"/>
    </row>
    <row r="96">
      <c r="A96" s="127" t="s">
        <v>103</v>
      </c>
      <c r="B96" s="127">
        <v>95.0</v>
      </c>
      <c r="C96" s="127">
        <v>25.0</v>
      </c>
      <c r="D96" s="127" t="s">
        <v>458</v>
      </c>
      <c r="E96" s="127">
        <v>7.665555146E9</v>
      </c>
      <c r="F96" s="127" t="s">
        <v>1588</v>
      </c>
      <c r="G96" s="127" t="s">
        <v>776</v>
      </c>
      <c r="H96" s="127" t="s">
        <v>1708</v>
      </c>
      <c r="I96" s="126"/>
      <c r="J96" s="126"/>
      <c r="K96" s="126"/>
      <c r="L96" s="126"/>
      <c r="M96" s="126"/>
      <c r="N96" s="126"/>
      <c r="O96" s="126"/>
      <c r="P96" s="126"/>
      <c r="Q96" s="126"/>
      <c r="R96" s="126"/>
      <c r="S96" s="126"/>
      <c r="T96" s="126"/>
      <c r="U96" s="126"/>
      <c r="V96" s="126"/>
      <c r="W96" s="126"/>
      <c r="X96" s="126"/>
      <c r="Y96" s="126"/>
      <c r="Z96" s="126"/>
    </row>
    <row r="97">
      <c r="A97" s="127" t="s">
        <v>104</v>
      </c>
      <c r="B97" s="127">
        <v>96.0</v>
      </c>
      <c r="C97" s="127">
        <v>18.0</v>
      </c>
      <c r="D97" s="127"/>
      <c r="E97" s="127">
        <v>9.098957331E9</v>
      </c>
      <c r="F97" s="127" t="s">
        <v>1592</v>
      </c>
      <c r="G97" s="127"/>
      <c r="H97" s="127" t="s">
        <v>1709</v>
      </c>
      <c r="I97" s="126"/>
      <c r="J97" s="126"/>
      <c r="K97" s="126"/>
      <c r="L97" s="126"/>
      <c r="M97" s="126"/>
      <c r="N97" s="126"/>
      <c r="O97" s="126"/>
      <c r="P97" s="126"/>
      <c r="Q97" s="126"/>
      <c r="R97" s="126"/>
      <c r="S97" s="126"/>
      <c r="T97" s="126"/>
      <c r="U97" s="126"/>
      <c r="V97" s="126"/>
      <c r="W97" s="126"/>
      <c r="X97" s="126"/>
      <c r="Y97" s="126"/>
      <c r="Z97" s="126"/>
    </row>
    <row r="98">
      <c r="A98" s="127" t="s">
        <v>1710</v>
      </c>
      <c r="B98" s="127">
        <v>97.0</v>
      </c>
      <c r="C98" s="127">
        <v>20.0</v>
      </c>
      <c r="D98" s="127" t="s">
        <v>487</v>
      </c>
      <c r="E98" s="127">
        <v>9.1311541E9</v>
      </c>
      <c r="F98" s="127" t="s">
        <v>1588</v>
      </c>
      <c r="G98" s="127" t="s">
        <v>1710</v>
      </c>
      <c r="H98" s="127" t="s">
        <v>1711</v>
      </c>
      <c r="I98" s="126"/>
      <c r="J98" s="126"/>
      <c r="K98" s="126"/>
      <c r="L98" s="126"/>
      <c r="M98" s="126"/>
      <c r="N98" s="126"/>
      <c r="O98" s="126"/>
      <c r="P98" s="126"/>
      <c r="Q98" s="126"/>
      <c r="R98" s="126"/>
      <c r="S98" s="126"/>
      <c r="T98" s="126"/>
      <c r="U98" s="126"/>
      <c r="V98" s="126"/>
      <c r="W98" s="126"/>
      <c r="X98" s="126"/>
      <c r="Y98" s="126"/>
      <c r="Z98" s="126"/>
    </row>
    <row r="99">
      <c r="A99" s="127" t="s">
        <v>106</v>
      </c>
      <c r="B99" s="127">
        <v>98.0</v>
      </c>
      <c r="C99" s="127">
        <v>40.0</v>
      </c>
      <c r="D99" s="127"/>
      <c r="E99" s="127">
        <v>8.200808385E9</v>
      </c>
      <c r="F99" s="127" t="s">
        <v>1592</v>
      </c>
      <c r="G99" s="127"/>
      <c r="H99" s="127" t="s">
        <v>1712</v>
      </c>
      <c r="I99" s="126"/>
      <c r="J99" s="126"/>
      <c r="K99" s="126"/>
      <c r="L99" s="126"/>
      <c r="M99" s="126"/>
      <c r="N99" s="126"/>
      <c r="O99" s="126"/>
      <c r="P99" s="126"/>
      <c r="Q99" s="126"/>
      <c r="R99" s="126"/>
      <c r="S99" s="126"/>
      <c r="T99" s="126"/>
      <c r="U99" s="126"/>
      <c r="V99" s="126"/>
      <c r="W99" s="126"/>
      <c r="X99" s="126"/>
      <c r="Y99" s="126"/>
      <c r="Z99" s="126"/>
    </row>
    <row r="100">
      <c r="A100" s="127" t="s">
        <v>107</v>
      </c>
      <c r="B100" s="127">
        <v>99.0</v>
      </c>
      <c r="C100" s="127">
        <v>21.0</v>
      </c>
      <c r="D100" s="127"/>
      <c r="E100" s="127">
        <v>9.307690459E9</v>
      </c>
      <c r="F100" s="127" t="s">
        <v>1592</v>
      </c>
      <c r="G100" s="127"/>
      <c r="H100" s="127" t="s">
        <v>1713</v>
      </c>
      <c r="I100" s="126"/>
      <c r="J100" s="126"/>
      <c r="K100" s="126"/>
      <c r="L100" s="126"/>
      <c r="M100" s="126"/>
      <c r="N100" s="126"/>
      <c r="O100" s="126"/>
      <c r="P100" s="126"/>
      <c r="Q100" s="126"/>
      <c r="R100" s="126"/>
      <c r="S100" s="126"/>
      <c r="T100" s="126"/>
      <c r="U100" s="126"/>
      <c r="V100" s="126"/>
      <c r="W100" s="126"/>
      <c r="X100" s="126"/>
      <c r="Y100" s="126"/>
      <c r="Z100" s="126"/>
    </row>
    <row r="101">
      <c r="A101" s="127" t="s">
        <v>1714</v>
      </c>
      <c r="B101" s="127">
        <v>100.0</v>
      </c>
      <c r="C101" s="127">
        <v>20.0</v>
      </c>
      <c r="D101" s="127"/>
      <c r="E101" s="127">
        <v>7.041204406E9</v>
      </c>
      <c r="F101" s="127" t="s">
        <v>1592</v>
      </c>
      <c r="G101" s="127"/>
      <c r="H101" s="127" t="s">
        <v>1715</v>
      </c>
      <c r="I101" s="126"/>
      <c r="J101" s="126"/>
      <c r="K101" s="126"/>
      <c r="L101" s="126"/>
      <c r="M101" s="126"/>
      <c r="N101" s="126"/>
      <c r="O101" s="126"/>
      <c r="P101" s="126"/>
      <c r="Q101" s="126"/>
      <c r="R101" s="126"/>
      <c r="S101" s="126"/>
      <c r="T101" s="126"/>
      <c r="U101" s="126"/>
      <c r="V101" s="126"/>
      <c r="W101" s="126"/>
      <c r="X101" s="126"/>
      <c r="Y101" s="126"/>
      <c r="Z101" s="126"/>
    </row>
    <row r="102">
      <c r="A102" s="127" t="s">
        <v>109</v>
      </c>
      <c r="B102" s="127">
        <v>101.0</v>
      </c>
      <c r="C102" s="127">
        <v>35.0</v>
      </c>
      <c r="D102" s="127" t="s">
        <v>447</v>
      </c>
      <c r="E102" s="127">
        <v>7.600032535E9</v>
      </c>
      <c r="F102" s="127" t="s">
        <v>1588</v>
      </c>
      <c r="G102" s="127" t="s">
        <v>1716</v>
      </c>
      <c r="H102" s="127" t="s">
        <v>1717</v>
      </c>
      <c r="I102" s="126"/>
      <c r="J102" s="126"/>
      <c r="K102" s="126"/>
      <c r="L102" s="126"/>
      <c r="M102" s="126"/>
      <c r="N102" s="126"/>
      <c r="O102" s="126"/>
      <c r="P102" s="126"/>
      <c r="Q102" s="126"/>
      <c r="R102" s="126"/>
      <c r="S102" s="126"/>
      <c r="T102" s="126"/>
      <c r="U102" s="126"/>
      <c r="V102" s="126"/>
      <c r="W102" s="126"/>
      <c r="X102" s="126"/>
      <c r="Y102" s="126"/>
      <c r="Z102" s="126"/>
    </row>
    <row r="103">
      <c r="A103" s="127" t="s">
        <v>1718</v>
      </c>
      <c r="B103" s="127">
        <v>102.0</v>
      </c>
      <c r="C103" s="127">
        <v>25.0</v>
      </c>
      <c r="D103" s="127" t="s">
        <v>458</v>
      </c>
      <c r="E103" s="127">
        <v>9.32242988E9</v>
      </c>
      <c r="F103" s="127" t="s">
        <v>1588</v>
      </c>
      <c r="G103" s="127" t="s">
        <v>802</v>
      </c>
      <c r="H103" s="127" t="s">
        <v>1719</v>
      </c>
      <c r="I103" s="126"/>
      <c r="J103" s="126"/>
      <c r="K103" s="126"/>
      <c r="L103" s="126"/>
      <c r="M103" s="126"/>
      <c r="N103" s="126"/>
      <c r="O103" s="126"/>
      <c r="P103" s="126"/>
      <c r="Q103" s="126"/>
      <c r="R103" s="126"/>
      <c r="S103" s="126"/>
      <c r="T103" s="126"/>
      <c r="U103" s="126"/>
      <c r="V103" s="126"/>
      <c r="W103" s="126"/>
      <c r="X103" s="126"/>
      <c r="Y103" s="126"/>
      <c r="Z103" s="126"/>
    </row>
    <row r="104">
      <c r="A104" s="127" t="s">
        <v>111</v>
      </c>
      <c r="B104" s="127">
        <v>103.0</v>
      </c>
      <c r="C104" s="127">
        <v>17.0</v>
      </c>
      <c r="D104" s="127" t="s">
        <v>447</v>
      </c>
      <c r="E104" s="127">
        <v>9.588089135E9</v>
      </c>
      <c r="F104" s="127" t="s">
        <v>1588</v>
      </c>
      <c r="G104" s="127" t="s">
        <v>111</v>
      </c>
      <c r="H104" s="127" t="s">
        <v>1720</v>
      </c>
      <c r="I104" s="126"/>
      <c r="J104" s="126"/>
      <c r="K104" s="126"/>
      <c r="L104" s="126"/>
      <c r="M104" s="126"/>
      <c r="N104" s="126"/>
      <c r="O104" s="126"/>
      <c r="P104" s="126"/>
      <c r="Q104" s="126"/>
      <c r="R104" s="126"/>
      <c r="S104" s="126"/>
      <c r="T104" s="126"/>
      <c r="U104" s="126"/>
      <c r="V104" s="126"/>
      <c r="W104" s="126"/>
      <c r="X104" s="126"/>
      <c r="Y104" s="126"/>
      <c r="Z104" s="126"/>
    </row>
    <row r="105">
      <c r="A105" s="127" t="s">
        <v>112</v>
      </c>
      <c r="B105" s="127">
        <v>104.0</v>
      </c>
      <c r="C105" s="127">
        <v>23.0</v>
      </c>
      <c r="D105" s="127"/>
      <c r="E105" s="127">
        <v>9.353571355E9</v>
      </c>
      <c r="F105" s="127" t="s">
        <v>1592</v>
      </c>
      <c r="G105" s="127"/>
      <c r="H105" s="127" t="s">
        <v>1721</v>
      </c>
      <c r="I105" s="126"/>
      <c r="J105" s="126"/>
      <c r="K105" s="126"/>
      <c r="L105" s="126"/>
      <c r="M105" s="126"/>
      <c r="N105" s="126"/>
      <c r="O105" s="126"/>
      <c r="P105" s="126"/>
      <c r="Q105" s="126"/>
      <c r="R105" s="126"/>
      <c r="S105" s="126"/>
      <c r="T105" s="126"/>
      <c r="U105" s="126"/>
      <c r="V105" s="126"/>
      <c r="W105" s="126"/>
      <c r="X105" s="126"/>
      <c r="Y105" s="126"/>
      <c r="Z105" s="126"/>
    </row>
    <row r="106">
      <c r="A106" s="127" t="s">
        <v>113</v>
      </c>
      <c r="B106" s="127">
        <v>105.0</v>
      </c>
      <c r="C106" s="127">
        <v>35.0</v>
      </c>
      <c r="D106" s="127" t="s">
        <v>447</v>
      </c>
      <c r="E106" s="127">
        <v>7.50730445E9</v>
      </c>
      <c r="F106" s="127" t="s">
        <v>1588</v>
      </c>
      <c r="G106" s="127" t="s">
        <v>113</v>
      </c>
      <c r="H106" s="127" t="s">
        <v>1722</v>
      </c>
      <c r="I106" s="126"/>
      <c r="J106" s="126"/>
      <c r="K106" s="126"/>
      <c r="L106" s="126"/>
      <c r="M106" s="126"/>
      <c r="N106" s="126"/>
      <c r="O106" s="126"/>
      <c r="P106" s="126"/>
      <c r="Q106" s="126"/>
      <c r="R106" s="126"/>
      <c r="S106" s="126"/>
      <c r="T106" s="126"/>
      <c r="U106" s="126"/>
      <c r="V106" s="126"/>
      <c r="W106" s="126"/>
      <c r="X106" s="126"/>
      <c r="Y106" s="126"/>
      <c r="Z106" s="126"/>
    </row>
    <row r="107">
      <c r="A107" s="127" t="s">
        <v>114</v>
      </c>
      <c r="B107" s="127">
        <v>106.0</v>
      </c>
      <c r="C107" s="127">
        <v>21.0</v>
      </c>
      <c r="D107" s="127" t="s">
        <v>458</v>
      </c>
      <c r="E107" s="127">
        <v>9.307688441E9</v>
      </c>
      <c r="F107" s="127" t="s">
        <v>1588</v>
      </c>
      <c r="G107" s="127" t="s">
        <v>1723</v>
      </c>
      <c r="H107" s="127" t="s">
        <v>1724</v>
      </c>
      <c r="I107" s="126"/>
      <c r="J107" s="126"/>
      <c r="K107" s="126"/>
      <c r="L107" s="126"/>
      <c r="M107" s="126"/>
      <c r="N107" s="126"/>
      <c r="O107" s="126"/>
      <c r="P107" s="126"/>
      <c r="Q107" s="126"/>
      <c r="R107" s="126"/>
      <c r="S107" s="126"/>
      <c r="T107" s="126"/>
      <c r="U107" s="126"/>
      <c r="V107" s="126"/>
      <c r="W107" s="126"/>
      <c r="X107" s="126"/>
      <c r="Y107" s="126"/>
      <c r="Z107" s="126"/>
    </row>
    <row r="108">
      <c r="A108" s="127" t="s">
        <v>115</v>
      </c>
      <c r="B108" s="127">
        <v>107.0</v>
      </c>
      <c r="C108" s="127">
        <v>20.0</v>
      </c>
      <c r="D108" s="127"/>
      <c r="E108" s="127">
        <v>7.303008851E9</v>
      </c>
      <c r="F108" s="127" t="s">
        <v>1592</v>
      </c>
      <c r="G108" s="127"/>
      <c r="H108" s="127" t="s">
        <v>1725</v>
      </c>
      <c r="I108" s="126"/>
      <c r="J108" s="126"/>
      <c r="K108" s="126"/>
      <c r="L108" s="126"/>
      <c r="M108" s="126"/>
      <c r="N108" s="126"/>
      <c r="O108" s="126"/>
      <c r="P108" s="126"/>
      <c r="Q108" s="126"/>
      <c r="R108" s="126"/>
      <c r="S108" s="126"/>
      <c r="T108" s="126"/>
      <c r="U108" s="126"/>
      <c r="V108" s="126"/>
      <c r="W108" s="126"/>
      <c r="X108" s="126"/>
      <c r="Y108" s="126"/>
      <c r="Z108" s="126"/>
    </row>
    <row r="109">
      <c r="A109" s="127" t="s">
        <v>116</v>
      </c>
      <c r="B109" s="127">
        <v>108.0</v>
      </c>
      <c r="C109" s="127">
        <v>18.0</v>
      </c>
      <c r="D109" s="127" t="s">
        <v>458</v>
      </c>
      <c r="E109" s="127">
        <v>9.284913366E9</v>
      </c>
      <c r="F109" s="127" t="s">
        <v>1588</v>
      </c>
      <c r="G109" s="127" t="s">
        <v>824</v>
      </c>
      <c r="H109" s="127" t="s">
        <v>1726</v>
      </c>
      <c r="I109" s="126"/>
      <c r="J109" s="126"/>
      <c r="K109" s="126"/>
      <c r="L109" s="126"/>
      <c r="M109" s="126"/>
      <c r="N109" s="126"/>
      <c r="O109" s="126"/>
      <c r="P109" s="126"/>
      <c r="Q109" s="126"/>
      <c r="R109" s="126"/>
      <c r="S109" s="126"/>
      <c r="T109" s="126"/>
      <c r="U109" s="126"/>
      <c r="V109" s="126"/>
      <c r="W109" s="126"/>
      <c r="X109" s="126"/>
      <c r="Y109" s="126"/>
      <c r="Z109" s="126"/>
    </row>
    <row r="110">
      <c r="A110" s="127" t="s">
        <v>117</v>
      </c>
      <c r="B110" s="127">
        <v>109.0</v>
      </c>
      <c r="C110" s="127">
        <v>12.0</v>
      </c>
      <c r="D110" s="127" t="s">
        <v>447</v>
      </c>
      <c r="E110" s="127">
        <v>8.9895532E9</v>
      </c>
      <c r="F110" s="127" t="s">
        <v>1636</v>
      </c>
      <c r="G110" s="127" t="s">
        <v>828</v>
      </c>
      <c r="H110" s="127" t="s">
        <v>1727</v>
      </c>
      <c r="I110" s="126"/>
      <c r="J110" s="126"/>
      <c r="K110" s="126"/>
      <c r="L110" s="126"/>
      <c r="M110" s="126"/>
      <c r="N110" s="126"/>
      <c r="O110" s="126"/>
      <c r="P110" s="126"/>
      <c r="Q110" s="126"/>
      <c r="R110" s="126"/>
      <c r="S110" s="126"/>
      <c r="T110" s="126"/>
      <c r="U110" s="126"/>
      <c r="V110" s="126"/>
      <c r="W110" s="126"/>
      <c r="X110" s="126"/>
      <c r="Y110" s="126"/>
      <c r="Z110" s="126"/>
    </row>
    <row r="111">
      <c r="A111" s="127" t="s">
        <v>1728</v>
      </c>
      <c r="B111" s="127">
        <v>110.0</v>
      </c>
      <c r="C111" s="127">
        <v>25.0</v>
      </c>
      <c r="D111" s="127" t="s">
        <v>441</v>
      </c>
      <c r="E111" s="127">
        <v>9.81955033E9</v>
      </c>
      <c r="F111" s="127" t="s">
        <v>1588</v>
      </c>
      <c r="G111" s="127" t="s">
        <v>832</v>
      </c>
      <c r="H111" s="127" t="s">
        <v>1729</v>
      </c>
      <c r="I111" s="126"/>
      <c r="J111" s="126"/>
      <c r="K111" s="126"/>
      <c r="L111" s="126"/>
      <c r="M111" s="126"/>
      <c r="N111" s="126"/>
      <c r="O111" s="126"/>
      <c r="P111" s="126"/>
      <c r="Q111" s="126"/>
      <c r="R111" s="126"/>
      <c r="S111" s="126"/>
      <c r="T111" s="126"/>
      <c r="U111" s="126"/>
      <c r="V111" s="126"/>
      <c r="W111" s="126"/>
      <c r="X111" s="126"/>
      <c r="Y111" s="126"/>
      <c r="Z111" s="126"/>
    </row>
    <row r="112">
      <c r="A112" s="127" t="s">
        <v>1730</v>
      </c>
      <c r="B112" s="127">
        <v>111.0</v>
      </c>
      <c r="C112" s="127">
        <v>27.0</v>
      </c>
      <c r="D112" s="127" t="s">
        <v>458</v>
      </c>
      <c r="E112" s="127">
        <v>9.428631954E9</v>
      </c>
      <c r="F112" s="127" t="s">
        <v>1588</v>
      </c>
      <c r="G112" s="127" t="s">
        <v>835</v>
      </c>
      <c r="H112" s="127" t="s">
        <v>1731</v>
      </c>
      <c r="I112" s="126"/>
      <c r="J112" s="126"/>
      <c r="K112" s="126"/>
      <c r="L112" s="126"/>
      <c r="M112" s="126"/>
      <c r="N112" s="126"/>
      <c r="O112" s="126"/>
      <c r="P112" s="126"/>
      <c r="Q112" s="126"/>
      <c r="R112" s="126"/>
      <c r="S112" s="126"/>
      <c r="T112" s="126"/>
      <c r="U112" s="126"/>
      <c r="V112" s="126"/>
      <c r="W112" s="126"/>
      <c r="X112" s="126"/>
      <c r="Y112" s="126"/>
      <c r="Z112" s="126"/>
    </row>
    <row r="113">
      <c r="A113" s="127" t="s">
        <v>120</v>
      </c>
      <c r="B113" s="127">
        <v>112.0</v>
      </c>
      <c r="C113" s="127">
        <v>23.0</v>
      </c>
      <c r="D113" s="127"/>
      <c r="E113" s="127">
        <v>7.048433736E9</v>
      </c>
      <c r="F113" s="127" t="s">
        <v>1592</v>
      </c>
      <c r="G113" s="127"/>
      <c r="H113" s="127" t="s">
        <v>1732</v>
      </c>
      <c r="I113" s="126"/>
      <c r="J113" s="126"/>
      <c r="K113" s="126"/>
      <c r="L113" s="126"/>
      <c r="M113" s="126"/>
      <c r="N113" s="126"/>
      <c r="O113" s="126"/>
      <c r="P113" s="126"/>
      <c r="Q113" s="126"/>
      <c r="R113" s="126"/>
      <c r="S113" s="126"/>
      <c r="T113" s="126"/>
      <c r="U113" s="126"/>
      <c r="V113" s="126"/>
      <c r="W113" s="126"/>
      <c r="X113" s="126"/>
      <c r="Y113" s="126"/>
      <c r="Z113" s="126"/>
    </row>
    <row r="114">
      <c r="A114" s="127" t="s">
        <v>1733</v>
      </c>
      <c r="B114" s="127">
        <v>113.0</v>
      </c>
      <c r="C114" s="127">
        <v>21.0</v>
      </c>
      <c r="D114" s="127" t="s">
        <v>447</v>
      </c>
      <c r="E114" s="127">
        <v>9.826553422E9</v>
      </c>
      <c r="F114" s="127" t="s">
        <v>1636</v>
      </c>
      <c r="G114" s="127" t="s">
        <v>838</v>
      </c>
      <c r="H114" s="127" t="s">
        <v>1734</v>
      </c>
      <c r="I114" s="126"/>
      <c r="J114" s="126"/>
      <c r="K114" s="126"/>
      <c r="L114" s="126"/>
      <c r="M114" s="126"/>
      <c r="N114" s="126"/>
      <c r="O114" s="126"/>
      <c r="P114" s="126"/>
      <c r="Q114" s="126"/>
      <c r="R114" s="126"/>
      <c r="S114" s="126"/>
      <c r="T114" s="126"/>
      <c r="U114" s="126"/>
      <c r="V114" s="126"/>
      <c r="W114" s="126"/>
      <c r="X114" s="126"/>
      <c r="Y114" s="126"/>
      <c r="Z114" s="126"/>
    </row>
    <row r="115">
      <c r="A115" s="127" t="s">
        <v>1735</v>
      </c>
      <c r="B115" s="127">
        <v>114.0</v>
      </c>
      <c r="C115" s="127">
        <v>20.0</v>
      </c>
      <c r="D115" s="127" t="s">
        <v>458</v>
      </c>
      <c r="E115" s="127">
        <v>9.423987099E9</v>
      </c>
      <c r="F115" s="127" t="s">
        <v>1588</v>
      </c>
      <c r="G115" s="127" t="s">
        <v>846</v>
      </c>
      <c r="H115" s="127" t="s">
        <v>1736</v>
      </c>
      <c r="I115" s="126"/>
      <c r="J115" s="126"/>
      <c r="K115" s="126"/>
      <c r="L115" s="126"/>
      <c r="M115" s="126"/>
      <c r="N115" s="126"/>
      <c r="O115" s="126"/>
      <c r="P115" s="126"/>
      <c r="Q115" s="126"/>
      <c r="R115" s="126"/>
      <c r="S115" s="126"/>
      <c r="T115" s="126"/>
      <c r="U115" s="126"/>
      <c r="V115" s="126"/>
      <c r="W115" s="126"/>
      <c r="X115" s="126"/>
      <c r="Y115" s="126"/>
      <c r="Z115" s="126"/>
    </row>
    <row r="116">
      <c r="A116" s="127" t="s">
        <v>123</v>
      </c>
      <c r="B116" s="127">
        <v>115.0</v>
      </c>
      <c r="C116" s="127">
        <v>28.0</v>
      </c>
      <c r="D116" s="127" t="s">
        <v>447</v>
      </c>
      <c r="E116" s="127">
        <v>8.08760057E9</v>
      </c>
      <c r="F116" s="127" t="s">
        <v>1588</v>
      </c>
      <c r="G116" s="127" t="s">
        <v>123</v>
      </c>
      <c r="H116" s="127" t="s">
        <v>1737</v>
      </c>
      <c r="I116" s="126"/>
      <c r="J116" s="126"/>
      <c r="K116" s="126"/>
      <c r="L116" s="126"/>
      <c r="M116" s="126"/>
      <c r="N116" s="126"/>
      <c r="O116" s="126"/>
      <c r="P116" s="126"/>
      <c r="Q116" s="126"/>
      <c r="R116" s="126"/>
      <c r="S116" s="126"/>
      <c r="T116" s="126"/>
      <c r="U116" s="126"/>
      <c r="V116" s="126"/>
      <c r="W116" s="126"/>
      <c r="X116" s="126"/>
      <c r="Y116" s="126"/>
      <c r="Z116" s="126"/>
    </row>
    <row r="117">
      <c r="A117" s="127" t="s">
        <v>124</v>
      </c>
      <c r="B117" s="127">
        <v>116.0</v>
      </c>
      <c r="C117" s="127">
        <v>16.0</v>
      </c>
      <c r="D117" s="127"/>
      <c r="E117" s="127">
        <v>6.351438172E9</v>
      </c>
      <c r="F117" s="127" t="s">
        <v>1592</v>
      </c>
      <c r="G117" s="127"/>
      <c r="H117" s="127" t="s">
        <v>1738</v>
      </c>
      <c r="I117" s="126"/>
      <c r="J117" s="126"/>
      <c r="K117" s="126"/>
      <c r="L117" s="126"/>
      <c r="M117" s="126"/>
      <c r="N117" s="126"/>
      <c r="O117" s="126"/>
      <c r="P117" s="126"/>
      <c r="Q117" s="126"/>
      <c r="R117" s="126"/>
      <c r="S117" s="126"/>
      <c r="T117" s="126"/>
      <c r="U117" s="126"/>
      <c r="V117" s="126"/>
      <c r="W117" s="126"/>
      <c r="X117" s="126"/>
      <c r="Y117" s="126"/>
      <c r="Z117" s="126"/>
    </row>
    <row r="118">
      <c r="A118" s="127" t="s">
        <v>1739</v>
      </c>
      <c r="B118" s="127">
        <v>117.0</v>
      </c>
      <c r="C118" s="127">
        <v>18.0</v>
      </c>
      <c r="D118" s="127"/>
      <c r="E118" s="127">
        <v>9.860017215E9</v>
      </c>
      <c r="F118" s="127" t="s">
        <v>1592</v>
      </c>
      <c r="G118" s="127"/>
      <c r="H118" s="127" t="s">
        <v>1740</v>
      </c>
      <c r="I118" s="126"/>
      <c r="J118" s="126"/>
      <c r="K118" s="126"/>
      <c r="L118" s="126"/>
      <c r="M118" s="126"/>
      <c r="N118" s="126"/>
      <c r="O118" s="126"/>
      <c r="P118" s="126"/>
      <c r="Q118" s="126"/>
      <c r="R118" s="126"/>
      <c r="S118" s="126"/>
      <c r="T118" s="126"/>
      <c r="U118" s="126"/>
      <c r="V118" s="126"/>
      <c r="W118" s="126"/>
      <c r="X118" s="126"/>
      <c r="Y118" s="126"/>
      <c r="Z118" s="126"/>
    </row>
    <row r="119">
      <c r="A119" s="127" t="s">
        <v>126</v>
      </c>
      <c r="B119" s="127">
        <v>118.0</v>
      </c>
      <c r="C119" s="127">
        <v>21.0</v>
      </c>
      <c r="D119" s="127" t="s">
        <v>487</v>
      </c>
      <c r="E119" s="127">
        <v>9.028983546E9</v>
      </c>
      <c r="F119" s="127" t="s">
        <v>1588</v>
      </c>
      <c r="G119" s="127" t="s">
        <v>126</v>
      </c>
      <c r="H119" s="127" t="s">
        <v>1741</v>
      </c>
      <c r="I119" s="126"/>
      <c r="J119" s="126"/>
      <c r="K119" s="126"/>
      <c r="L119" s="126"/>
      <c r="M119" s="126"/>
      <c r="N119" s="126"/>
      <c r="O119" s="126"/>
      <c r="P119" s="126"/>
      <c r="Q119" s="126"/>
      <c r="R119" s="126"/>
      <c r="S119" s="126"/>
      <c r="T119" s="126"/>
      <c r="U119" s="126"/>
      <c r="V119" s="126"/>
      <c r="W119" s="126"/>
      <c r="X119" s="126"/>
      <c r="Y119" s="126"/>
      <c r="Z119" s="126"/>
    </row>
    <row r="120">
      <c r="A120" s="127" t="s">
        <v>859</v>
      </c>
      <c r="B120" s="127">
        <v>119.0</v>
      </c>
      <c r="C120" s="127">
        <v>34.0</v>
      </c>
      <c r="D120" s="127" t="s">
        <v>458</v>
      </c>
      <c r="E120" s="127">
        <v>7.796132865E9</v>
      </c>
      <c r="F120" s="127" t="s">
        <v>1588</v>
      </c>
      <c r="G120" s="127" t="s">
        <v>859</v>
      </c>
      <c r="H120" s="127" t="s">
        <v>1742</v>
      </c>
      <c r="I120" s="126"/>
      <c r="J120" s="126"/>
      <c r="K120" s="126"/>
      <c r="L120" s="126"/>
      <c r="M120" s="126"/>
      <c r="N120" s="126"/>
      <c r="O120" s="126"/>
      <c r="P120" s="126"/>
      <c r="Q120" s="126"/>
      <c r="R120" s="126"/>
      <c r="S120" s="126"/>
      <c r="T120" s="126"/>
      <c r="U120" s="126"/>
      <c r="V120" s="126"/>
      <c r="W120" s="126"/>
      <c r="X120" s="126"/>
      <c r="Y120" s="126"/>
      <c r="Z120" s="126"/>
    </row>
    <row r="121">
      <c r="A121" s="127" t="s">
        <v>128</v>
      </c>
      <c r="B121" s="127">
        <v>120.0</v>
      </c>
      <c r="C121" s="127">
        <v>20.0</v>
      </c>
      <c r="D121" s="127" t="s">
        <v>487</v>
      </c>
      <c r="E121" s="127">
        <v>9.892089244E9</v>
      </c>
      <c r="F121" s="127" t="s">
        <v>1588</v>
      </c>
      <c r="G121" s="127" t="s">
        <v>128</v>
      </c>
      <c r="H121" s="127" t="s">
        <v>1743</v>
      </c>
      <c r="I121" s="126"/>
      <c r="J121" s="126"/>
      <c r="K121" s="126"/>
      <c r="L121" s="126"/>
      <c r="M121" s="126"/>
      <c r="N121" s="126"/>
      <c r="O121" s="126"/>
      <c r="P121" s="126"/>
      <c r="Q121" s="126"/>
      <c r="R121" s="126"/>
      <c r="S121" s="126"/>
      <c r="T121" s="126"/>
      <c r="U121" s="126"/>
      <c r="V121" s="126"/>
      <c r="W121" s="126"/>
      <c r="X121" s="126"/>
      <c r="Y121" s="126"/>
      <c r="Z121" s="126"/>
    </row>
    <row r="122">
      <c r="A122" s="127" t="s">
        <v>129</v>
      </c>
      <c r="B122" s="127">
        <v>121.0</v>
      </c>
      <c r="C122" s="127">
        <v>21.0</v>
      </c>
      <c r="D122" s="127" t="s">
        <v>487</v>
      </c>
      <c r="E122" s="127">
        <v>7.977822575E9</v>
      </c>
      <c r="F122" s="127" t="s">
        <v>1588</v>
      </c>
      <c r="G122" s="127" t="s">
        <v>865</v>
      </c>
      <c r="H122" s="127" t="s">
        <v>129</v>
      </c>
      <c r="I122" s="126"/>
      <c r="J122" s="126"/>
      <c r="K122" s="126"/>
      <c r="L122" s="126"/>
      <c r="M122" s="126"/>
      <c r="N122" s="126"/>
      <c r="O122" s="126"/>
      <c r="P122" s="126"/>
      <c r="Q122" s="126"/>
      <c r="R122" s="126"/>
      <c r="S122" s="126"/>
      <c r="T122" s="126"/>
      <c r="U122" s="126"/>
      <c r="V122" s="126"/>
      <c r="W122" s="126"/>
      <c r="X122" s="126"/>
      <c r="Y122" s="126"/>
      <c r="Z122" s="126"/>
    </row>
    <row r="123">
      <c r="A123" s="127" t="s">
        <v>130</v>
      </c>
      <c r="B123" s="127">
        <v>122.0</v>
      </c>
      <c r="C123" s="127">
        <v>20.0</v>
      </c>
      <c r="D123" s="127"/>
      <c r="E123" s="127">
        <v>7.38976173E9</v>
      </c>
      <c r="F123" s="127" t="s">
        <v>1592</v>
      </c>
      <c r="G123" s="127"/>
      <c r="H123" s="127" t="s">
        <v>1744</v>
      </c>
      <c r="I123" s="126"/>
      <c r="J123" s="126"/>
      <c r="K123" s="126"/>
      <c r="L123" s="126"/>
      <c r="M123" s="126"/>
      <c r="N123" s="126"/>
      <c r="O123" s="126"/>
      <c r="P123" s="126"/>
      <c r="Q123" s="126"/>
      <c r="R123" s="126"/>
      <c r="S123" s="126"/>
      <c r="T123" s="126"/>
      <c r="U123" s="126"/>
      <c r="V123" s="126"/>
      <c r="W123" s="126"/>
      <c r="X123" s="126"/>
      <c r="Y123" s="126"/>
      <c r="Z123" s="126"/>
    </row>
    <row r="124">
      <c r="A124" s="127" t="s">
        <v>873</v>
      </c>
      <c r="B124" s="127">
        <v>123.0</v>
      </c>
      <c r="C124" s="127">
        <v>32.0</v>
      </c>
      <c r="D124" s="127" t="s">
        <v>458</v>
      </c>
      <c r="E124" s="127">
        <v>9.981099807E9</v>
      </c>
      <c r="F124" s="127" t="s">
        <v>1588</v>
      </c>
      <c r="G124" s="127" t="s">
        <v>873</v>
      </c>
      <c r="H124" s="127" t="s">
        <v>1745</v>
      </c>
      <c r="I124" s="126"/>
      <c r="J124" s="126"/>
      <c r="K124" s="126"/>
      <c r="L124" s="126"/>
      <c r="M124" s="126"/>
      <c r="N124" s="126"/>
      <c r="O124" s="126"/>
      <c r="P124" s="126"/>
      <c r="Q124" s="126"/>
      <c r="R124" s="126"/>
      <c r="S124" s="126"/>
      <c r="T124" s="126"/>
      <c r="U124" s="126"/>
      <c r="V124" s="126"/>
      <c r="W124" s="126"/>
      <c r="X124" s="126"/>
      <c r="Y124" s="126"/>
      <c r="Z124" s="126"/>
    </row>
    <row r="125">
      <c r="A125" s="127" t="s">
        <v>1746</v>
      </c>
      <c r="B125" s="127">
        <v>124.0</v>
      </c>
      <c r="C125" s="127">
        <v>33.0</v>
      </c>
      <c r="D125" s="127"/>
      <c r="E125" s="127">
        <v>8.905492464E9</v>
      </c>
      <c r="F125" s="127" t="s">
        <v>1592</v>
      </c>
      <c r="G125" s="127"/>
      <c r="H125" s="127" t="s">
        <v>1747</v>
      </c>
      <c r="I125" s="126"/>
      <c r="J125" s="126"/>
      <c r="K125" s="126"/>
      <c r="L125" s="126"/>
      <c r="M125" s="126"/>
      <c r="N125" s="126"/>
      <c r="O125" s="126"/>
      <c r="P125" s="126"/>
      <c r="Q125" s="126"/>
      <c r="R125" s="126"/>
      <c r="S125" s="126"/>
      <c r="T125" s="126"/>
      <c r="U125" s="126"/>
      <c r="V125" s="126"/>
      <c r="W125" s="126"/>
      <c r="X125" s="126"/>
      <c r="Y125" s="126"/>
      <c r="Z125" s="126"/>
    </row>
    <row r="126">
      <c r="A126" s="127" t="s">
        <v>133</v>
      </c>
      <c r="B126" s="127">
        <v>125.0</v>
      </c>
      <c r="C126" s="127"/>
      <c r="D126" s="127"/>
      <c r="E126" s="127"/>
      <c r="F126" s="127" t="s">
        <v>1650</v>
      </c>
      <c r="G126" s="127"/>
      <c r="H126" s="127" t="s">
        <v>1748</v>
      </c>
      <c r="I126" s="126"/>
      <c r="J126" s="126"/>
      <c r="K126" s="126"/>
      <c r="L126" s="126"/>
      <c r="M126" s="126"/>
      <c r="N126" s="126"/>
      <c r="O126" s="126"/>
      <c r="P126" s="126"/>
      <c r="Q126" s="126"/>
      <c r="R126" s="126"/>
      <c r="S126" s="126"/>
      <c r="T126" s="126"/>
      <c r="U126" s="126"/>
      <c r="V126" s="126"/>
      <c r="W126" s="126"/>
      <c r="X126" s="126"/>
      <c r="Y126" s="126"/>
      <c r="Z126" s="126"/>
    </row>
    <row r="127">
      <c r="A127" s="127" t="s">
        <v>1749</v>
      </c>
      <c r="B127" s="127">
        <v>126.0</v>
      </c>
      <c r="C127" s="127">
        <v>19.0</v>
      </c>
      <c r="D127" s="127"/>
      <c r="E127" s="127">
        <v>9.981317839E9</v>
      </c>
      <c r="F127" s="127" t="s">
        <v>1592</v>
      </c>
      <c r="G127" s="127"/>
      <c r="H127" s="127" t="s">
        <v>1749</v>
      </c>
      <c r="I127" s="126"/>
      <c r="J127" s="126"/>
      <c r="K127" s="126"/>
      <c r="L127" s="126"/>
      <c r="M127" s="126"/>
      <c r="N127" s="126"/>
      <c r="O127" s="126"/>
      <c r="P127" s="126"/>
      <c r="Q127" s="126"/>
      <c r="R127" s="126"/>
      <c r="S127" s="126"/>
      <c r="T127" s="126"/>
      <c r="U127" s="126"/>
      <c r="V127" s="126"/>
      <c r="W127" s="126"/>
      <c r="X127" s="126"/>
      <c r="Y127" s="126"/>
      <c r="Z127" s="126"/>
    </row>
    <row r="128">
      <c r="A128" s="127" t="s">
        <v>1750</v>
      </c>
      <c r="B128" s="127">
        <v>127.0</v>
      </c>
      <c r="C128" s="127"/>
      <c r="D128" s="127"/>
      <c r="E128" s="127"/>
      <c r="F128" s="127" t="s">
        <v>1650</v>
      </c>
      <c r="G128" s="127"/>
      <c r="H128" s="127" t="s">
        <v>1748</v>
      </c>
      <c r="I128" s="126"/>
      <c r="J128" s="126"/>
      <c r="K128" s="126"/>
      <c r="L128" s="126"/>
      <c r="M128" s="126"/>
      <c r="N128" s="126"/>
      <c r="O128" s="126"/>
      <c r="P128" s="126"/>
      <c r="Q128" s="126"/>
      <c r="R128" s="126"/>
      <c r="S128" s="126"/>
      <c r="T128" s="126"/>
      <c r="U128" s="126"/>
      <c r="V128" s="126"/>
      <c r="W128" s="126"/>
      <c r="X128" s="126"/>
      <c r="Y128" s="126"/>
      <c r="Z128" s="126"/>
    </row>
    <row r="129">
      <c r="A129" s="127" t="s">
        <v>136</v>
      </c>
      <c r="B129" s="127">
        <v>128.0</v>
      </c>
      <c r="C129" s="127">
        <v>36.0</v>
      </c>
      <c r="D129" s="127" t="s">
        <v>487</v>
      </c>
      <c r="E129" s="127">
        <v>9.819913128E9</v>
      </c>
      <c r="F129" s="127" t="s">
        <v>1588</v>
      </c>
      <c r="G129" s="127" t="s">
        <v>136</v>
      </c>
      <c r="H129" s="127" t="s">
        <v>1751</v>
      </c>
      <c r="I129" s="126"/>
      <c r="J129" s="126"/>
      <c r="K129" s="126"/>
      <c r="L129" s="126"/>
      <c r="M129" s="126"/>
      <c r="N129" s="126"/>
      <c r="O129" s="126"/>
      <c r="P129" s="126"/>
      <c r="Q129" s="126"/>
      <c r="R129" s="126"/>
      <c r="S129" s="126"/>
      <c r="T129" s="126"/>
      <c r="U129" s="126"/>
      <c r="V129" s="126"/>
      <c r="W129" s="126"/>
      <c r="X129" s="126"/>
      <c r="Y129" s="126"/>
      <c r="Z129" s="126"/>
    </row>
    <row r="130">
      <c r="A130" s="127" t="s">
        <v>137</v>
      </c>
      <c r="B130" s="127">
        <v>129.0</v>
      </c>
      <c r="C130" s="127">
        <v>19.0</v>
      </c>
      <c r="D130" s="127" t="s">
        <v>447</v>
      </c>
      <c r="E130" s="127">
        <v>9.511278842E9</v>
      </c>
      <c r="F130" s="127" t="s">
        <v>1588</v>
      </c>
      <c r="G130" s="127" t="s">
        <v>137</v>
      </c>
      <c r="H130" s="127" t="s">
        <v>1752</v>
      </c>
      <c r="I130" s="126"/>
      <c r="J130" s="126"/>
      <c r="K130" s="126"/>
      <c r="L130" s="126"/>
      <c r="M130" s="126"/>
      <c r="N130" s="126"/>
      <c r="O130" s="126"/>
      <c r="P130" s="126"/>
      <c r="Q130" s="126"/>
      <c r="R130" s="126"/>
      <c r="S130" s="126"/>
      <c r="T130" s="126"/>
      <c r="U130" s="126"/>
      <c r="V130" s="126"/>
      <c r="W130" s="126"/>
      <c r="X130" s="126"/>
      <c r="Y130" s="126"/>
      <c r="Z130" s="126"/>
    </row>
    <row r="131">
      <c r="A131" s="127" t="s">
        <v>138</v>
      </c>
      <c r="B131" s="127">
        <v>130.0</v>
      </c>
      <c r="C131" s="127">
        <v>20.0</v>
      </c>
      <c r="D131" s="127"/>
      <c r="E131" s="127">
        <v>7.044140827E9</v>
      </c>
      <c r="F131" s="127" t="s">
        <v>1592</v>
      </c>
      <c r="G131" s="127"/>
      <c r="H131" s="127" t="s">
        <v>1753</v>
      </c>
      <c r="I131" s="126"/>
      <c r="J131" s="126"/>
      <c r="K131" s="126"/>
      <c r="L131" s="126"/>
      <c r="M131" s="126"/>
      <c r="N131" s="126"/>
      <c r="O131" s="126"/>
      <c r="P131" s="126"/>
      <c r="Q131" s="126"/>
      <c r="R131" s="126"/>
      <c r="S131" s="126"/>
      <c r="T131" s="126"/>
      <c r="U131" s="126"/>
      <c r="V131" s="126"/>
      <c r="W131" s="126"/>
      <c r="X131" s="126"/>
      <c r="Y131" s="126"/>
      <c r="Z131" s="126"/>
    </row>
    <row r="132">
      <c r="A132" s="127" t="s">
        <v>139</v>
      </c>
      <c r="B132" s="127">
        <v>131.0</v>
      </c>
      <c r="C132" s="127">
        <v>17.0</v>
      </c>
      <c r="D132" s="127" t="s">
        <v>447</v>
      </c>
      <c r="E132" s="127">
        <v>9.201499006E9</v>
      </c>
      <c r="F132" s="127" t="s">
        <v>1588</v>
      </c>
      <c r="G132" s="127" t="s">
        <v>139</v>
      </c>
      <c r="H132" s="127" t="s">
        <v>1754</v>
      </c>
      <c r="I132" s="126"/>
      <c r="J132" s="126"/>
      <c r="K132" s="126"/>
      <c r="L132" s="126"/>
      <c r="M132" s="126"/>
      <c r="N132" s="126"/>
      <c r="O132" s="126"/>
      <c r="P132" s="126"/>
      <c r="Q132" s="126"/>
      <c r="R132" s="126"/>
      <c r="S132" s="126"/>
      <c r="T132" s="126"/>
      <c r="U132" s="126"/>
      <c r="V132" s="126"/>
      <c r="W132" s="126"/>
      <c r="X132" s="126"/>
      <c r="Y132" s="126"/>
      <c r="Z132" s="126"/>
    </row>
    <row r="133">
      <c r="A133" s="127" t="s">
        <v>140</v>
      </c>
      <c r="B133" s="127">
        <v>132.0</v>
      </c>
      <c r="C133" s="127">
        <v>20.0</v>
      </c>
      <c r="D133" s="127" t="s">
        <v>447</v>
      </c>
      <c r="E133" s="127">
        <v>7.723013016E9</v>
      </c>
      <c r="F133" s="127" t="s">
        <v>1588</v>
      </c>
      <c r="G133" s="127" t="s">
        <v>899</v>
      </c>
      <c r="H133" s="127" t="s">
        <v>1755</v>
      </c>
      <c r="I133" s="126"/>
      <c r="J133" s="126"/>
      <c r="K133" s="126"/>
      <c r="L133" s="126"/>
      <c r="M133" s="126"/>
      <c r="N133" s="126"/>
      <c r="O133" s="126"/>
      <c r="P133" s="126"/>
      <c r="Q133" s="126"/>
      <c r="R133" s="126"/>
      <c r="S133" s="126"/>
      <c r="T133" s="126"/>
      <c r="U133" s="126"/>
      <c r="V133" s="126"/>
      <c r="W133" s="126"/>
      <c r="X133" s="126"/>
      <c r="Y133" s="126"/>
      <c r="Z133" s="126"/>
    </row>
    <row r="134">
      <c r="A134" s="127" t="s">
        <v>141</v>
      </c>
      <c r="B134" s="127">
        <v>133.0</v>
      </c>
      <c r="C134" s="127">
        <v>24.0</v>
      </c>
      <c r="D134" s="127"/>
      <c r="E134" s="127">
        <v>6.362178053E9</v>
      </c>
      <c r="F134" s="127" t="s">
        <v>1592</v>
      </c>
      <c r="G134" s="127"/>
      <c r="H134" s="127" t="s">
        <v>1756</v>
      </c>
      <c r="I134" s="126"/>
      <c r="J134" s="126"/>
      <c r="K134" s="126"/>
      <c r="L134" s="126"/>
      <c r="M134" s="126"/>
      <c r="N134" s="126"/>
      <c r="O134" s="126"/>
      <c r="P134" s="126"/>
      <c r="Q134" s="126"/>
      <c r="R134" s="126"/>
      <c r="S134" s="126"/>
      <c r="T134" s="126"/>
      <c r="U134" s="126"/>
      <c r="V134" s="126"/>
      <c r="W134" s="126"/>
      <c r="X134" s="126"/>
      <c r="Y134" s="126"/>
      <c r="Z134" s="126"/>
    </row>
    <row r="135">
      <c r="A135" s="127" t="s">
        <v>903</v>
      </c>
      <c r="B135" s="127">
        <v>134.0</v>
      </c>
      <c r="C135" s="127">
        <v>18.0</v>
      </c>
      <c r="D135" s="127" t="s">
        <v>447</v>
      </c>
      <c r="E135" s="127">
        <v>7.587676779E9</v>
      </c>
      <c r="F135" s="127" t="s">
        <v>1588</v>
      </c>
      <c r="G135" s="127" t="s">
        <v>903</v>
      </c>
      <c r="H135" s="127" t="s">
        <v>1757</v>
      </c>
      <c r="I135" s="126"/>
      <c r="J135" s="126"/>
      <c r="K135" s="126"/>
      <c r="L135" s="126"/>
      <c r="M135" s="126"/>
      <c r="N135" s="126"/>
      <c r="O135" s="126"/>
      <c r="P135" s="126"/>
      <c r="Q135" s="126"/>
      <c r="R135" s="126"/>
      <c r="S135" s="126"/>
      <c r="T135" s="126"/>
      <c r="U135" s="126"/>
      <c r="V135" s="126"/>
      <c r="W135" s="126"/>
      <c r="X135" s="126"/>
      <c r="Y135" s="126"/>
      <c r="Z135" s="126"/>
    </row>
    <row r="136">
      <c r="A136" s="127" t="s">
        <v>143</v>
      </c>
      <c r="B136" s="127">
        <v>135.0</v>
      </c>
      <c r="C136" s="127">
        <v>18.0</v>
      </c>
      <c r="D136" s="127" t="s">
        <v>447</v>
      </c>
      <c r="E136" s="127">
        <v>8.169770863E9</v>
      </c>
      <c r="F136" s="127" t="s">
        <v>1588</v>
      </c>
      <c r="G136" s="127" t="s">
        <v>446</v>
      </c>
      <c r="H136" s="127" t="s">
        <v>1758</v>
      </c>
      <c r="I136" s="126"/>
      <c r="J136" s="126"/>
      <c r="K136" s="126"/>
      <c r="L136" s="126"/>
      <c r="M136" s="126"/>
      <c r="N136" s="126"/>
      <c r="O136" s="126"/>
      <c r="P136" s="126"/>
      <c r="Q136" s="126"/>
      <c r="R136" s="126"/>
      <c r="S136" s="126"/>
      <c r="T136" s="126"/>
      <c r="U136" s="126"/>
      <c r="V136" s="126"/>
      <c r="W136" s="126"/>
      <c r="X136" s="126"/>
      <c r="Y136" s="126"/>
      <c r="Z136" s="126"/>
    </row>
    <row r="137">
      <c r="A137" s="127" t="s">
        <v>1759</v>
      </c>
      <c r="B137" s="127">
        <v>136.0</v>
      </c>
      <c r="C137" s="127">
        <v>25.0</v>
      </c>
      <c r="D137" s="127"/>
      <c r="E137" s="127">
        <v>7.229078357E9</v>
      </c>
      <c r="F137" s="127" t="s">
        <v>1592</v>
      </c>
      <c r="G137" s="127"/>
      <c r="H137" s="127" t="s">
        <v>1760</v>
      </c>
      <c r="I137" s="126"/>
      <c r="J137" s="126"/>
      <c r="K137" s="126"/>
      <c r="L137" s="126"/>
      <c r="M137" s="126"/>
      <c r="N137" s="126"/>
      <c r="O137" s="126"/>
      <c r="P137" s="126"/>
      <c r="Q137" s="126"/>
      <c r="R137" s="126"/>
      <c r="S137" s="126"/>
      <c r="T137" s="126"/>
      <c r="U137" s="126"/>
      <c r="V137" s="126"/>
      <c r="W137" s="126"/>
      <c r="X137" s="126"/>
      <c r="Y137" s="126"/>
      <c r="Z137" s="126"/>
    </row>
    <row r="138">
      <c r="A138" s="127" t="s">
        <v>145</v>
      </c>
      <c r="B138" s="127">
        <v>137.0</v>
      </c>
      <c r="C138" s="127">
        <v>24.0</v>
      </c>
      <c r="D138" s="127" t="s">
        <v>458</v>
      </c>
      <c r="E138" s="127">
        <v>7.378628919E9</v>
      </c>
      <c r="F138" s="127" t="s">
        <v>1588</v>
      </c>
      <c r="G138" s="127" t="s">
        <v>145</v>
      </c>
      <c r="H138" s="127" t="s">
        <v>1761</v>
      </c>
      <c r="I138" s="126"/>
      <c r="J138" s="126"/>
      <c r="K138" s="126"/>
      <c r="L138" s="126"/>
      <c r="M138" s="126"/>
      <c r="N138" s="126"/>
      <c r="O138" s="126"/>
      <c r="P138" s="126"/>
      <c r="Q138" s="126"/>
      <c r="R138" s="126"/>
      <c r="S138" s="126"/>
      <c r="T138" s="126"/>
      <c r="U138" s="126"/>
      <c r="V138" s="126"/>
      <c r="W138" s="126"/>
      <c r="X138" s="126"/>
      <c r="Y138" s="126"/>
      <c r="Z138" s="126"/>
    </row>
    <row r="139">
      <c r="A139" s="127" t="s">
        <v>1762</v>
      </c>
      <c r="B139" s="127">
        <v>138.0</v>
      </c>
      <c r="C139" s="127"/>
      <c r="D139" s="127"/>
      <c r="E139" s="127">
        <v>9.945530782E9</v>
      </c>
      <c r="F139" s="127" t="s">
        <v>1592</v>
      </c>
      <c r="G139" s="127"/>
      <c r="H139" s="127" t="s">
        <v>1763</v>
      </c>
      <c r="I139" s="126"/>
      <c r="J139" s="126"/>
      <c r="K139" s="126"/>
      <c r="L139" s="126"/>
      <c r="M139" s="126"/>
      <c r="N139" s="126"/>
      <c r="O139" s="126"/>
      <c r="P139" s="126"/>
      <c r="Q139" s="126"/>
      <c r="R139" s="126"/>
      <c r="S139" s="126"/>
      <c r="T139" s="126"/>
      <c r="U139" s="126"/>
      <c r="V139" s="126"/>
      <c r="W139" s="126"/>
      <c r="X139" s="126"/>
      <c r="Y139" s="126"/>
      <c r="Z139" s="126"/>
    </row>
    <row r="140">
      <c r="A140" s="127" t="s">
        <v>147</v>
      </c>
      <c r="B140" s="127">
        <v>139.0</v>
      </c>
      <c r="C140" s="127">
        <v>23.0</v>
      </c>
      <c r="D140" s="127" t="s">
        <v>441</v>
      </c>
      <c r="E140" s="127">
        <v>9.890207967E9</v>
      </c>
      <c r="F140" s="127" t="s">
        <v>1588</v>
      </c>
      <c r="G140" s="127" t="s">
        <v>147</v>
      </c>
      <c r="H140" s="127" t="s">
        <v>1764</v>
      </c>
      <c r="I140" s="126"/>
      <c r="J140" s="126"/>
      <c r="K140" s="126"/>
      <c r="L140" s="126"/>
      <c r="M140" s="126"/>
      <c r="N140" s="126"/>
      <c r="O140" s="126"/>
      <c r="P140" s="126"/>
      <c r="Q140" s="126"/>
      <c r="R140" s="126"/>
      <c r="S140" s="126"/>
      <c r="T140" s="126"/>
      <c r="U140" s="126"/>
      <c r="V140" s="126"/>
      <c r="W140" s="126"/>
      <c r="X140" s="126"/>
      <c r="Y140" s="126"/>
      <c r="Z140" s="126"/>
    </row>
    <row r="141">
      <c r="A141" s="127" t="s">
        <v>148</v>
      </c>
      <c r="B141" s="127">
        <v>140.0</v>
      </c>
      <c r="C141" s="127">
        <v>19.0</v>
      </c>
      <c r="D141" s="127" t="s">
        <v>487</v>
      </c>
      <c r="E141" s="127">
        <v>9.821536677E9</v>
      </c>
      <c r="F141" s="127" t="s">
        <v>1588</v>
      </c>
      <c r="G141" s="127" t="s">
        <v>148</v>
      </c>
      <c r="H141" s="127" t="s">
        <v>1765</v>
      </c>
      <c r="I141" s="126"/>
      <c r="J141" s="126"/>
      <c r="K141" s="126"/>
      <c r="L141" s="126"/>
      <c r="M141" s="126"/>
      <c r="N141" s="126"/>
      <c r="O141" s="126"/>
      <c r="P141" s="126"/>
      <c r="Q141" s="126"/>
      <c r="R141" s="126"/>
      <c r="S141" s="126"/>
      <c r="T141" s="126"/>
      <c r="U141" s="126"/>
      <c r="V141" s="126"/>
      <c r="W141" s="126"/>
      <c r="X141" s="126"/>
      <c r="Y141" s="126"/>
      <c r="Z141" s="126"/>
    </row>
    <row r="142">
      <c r="A142" s="127" t="s">
        <v>149</v>
      </c>
      <c r="B142" s="127">
        <v>141.0</v>
      </c>
      <c r="C142" s="127">
        <v>20.0</v>
      </c>
      <c r="D142" s="127" t="s">
        <v>447</v>
      </c>
      <c r="E142" s="127">
        <v>7.021933066E9</v>
      </c>
      <c r="F142" s="127" t="s">
        <v>1588</v>
      </c>
      <c r="G142" s="127" t="s">
        <v>919</v>
      </c>
      <c r="H142" s="127" t="s">
        <v>1766</v>
      </c>
      <c r="I142" s="126"/>
      <c r="J142" s="126"/>
      <c r="K142" s="126"/>
      <c r="L142" s="126"/>
      <c r="M142" s="126"/>
      <c r="N142" s="126"/>
      <c r="O142" s="126"/>
      <c r="P142" s="126"/>
      <c r="Q142" s="126"/>
      <c r="R142" s="126"/>
      <c r="S142" s="126"/>
      <c r="T142" s="126"/>
      <c r="U142" s="126"/>
      <c r="V142" s="126"/>
      <c r="W142" s="126"/>
      <c r="X142" s="126"/>
      <c r="Y142" s="126"/>
      <c r="Z142" s="126"/>
    </row>
    <row r="143">
      <c r="A143" s="127" t="s">
        <v>150</v>
      </c>
      <c r="B143" s="127">
        <v>142.0</v>
      </c>
      <c r="C143" s="127">
        <v>16.0</v>
      </c>
      <c r="D143" s="127" t="s">
        <v>487</v>
      </c>
      <c r="E143" s="127">
        <v>9.426143556E9</v>
      </c>
      <c r="F143" s="127" t="s">
        <v>1588</v>
      </c>
      <c r="G143" s="127" t="s">
        <v>150</v>
      </c>
      <c r="H143" s="127" t="s">
        <v>1767</v>
      </c>
      <c r="I143" s="126"/>
      <c r="J143" s="126"/>
      <c r="K143" s="126"/>
      <c r="L143" s="126"/>
      <c r="M143" s="126"/>
      <c r="N143" s="126"/>
      <c r="O143" s="126"/>
      <c r="P143" s="126"/>
      <c r="Q143" s="126"/>
      <c r="R143" s="126"/>
      <c r="S143" s="126"/>
      <c r="T143" s="126"/>
      <c r="U143" s="126"/>
      <c r="V143" s="126"/>
      <c r="W143" s="126"/>
      <c r="X143" s="126"/>
      <c r="Y143" s="126"/>
      <c r="Z143" s="126"/>
    </row>
    <row r="144">
      <c r="A144" s="127" t="s">
        <v>1768</v>
      </c>
      <c r="B144" s="127">
        <v>143.0</v>
      </c>
      <c r="C144" s="127">
        <v>20.0</v>
      </c>
      <c r="D144" s="127" t="s">
        <v>447</v>
      </c>
      <c r="E144" s="127">
        <v>8.275708867E9</v>
      </c>
      <c r="F144" s="127" t="s">
        <v>1588</v>
      </c>
      <c r="G144" s="127" t="s">
        <v>1768</v>
      </c>
      <c r="H144" s="127" t="s">
        <v>1769</v>
      </c>
      <c r="I144" s="126"/>
      <c r="J144" s="126"/>
      <c r="K144" s="126"/>
      <c r="L144" s="126"/>
      <c r="M144" s="126"/>
      <c r="N144" s="126"/>
      <c r="O144" s="126"/>
      <c r="P144" s="126"/>
      <c r="Q144" s="126"/>
      <c r="R144" s="126"/>
      <c r="S144" s="126"/>
      <c r="T144" s="126"/>
      <c r="U144" s="126"/>
      <c r="V144" s="126"/>
      <c r="W144" s="126"/>
      <c r="X144" s="126"/>
      <c r="Y144" s="126"/>
      <c r="Z144" s="126"/>
    </row>
    <row r="145">
      <c r="A145" s="127" t="s">
        <v>152</v>
      </c>
      <c r="B145" s="127">
        <v>144.0</v>
      </c>
      <c r="C145" s="127">
        <v>18.0</v>
      </c>
      <c r="D145" s="127" t="s">
        <v>447</v>
      </c>
      <c r="E145" s="127">
        <v>7.972119721E9</v>
      </c>
      <c r="F145" s="127" t="s">
        <v>1588</v>
      </c>
      <c r="G145" s="127" t="s">
        <v>1770</v>
      </c>
      <c r="H145" s="127" t="s">
        <v>1771</v>
      </c>
      <c r="I145" s="126"/>
      <c r="J145" s="126"/>
      <c r="K145" s="126"/>
      <c r="L145" s="126"/>
      <c r="M145" s="126"/>
      <c r="N145" s="126"/>
      <c r="O145" s="126"/>
      <c r="P145" s="126"/>
      <c r="Q145" s="126"/>
      <c r="R145" s="126"/>
      <c r="S145" s="126"/>
      <c r="T145" s="126"/>
      <c r="U145" s="126"/>
      <c r="V145" s="126"/>
      <c r="W145" s="126"/>
      <c r="X145" s="126"/>
      <c r="Y145" s="126"/>
      <c r="Z145" s="126"/>
    </row>
    <row r="146">
      <c r="A146" s="127" t="s">
        <v>153</v>
      </c>
      <c r="B146" s="127">
        <v>145.0</v>
      </c>
      <c r="C146" s="127">
        <v>18.0</v>
      </c>
      <c r="D146" s="127" t="s">
        <v>487</v>
      </c>
      <c r="E146" s="127">
        <v>9.768791435E9</v>
      </c>
      <c r="F146" s="127" t="s">
        <v>1588</v>
      </c>
      <c r="G146" s="127" t="s">
        <v>153</v>
      </c>
      <c r="H146" s="127" t="s">
        <v>1772</v>
      </c>
      <c r="I146" s="126"/>
      <c r="J146" s="126"/>
      <c r="K146" s="126"/>
      <c r="L146" s="126"/>
      <c r="M146" s="126"/>
      <c r="N146" s="126"/>
      <c r="O146" s="126"/>
      <c r="P146" s="126"/>
      <c r="Q146" s="126"/>
      <c r="R146" s="126"/>
      <c r="S146" s="126"/>
      <c r="T146" s="126"/>
      <c r="U146" s="126"/>
      <c r="V146" s="126"/>
      <c r="W146" s="126"/>
      <c r="X146" s="126"/>
      <c r="Y146" s="126"/>
      <c r="Z146" s="126"/>
    </row>
    <row r="147">
      <c r="A147" s="127" t="s">
        <v>1773</v>
      </c>
      <c r="B147" s="127">
        <v>146.0</v>
      </c>
      <c r="C147" s="127">
        <v>34.0</v>
      </c>
      <c r="D147" s="127" t="s">
        <v>441</v>
      </c>
      <c r="E147" s="127">
        <v>9.769211323E9</v>
      </c>
      <c r="F147" s="127" t="s">
        <v>1588</v>
      </c>
      <c r="G147" s="127" t="s">
        <v>1773</v>
      </c>
      <c r="H147" s="127" t="s">
        <v>1774</v>
      </c>
      <c r="I147" s="126"/>
      <c r="J147" s="126"/>
      <c r="K147" s="126"/>
      <c r="L147" s="126"/>
      <c r="M147" s="126"/>
      <c r="N147" s="126"/>
      <c r="O147" s="126"/>
      <c r="P147" s="126"/>
      <c r="Q147" s="126"/>
      <c r="R147" s="126"/>
      <c r="S147" s="126"/>
      <c r="T147" s="126"/>
      <c r="U147" s="126"/>
      <c r="V147" s="126"/>
      <c r="W147" s="126"/>
      <c r="X147" s="126"/>
      <c r="Y147" s="126"/>
      <c r="Z147" s="126"/>
    </row>
    <row r="148">
      <c r="A148" s="127" t="s">
        <v>155</v>
      </c>
      <c r="B148" s="127">
        <v>147.0</v>
      </c>
      <c r="C148" s="127">
        <v>25.0</v>
      </c>
      <c r="D148" s="127" t="s">
        <v>487</v>
      </c>
      <c r="E148" s="127">
        <v>9.425078821E9</v>
      </c>
      <c r="F148" s="127" t="s">
        <v>1588</v>
      </c>
      <c r="G148" s="127" t="s">
        <v>155</v>
      </c>
      <c r="H148" s="127" t="s">
        <v>1775</v>
      </c>
      <c r="I148" s="126"/>
      <c r="J148" s="126"/>
      <c r="K148" s="126"/>
      <c r="L148" s="126"/>
      <c r="M148" s="126"/>
      <c r="N148" s="126"/>
      <c r="O148" s="126"/>
      <c r="P148" s="126"/>
      <c r="Q148" s="126"/>
      <c r="R148" s="126"/>
      <c r="S148" s="126"/>
      <c r="T148" s="126"/>
      <c r="U148" s="126"/>
      <c r="V148" s="126"/>
      <c r="W148" s="126"/>
      <c r="X148" s="126"/>
      <c r="Y148" s="126"/>
      <c r="Z148" s="126"/>
    </row>
    <row r="149">
      <c r="A149" s="127" t="s">
        <v>1776</v>
      </c>
      <c r="B149" s="127">
        <v>148.0</v>
      </c>
      <c r="C149" s="127">
        <v>25.0</v>
      </c>
      <c r="D149" s="127" t="s">
        <v>441</v>
      </c>
      <c r="E149" s="127">
        <v>9.461631046E9</v>
      </c>
      <c r="F149" s="127" t="s">
        <v>1588</v>
      </c>
      <c r="G149" s="127" t="s">
        <v>1776</v>
      </c>
      <c r="H149" s="127" t="s">
        <v>1777</v>
      </c>
      <c r="I149" s="126"/>
      <c r="J149" s="126"/>
      <c r="K149" s="126"/>
      <c r="L149" s="126"/>
      <c r="M149" s="126"/>
      <c r="N149" s="126"/>
      <c r="O149" s="126"/>
      <c r="P149" s="126"/>
      <c r="Q149" s="126"/>
      <c r="R149" s="126"/>
      <c r="S149" s="126"/>
      <c r="T149" s="126"/>
      <c r="U149" s="126"/>
      <c r="V149" s="126"/>
      <c r="W149" s="126"/>
      <c r="X149" s="126"/>
      <c r="Y149" s="126"/>
      <c r="Z149" s="126"/>
    </row>
    <row r="150">
      <c r="A150" s="127" t="s">
        <v>157</v>
      </c>
      <c r="B150" s="127">
        <v>149.0</v>
      </c>
      <c r="C150" s="127"/>
      <c r="D150" s="127"/>
      <c r="E150" s="127">
        <v>9.429920123E9</v>
      </c>
      <c r="F150" s="127" t="s">
        <v>1592</v>
      </c>
      <c r="G150" s="127"/>
      <c r="H150" s="127" t="s">
        <v>1778</v>
      </c>
      <c r="I150" s="126"/>
      <c r="J150" s="126"/>
      <c r="K150" s="126"/>
      <c r="L150" s="126"/>
      <c r="M150" s="126"/>
      <c r="N150" s="126"/>
      <c r="O150" s="126"/>
      <c r="P150" s="126"/>
      <c r="Q150" s="126"/>
      <c r="R150" s="126"/>
      <c r="S150" s="126"/>
      <c r="T150" s="126"/>
      <c r="U150" s="126"/>
      <c r="V150" s="126"/>
      <c r="W150" s="126"/>
      <c r="X150" s="126"/>
      <c r="Y150" s="126"/>
      <c r="Z150" s="126"/>
    </row>
    <row r="151">
      <c r="A151" s="127" t="s">
        <v>158</v>
      </c>
      <c r="B151" s="127">
        <v>150.0</v>
      </c>
      <c r="C151" s="127"/>
      <c r="D151" s="127"/>
      <c r="E151" s="127"/>
      <c r="F151" s="127" t="s">
        <v>1650</v>
      </c>
      <c r="G151" s="127"/>
      <c r="H151" s="127" t="s">
        <v>1779</v>
      </c>
      <c r="I151" s="126"/>
      <c r="J151" s="126"/>
      <c r="K151" s="126"/>
      <c r="L151" s="126"/>
      <c r="M151" s="126"/>
      <c r="N151" s="126"/>
      <c r="O151" s="126"/>
      <c r="P151" s="126"/>
      <c r="Q151" s="126"/>
      <c r="R151" s="126"/>
      <c r="S151" s="126"/>
      <c r="T151" s="126"/>
      <c r="U151" s="126"/>
      <c r="V151" s="126"/>
      <c r="W151" s="126"/>
      <c r="X151" s="126"/>
      <c r="Y151" s="126"/>
      <c r="Z151" s="126"/>
    </row>
    <row r="152">
      <c r="A152" s="127" t="s">
        <v>950</v>
      </c>
      <c r="B152" s="127">
        <v>151.0</v>
      </c>
      <c r="C152" s="127">
        <v>20.0</v>
      </c>
      <c r="D152" s="127" t="s">
        <v>458</v>
      </c>
      <c r="E152" s="127">
        <v>9.329833265E9</v>
      </c>
      <c r="F152" s="127" t="s">
        <v>1588</v>
      </c>
      <c r="G152" s="127" t="s">
        <v>950</v>
      </c>
      <c r="H152" s="127" t="s">
        <v>1780</v>
      </c>
      <c r="I152" s="126"/>
      <c r="J152" s="126"/>
      <c r="K152" s="126"/>
      <c r="L152" s="126"/>
      <c r="M152" s="126"/>
      <c r="N152" s="126"/>
      <c r="O152" s="126"/>
      <c r="P152" s="126"/>
      <c r="Q152" s="126"/>
      <c r="R152" s="126"/>
      <c r="S152" s="126"/>
      <c r="T152" s="126"/>
      <c r="U152" s="126"/>
      <c r="V152" s="126"/>
      <c r="W152" s="126"/>
      <c r="X152" s="126"/>
      <c r="Y152" s="126"/>
      <c r="Z152" s="126"/>
    </row>
    <row r="153">
      <c r="A153" s="127" t="s">
        <v>954</v>
      </c>
      <c r="B153" s="127">
        <v>152.0</v>
      </c>
      <c r="C153" s="127">
        <v>25.0</v>
      </c>
      <c r="D153" s="127" t="s">
        <v>458</v>
      </c>
      <c r="E153" s="127">
        <v>9.360628001E9</v>
      </c>
      <c r="F153" s="127" t="s">
        <v>1588</v>
      </c>
      <c r="G153" s="127" t="s">
        <v>954</v>
      </c>
      <c r="H153" s="127" t="s">
        <v>1781</v>
      </c>
      <c r="I153" s="126"/>
      <c r="J153" s="126"/>
      <c r="K153" s="126"/>
      <c r="L153" s="126"/>
      <c r="M153" s="126"/>
      <c r="N153" s="126"/>
      <c r="O153" s="126"/>
      <c r="P153" s="126"/>
      <c r="Q153" s="126"/>
      <c r="R153" s="126"/>
      <c r="S153" s="126"/>
      <c r="T153" s="126"/>
      <c r="U153" s="126"/>
      <c r="V153" s="126"/>
      <c r="W153" s="126"/>
      <c r="X153" s="126"/>
      <c r="Y153" s="126"/>
      <c r="Z153" s="126"/>
    </row>
    <row r="154">
      <c r="A154" s="127" t="s">
        <v>161</v>
      </c>
      <c r="B154" s="127">
        <v>153.0</v>
      </c>
      <c r="C154" s="127"/>
      <c r="D154" s="127"/>
      <c r="E154" s="127"/>
      <c r="F154" s="127" t="s">
        <v>1650</v>
      </c>
      <c r="G154" s="127"/>
      <c r="H154" s="127" t="s">
        <v>1779</v>
      </c>
      <c r="I154" s="126"/>
      <c r="J154" s="126"/>
      <c r="K154" s="126"/>
      <c r="L154" s="126"/>
      <c r="M154" s="126"/>
      <c r="N154" s="126"/>
      <c r="O154" s="126"/>
      <c r="P154" s="126"/>
      <c r="Q154" s="126"/>
      <c r="R154" s="126"/>
      <c r="S154" s="126"/>
      <c r="T154" s="126"/>
      <c r="U154" s="126"/>
      <c r="V154" s="126"/>
      <c r="W154" s="126"/>
      <c r="X154" s="126"/>
      <c r="Y154" s="126"/>
      <c r="Z154" s="126"/>
    </row>
    <row r="155">
      <c r="A155" s="127" t="s">
        <v>1782</v>
      </c>
      <c r="B155" s="127">
        <v>154.0</v>
      </c>
      <c r="C155" s="127">
        <v>17.0</v>
      </c>
      <c r="D155" s="127" t="s">
        <v>447</v>
      </c>
      <c r="E155" s="127">
        <v>9.424074711E9</v>
      </c>
      <c r="F155" s="127" t="s">
        <v>1588</v>
      </c>
      <c r="G155" s="127" t="s">
        <v>1782</v>
      </c>
      <c r="H155" s="127" t="s">
        <v>1783</v>
      </c>
      <c r="I155" s="126"/>
      <c r="J155" s="126"/>
      <c r="K155" s="126"/>
      <c r="L155" s="126"/>
      <c r="M155" s="126"/>
      <c r="N155" s="126"/>
      <c r="O155" s="126"/>
      <c r="P155" s="126"/>
      <c r="Q155" s="126"/>
      <c r="R155" s="126"/>
      <c r="S155" s="126"/>
      <c r="T155" s="126"/>
      <c r="U155" s="126"/>
      <c r="V155" s="126"/>
      <c r="W155" s="126"/>
      <c r="X155" s="126"/>
      <c r="Y155" s="126"/>
      <c r="Z155" s="126"/>
    </row>
    <row r="156">
      <c r="A156" s="127" t="s">
        <v>163</v>
      </c>
      <c r="B156" s="127">
        <v>155.0</v>
      </c>
      <c r="C156" s="127">
        <v>28.0</v>
      </c>
      <c r="D156" s="127"/>
      <c r="E156" s="127">
        <v>8.286244587E9</v>
      </c>
      <c r="F156" s="127" t="s">
        <v>1592</v>
      </c>
      <c r="G156" s="127"/>
      <c r="H156" s="127" t="s">
        <v>1784</v>
      </c>
      <c r="I156" s="126"/>
      <c r="J156" s="126"/>
      <c r="K156" s="126"/>
      <c r="L156" s="126"/>
      <c r="M156" s="126"/>
      <c r="N156" s="126"/>
      <c r="O156" s="126"/>
      <c r="P156" s="126"/>
      <c r="Q156" s="126"/>
      <c r="R156" s="126"/>
      <c r="S156" s="126"/>
      <c r="T156" s="126"/>
      <c r="U156" s="126"/>
      <c r="V156" s="126"/>
      <c r="W156" s="126"/>
      <c r="X156" s="126"/>
      <c r="Y156" s="126"/>
      <c r="Z156" s="126"/>
    </row>
    <row r="157">
      <c r="A157" s="127" t="s">
        <v>164</v>
      </c>
      <c r="B157" s="127">
        <v>156.0</v>
      </c>
      <c r="C157" s="127">
        <v>33.0</v>
      </c>
      <c r="D157" s="127" t="s">
        <v>487</v>
      </c>
      <c r="E157" s="127">
        <v>9.945645101E9</v>
      </c>
      <c r="F157" s="127" t="s">
        <v>1588</v>
      </c>
      <c r="G157" s="127" t="s">
        <v>164</v>
      </c>
      <c r="H157" s="127" t="s">
        <v>1785</v>
      </c>
      <c r="I157" s="126"/>
      <c r="J157" s="126"/>
      <c r="K157" s="126"/>
      <c r="L157" s="126"/>
      <c r="M157" s="126"/>
      <c r="N157" s="126"/>
      <c r="O157" s="126"/>
      <c r="P157" s="126"/>
      <c r="Q157" s="126"/>
      <c r="R157" s="126"/>
      <c r="S157" s="126"/>
      <c r="T157" s="126"/>
      <c r="U157" s="126"/>
      <c r="V157" s="126"/>
      <c r="W157" s="126"/>
      <c r="X157" s="126"/>
      <c r="Y157" s="126"/>
      <c r="Z157" s="126"/>
    </row>
    <row r="158">
      <c r="A158" s="127" t="s">
        <v>165</v>
      </c>
      <c r="B158" s="127">
        <v>157.0</v>
      </c>
      <c r="C158" s="127">
        <v>17.0</v>
      </c>
      <c r="D158" s="127"/>
      <c r="E158" s="127">
        <v>9.4606688E9</v>
      </c>
      <c r="F158" s="127" t="s">
        <v>1592</v>
      </c>
      <c r="G158" s="127"/>
      <c r="H158" s="127" t="s">
        <v>1786</v>
      </c>
      <c r="I158" s="126"/>
      <c r="J158" s="126"/>
      <c r="K158" s="126"/>
      <c r="L158" s="126"/>
      <c r="M158" s="126"/>
      <c r="N158" s="126"/>
      <c r="O158" s="126"/>
      <c r="P158" s="126"/>
      <c r="Q158" s="126"/>
      <c r="R158" s="126"/>
      <c r="S158" s="126"/>
      <c r="T158" s="126"/>
      <c r="U158" s="126"/>
      <c r="V158" s="126"/>
      <c r="W158" s="126"/>
      <c r="X158" s="126"/>
      <c r="Y158" s="126"/>
      <c r="Z158" s="126"/>
    </row>
    <row r="159">
      <c r="A159" s="127" t="s">
        <v>1787</v>
      </c>
      <c r="B159" s="127">
        <v>158.0</v>
      </c>
      <c r="C159" s="127">
        <v>23.0</v>
      </c>
      <c r="D159" s="127" t="s">
        <v>458</v>
      </c>
      <c r="E159" s="127">
        <v>9.300690969E9</v>
      </c>
      <c r="F159" s="127" t="s">
        <v>1588</v>
      </c>
      <c r="G159" s="127" t="s">
        <v>977</v>
      </c>
      <c r="H159" s="127" t="s">
        <v>1788</v>
      </c>
      <c r="I159" s="126"/>
      <c r="J159" s="126"/>
      <c r="K159" s="126"/>
      <c r="L159" s="126"/>
      <c r="M159" s="126"/>
      <c r="N159" s="126"/>
      <c r="O159" s="126"/>
      <c r="P159" s="126"/>
      <c r="Q159" s="126"/>
      <c r="R159" s="126"/>
      <c r="S159" s="126"/>
      <c r="T159" s="126"/>
      <c r="U159" s="126"/>
      <c r="V159" s="126"/>
      <c r="W159" s="126"/>
      <c r="X159" s="126"/>
      <c r="Y159" s="126"/>
      <c r="Z159" s="126"/>
    </row>
    <row r="160">
      <c r="A160" s="127" t="s">
        <v>167</v>
      </c>
      <c r="B160" s="127">
        <v>159.0</v>
      </c>
      <c r="C160" s="127">
        <v>22.0</v>
      </c>
      <c r="D160" s="127" t="s">
        <v>447</v>
      </c>
      <c r="E160" s="127">
        <v>8.839176432E9</v>
      </c>
      <c r="F160" s="127" t="s">
        <v>1588</v>
      </c>
      <c r="G160" s="127" t="s">
        <v>167</v>
      </c>
      <c r="H160" s="127" t="s">
        <v>1789</v>
      </c>
      <c r="I160" s="126"/>
      <c r="J160" s="126"/>
      <c r="K160" s="126"/>
      <c r="L160" s="126"/>
      <c r="M160" s="126"/>
      <c r="N160" s="126"/>
      <c r="O160" s="126"/>
      <c r="P160" s="126"/>
      <c r="Q160" s="126"/>
      <c r="R160" s="126"/>
      <c r="S160" s="126"/>
      <c r="T160" s="126"/>
      <c r="U160" s="126"/>
      <c r="V160" s="126"/>
      <c r="W160" s="126"/>
      <c r="X160" s="126"/>
      <c r="Y160" s="126"/>
      <c r="Z160" s="126"/>
    </row>
    <row r="161">
      <c r="A161" s="127" t="s">
        <v>985</v>
      </c>
      <c r="B161" s="127">
        <v>160.0</v>
      </c>
      <c r="C161" s="127">
        <v>21.0</v>
      </c>
      <c r="D161" s="127" t="s">
        <v>447</v>
      </c>
      <c r="E161" s="127">
        <v>9.004807254E9</v>
      </c>
      <c r="F161" s="127" t="s">
        <v>1588</v>
      </c>
      <c r="G161" s="127" t="s">
        <v>985</v>
      </c>
      <c r="H161" s="127" t="s">
        <v>1790</v>
      </c>
      <c r="I161" s="126"/>
      <c r="J161" s="126"/>
      <c r="K161" s="126"/>
      <c r="L161" s="126"/>
      <c r="M161" s="126"/>
      <c r="N161" s="126"/>
      <c r="O161" s="126"/>
      <c r="P161" s="126"/>
      <c r="Q161" s="126"/>
      <c r="R161" s="126"/>
      <c r="S161" s="126"/>
      <c r="T161" s="126"/>
      <c r="U161" s="126"/>
      <c r="V161" s="126"/>
      <c r="W161" s="126"/>
      <c r="X161" s="126"/>
      <c r="Y161" s="126"/>
      <c r="Z161" s="126"/>
    </row>
    <row r="162">
      <c r="A162" s="127" t="s">
        <v>169</v>
      </c>
      <c r="B162" s="127">
        <v>161.0</v>
      </c>
      <c r="C162" s="127">
        <v>22.0</v>
      </c>
      <c r="D162" s="127" t="s">
        <v>447</v>
      </c>
      <c r="E162" s="127">
        <v>9.821328552E9</v>
      </c>
      <c r="F162" s="127" t="s">
        <v>1588</v>
      </c>
      <c r="G162" s="127" t="s">
        <v>982</v>
      </c>
      <c r="H162" s="127" t="s">
        <v>1791</v>
      </c>
      <c r="I162" s="126"/>
      <c r="J162" s="126"/>
      <c r="K162" s="126"/>
      <c r="L162" s="126"/>
      <c r="M162" s="126"/>
      <c r="N162" s="126"/>
      <c r="O162" s="126"/>
      <c r="P162" s="126"/>
      <c r="Q162" s="126"/>
      <c r="R162" s="126"/>
      <c r="S162" s="126"/>
      <c r="T162" s="126"/>
      <c r="U162" s="126"/>
      <c r="V162" s="126"/>
      <c r="W162" s="126"/>
      <c r="X162" s="126"/>
      <c r="Y162" s="126"/>
      <c r="Z162" s="126"/>
    </row>
    <row r="163">
      <c r="A163" s="127" t="s">
        <v>380</v>
      </c>
      <c r="B163" s="127">
        <v>162.0</v>
      </c>
      <c r="C163" s="127"/>
      <c r="D163" s="127"/>
      <c r="E163" s="127"/>
      <c r="F163" s="127" t="s">
        <v>1650</v>
      </c>
      <c r="G163" s="127"/>
      <c r="H163" s="127" t="s">
        <v>1792</v>
      </c>
      <c r="I163" s="126"/>
      <c r="J163" s="126"/>
      <c r="K163" s="126"/>
      <c r="L163" s="126"/>
      <c r="M163" s="126"/>
      <c r="N163" s="126"/>
      <c r="O163" s="126"/>
      <c r="P163" s="126"/>
      <c r="Q163" s="126"/>
      <c r="R163" s="126"/>
      <c r="S163" s="126"/>
      <c r="T163" s="126"/>
      <c r="U163" s="126"/>
      <c r="V163" s="126"/>
      <c r="W163" s="126"/>
      <c r="X163" s="126"/>
      <c r="Y163" s="126"/>
      <c r="Z163" s="126"/>
    </row>
    <row r="164">
      <c r="A164" s="127" t="s">
        <v>170</v>
      </c>
      <c r="B164" s="127">
        <v>163.0</v>
      </c>
      <c r="C164" s="127">
        <v>19.0</v>
      </c>
      <c r="D164" s="127"/>
      <c r="E164" s="127">
        <v>9.109826847E9</v>
      </c>
      <c r="F164" s="127" t="s">
        <v>1592</v>
      </c>
      <c r="G164" s="127"/>
      <c r="H164" s="127" t="s">
        <v>1793</v>
      </c>
      <c r="I164" s="126"/>
      <c r="J164" s="126"/>
      <c r="K164" s="126"/>
      <c r="L164" s="126"/>
      <c r="M164" s="126"/>
      <c r="N164" s="126"/>
      <c r="O164" s="126"/>
      <c r="P164" s="126"/>
      <c r="Q164" s="126"/>
      <c r="R164" s="126"/>
      <c r="S164" s="126"/>
      <c r="T164" s="126"/>
      <c r="U164" s="126"/>
      <c r="V164" s="126"/>
      <c r="W164" s="126"/>
      <c r="X164" s="126"/>
      <c r="Y164" s="126"/>
      <c r="Z164" s="126"/>
    </row>
    <row r="165">
      <c r="A165" s="127" t="s">
        <v>1794</v>
      </c>
      <c r="B165" s="127">
        <v>164.0</v>
      </c>
      <c r="C165" s="127">
        <v>20.0</v>
      </c>
      <c r="D165" s="127" t="s">
        <v>487</v>
      </c>
      <c r="E165" s="127">
        <v>8.169747137E9</v>
      </c>
      <c r="F165" s="127" t="s">
        <v>1588</v>
      </c>
      <c r="G165" s="127" t="s">
        <v>1794</v>
      </c>
      <c r="H165" s="127" t="s">
        <v>1795</v>
      </c>
      <c r="I165" s="126"/>
      <c r="J165" s="126"/>
      <c r="K165" s="126"/>
      <c r="L165" s="126"/>
      <c r="M165" s="126"/>
      <c r="N165" s="126"/>
      <c r="O165" s="126"/>
      <c r="P165" s="126"/>
      <c r="Q165" s="126"/>
      <c r="R165" s="126"/>
      <c r="S165" s="126"/>
      <c r="T165" s="126"/>
      <c r="U165" s="126"/>
      <c r="V165" s="126"/>
      <c r="W165" s="126"/>
      <c r="X165" s="126"/>
      <c r="Y165" s="126"/>
      <c r="Z165" s="126"/>
    </row>
    <row r="166">
      <c r="A166" s="127" t="s">
        <v>172</v>
      </c>
      <c r="B166" s="127">
        <v>165.0</v>
      </c>
      <c r="C166" s="127">
        <v>19.0</v>
      </c>
      <c r="D166" s="127" t="s">
        <v>487</v>
      </c>
      <c r="E166" s="127">
        <v>8.003050199E9</v>
      </c>
      <c r="F166" s="127" t="s">
        <v>1588</v>
      </c>
      <c r="G166" s="127" t="s">
        <v>172</v>
      </c>
      <c r="H166" s="127" t="s">
        <v>1796</v>
      </c>
      <c r="I166" s="126"/>
      <c r="J166" s="126"/>
      <c r="K166" s="126"/>
      <c r="L166" s="126"/>
      <c r="M166" s="126"/>
      <c r="N166" s="126"/>
      <c r="O166" s="126"/>
      <c r="P166" s="126"/>
      <c r="Q166" s="126"/>
      <c r="R166" s="126"/>
      <c r="S166" s="126"/>
      <c r="T166" s="126"/>
      <c r="U166" s="126"/>
      <c r="V166" s="126"/>
      <c r="W166" s="126"/>
      <c r="X166" s="126"/>
      <c r="Y166" s="126"/>
      <c r="Z166" s="126"/>
    </row>
    <row r="167">
      <c r="A167" s="127" t="s">
        <v>1797</v>
      </c>
      <c r="B167" s="127">
        <v>166.0</v>
      </c>
      <c r="C167" s="127">
        <v>17.0</v>
      </c>
      <c r="D167" s="127" t="s">
        <v>441</v>
      </c>
      <c r="E167" s="127">
        <v>7.841891155E9</v>
      </c>
      <c r="F167" s="127" t="s">
        <v>1588</v>
      </c>
      <c r="G167" s="127" t="s">
        <v>1797</v>
      </c>
      <c r="H167" s="127" t="s">
        <v>1798</v>
      </c>
      <c r="I167" s="126"/>
      <c r="J167" s="126"/>
      <c r="K167" s="126"/>
      <c r="L167" s="126"/>
      <c r="M167" s="126"/>
      <c r="N167" s="126"/>
      <c r="O167" s="126"/>
      <c r="P167" s="126"/>
      <c r="Q167" s="126"/>
      <c r="R167" s="126"/>
      <c r="S167" s="126"/>
      <c r="T167" s="126"/>
      <c r="U167" s="126"/>
      <c r="V167" s="126"/>
      <c r="W167" s="126"/>
      <c r="X167" s="126"/>
      <c r="Y167" s="126"/>
      <c r="Z167" s="126"/>
    </row>
    <row r="168">
      <c r="A168" s="127" t="s">
        <v>174</v>
      </c>
      <c r="B168" s="127">
        <v>167.0</v>
      </c>
      <c r="C168" s="127">
        <v>21.0</v>
      </c>
      <c r="D168" s="127" t="s">
        <v>458</v>
      </c>
      <c r="E168" s="127">
        <v>9.321486101E9</v>
      </c>
      <c r="F168" s="127" t="s">
        <v>1588</v>
      </c>
      <c r="G168" s="127" t="s">
        <v>1000</v>
      </c>
      <c r="H168" s="127" t="s">
        <v>1799</v>
      </c>
      <c r="I168" s="126"/>
      <c r="J168" s="126"/>
      <c r="K168" s="126"/>
      <c r="L168" s="126"/>
      <c r="M168" s="126"/>
      <c r="N168" s="126"/>
      <c r="O168" s="126"/>
      <c r="P168" s="126"/>
      <c r="Q168" s="126"/>
      <c r="R168" s="126"/>
      <c r="S168" s="126"/>
      <c r="T168" s="126"/>
      <c r="U168" s="126"/>
      <c r="V168" s="126"/>
      <c r="W168" s="126"/>
      <c r="X168" s="126"/>
      <c r="Y168" s="126"/>
      <c r="Z168" s="126"/>
    </row>
    <row r="169">
      <c r="A169" s="127" t="s">
        <v>1800</v>
      </c>
      <c r="B169" s="127">
        <v>168.0</v>
      </c>
      <c r="C169" s="127">
        <v>40.0</v>
      </c>
      <c r="D169" s="127" t="s">
        <v>441</v>
      </c>
      <c r="E169" s="127">
        <v>9.422086292E9</v>
      </c>
      <c r="F169" s="127" t="s">
        <v>1588</v>
      </c>
      <c r="G169" s="127" t="s">
        <v>1004</v>
      </c>
      <c r="H169" s="127" t="s">
        <v>1801</v>
      </c>
      <c r="I169" s="126"/>
      <c r="J169" s="126"/>
      <c r="K169" s="126"/>
      <c r="L169" s="126"/>
      <c r="M169" s="126"/>
      <c r="N169" s="126"/>
      <c r="O169" s="126"/>
      <c r="P169" s="126"/>
      <c r="Q169" s="126"/>
      <c r="R169" s="126"/>
      <c r="S169" s="126"/>
      <c r="T169" s="126"/>
      <c r="U169" s="126"/>
      <c r="V169" s="126"/>
      <c r="W169" s="126"/>
      <c r="X169" s="126"/>
      <c r="Y169" s="126"/>
      <c r="Z169" s="126"/>
    </row>
    <row r="170">
      <c r="A170" s="127" t="s">
        <v>176</v>
      </c>
      <c r="B170" s="127">
        <v>169.0</v>
      </c>
      <c r="C170" s="127">
        <v>33.0</v>
      </c>
      <c r="D170" s="127" t="s">
        <v>458</v>
      </c>
      <c r="E170" s="127">
        <v>9.886098123E9</v>
      </c>
      <c r="F170" s="127" t="s">
        <v>1588</v>
      </c>
      <c r="G170" s="127" t="s">
        <v>176</v>
      </c>
      <c r="H170" s="127" t="s">
        <v>1802</v>
      </c>
      <c r="I170" s="126"/>
      <c r="J170" s="126"/>
      <c r="K170" s="126"/>
      <c r="L170" s="126"/>
      <c r="M170" s="126"/>
      <c r="N170" s="126"/>
      <c r="O170" s="126"/>
      <c r="P170" s="126"/>
      <c r="Q170" s="126"/>
      <c r="R170" s="126"/>
      <c r="S170" s="126"/>
      <c r="T170" s="126"/>
      <c r="U170" s="126"/>
      <c r="V170" s="126"/>
      <c r="W170" s="126"/>
      <c r="X170" s="126"/>
      <c r="Y170" s="126"/>
      <c r="Z170" s="126"/>
    </row>
    <row r="171">
      <c r="A171" s="127" t="s">
        <v>177</v>
      </c>
      <c r="B171" s="127">
        <v>170.0</v>
      </c>
      <c r="C171" s="127">
        <v>24.0</v>
      </c>
      <c r="D171" s="127" t="s">
        <v>487</v>
      </c>
      <c r="E171" s="127">
        <v>9.982934658E9</v>
      </c>
      <c r="F171" s="127" t="s">
        <v>1588</v>
      </c>
      <c r="G171" s="127" t="s">
        <v>177</v>
      </c>
      <c r="H171" s="127" t="s">
        <v>1803</v>
      </c>
      <c r="I171" s="126"/>
      <c r="J171" s="126"/>
      <c r="K171" s="126"/>
      <c r="L171" s="126"/>
      <c r="M171" s="126"/>
      <c r="N171" s="126"/>
      <c r="O171" s="126"/>
      <c r="P171" s="126"/>
      <c r="Q171" s="126"/>
      <c r="R171" s="126"/>
      <c r="S171" s="126"/>
      <c r="T171" s="126"/>
      <c r="U171" s="126"/>
      <c r="V171" s="126"/>
      <c r="W171" s="126"/>
      <c r="X171" s="126"/>
      <c r="Y171" s="126"/>
      <c r="Z171" s="126"/>
    </row>
    <row r="172">
      <c r="A172" s="127" t="s">
        <v>178</v>
      </c>
      <c r="B172" s="127">
        <v>171.0</v>
      </c>
      <c r="C172" s="127">
        <v>18.0</v>
      </c>
      <c r="D172" s="127"/>
      <c r="E172" s="127">
        <v>7.887796678E9</v>
      </c>
      <c r="F172" s="127" t="s">
        <v>1592</v>
      </c>
      <c r="G172" s="127"/>
      <c r="H172" s="127" t="s">
        <v>1804</v>
      </c>
      <c r="I172" s="126"/>
      <c r="J172" s="126"/>
      <c r="K172" s="126"/>
      <c r="L172" s="126"/>
      <c r="M172" s="126"/>
      <c r="N172" s="126"/>
      <c r="O172" s="126"/>
      <c r="P172" s="126"/>
      <c r="Q172" s="126"/>
      <c r="R172" s="126"/>
      <c r="S172" s="126"/>
      <c r="T172" s="126"/>
      <c r="U172" s="126"/>
      <c r="V172" s="126"/>
      <c r="W172" s="126"/>
      <c r="X172" s="126"/>
      <c r="Y172" s="126"/>
      <c r="Z172" s="126"/>
    </row>
    <row r="173">
      <c r="A173" s="127" t="s">
        <v>179</v>
      </c>
      <c r="B173" s="127">
        <v>172.0</v>
      </c>
      <c r="C173" s="127">
        <v>15.0</v>
      </c>
      <c r="D173" s="127" t="s">
        <v>458</v>
      </c>
      <c r="E173" s="127">
        <v>9.770435122E9</v>
      </c>
      <c r="F173" s="127" t="s">
        <v>1588</v>
      </c>
      <c r="G173" s="127" t="s">
        <v>179</v>
      </c>
      <c r="H173" s="127" t="s">
        <v>1805</v>
      </c>
      <c r="I173" s="126"/>
      <c r="J173" s="126"/>
      <c r="K173" s="126"/>
      <c r="L173" s="126"/>
      <c r="M173" s="126"/>
      <c r="N173" s="126"/>
      <c r="O173" s="126"/>
      <c r="P173" s="126"/>
      <c r="Q173" s="126"/>
      <c r="R173" s="126"/>
      <c r="S173" s="126"/>
      <c r="T173" s="126"/>
      <c r="U173" s="126"/>
      <c r="V173" s="126"/>
      <c r="W173" s="126"/>
      <c r="X173" s="126"/>
      <c r="Y173" s="126"/>
      <c r="Z173" s="126"/>
    </row>
    <row r="174">
      <c r="A174" s="127" t="s">
        <v>1806</v>
      </c>
      <c r="B174" s="127">
        <v>173.0</v>
      </c>
      <c r="C174" s="127">
        <v>17.0</v>
      </c>
      <c r="D174" s="127" t="s">
        <v>487</v>
      </c>
      <c r="E174" s="127">
        <v>9.993786642E9</v>
      </c>
      <c r="F174" s="127" t="s">
        <v>1588</v>
      </c>
      <c r="G174" s="127" t="s">
        <v>1806</v>
      </c>
      <c r="H174" s="127" t="s">
        <v>1807</v>
      </c>
      <c r="I174" s="126"/>
      <c r="J174" s="126"/>
      <c r="K174" s="126"/>
      <c r="L174" s="126"/>
      <c r="M174" s="126"/>
      <c r="N174" s="126"/>
      <c r="O174" s="126"/>
      <c r="P174" s="126"/>
      <c r="Q174" s="126"/>
      <c r="R174" s="126"/>
      <c r="S174" s="126"/>
      <c r="T174" s="126"/>
      <c r="U174" s="126"/>
      <c r="V174" s="126"/>
      <c r="W174" s="126"/>
      <c r="X174" s="126"/>
      <c r="Y174" s="126"/>
      <c r="Z174" s="126"/>
    </row>
    <row r="175">
      <c r="A175" s="127" t="s">
        <v>181</v>
      </c>
      <c r="B175" s="127">
        <v>174.0</v>
      </c>
      <c r="C175" s="127">
        <v>24.0</v>
      </c>
      <c r="D175" s="127" t="s">
        <v>441</v>
      </c>
      <c r="E175" s="127">
        <v>9.167799536E9</v>
      </c>
      <c r="F175" s="127" t="s">
        <v>1588</v>
      </c>
      <c r="G175" s="127" t="s">
        <v>181</v>
      </c>
      <c r="H175" s="127" t="s">
        <v>1808</v>
      </c>
      <c r="I175" s="126"/>
      <c r="J175" s="126"/>
      <c r="K175" s="126"/>
      <c r="L175" s="126"/>
      <c r="M175" s="126"/>
      <c r="N175" s="126"/>
      <c r="O175" s="126"/>
      <c r="P175" s="126"/>
      <c r="Q175" s="126"/>
      <c r="R175" s="126"/>
      <c r="S175" s="126"/>
      <c r="T175" s="126"/>
      <c r="U175" s="126"/>
      <c r="V175" s="126"/>
      <c r="W175" s="126"/>
      <c r="X175" s="126"/>
      <c r="Y175" s="126"/>
      <c r="Z175" s="126"/>
    </row>
    <row r="176">
      <c r="A176" s="127" t="s">
        <v>182</v>
      </c>
      <c r="B176" s="127">
        <v>175.0</v>
      </c>
      <c r="C176" s="127">
        <v>24.0</v>
      </c>
      <c r="D176" s="127"/>
      <c r="E176" s="127">
        <v>7.423036666E9</v>
      </c>
      <c r="F176" s="127" t="s">
        <v>1592</v>
      </c>
      <c r="G176" s="127"/>
      <c r="H176" s="127" t="s">
        <v>1809</v>
      </c>
      <c r="I176" s="126"/>
      <c r="J176" s="126"/>
      <c r="K176" s="126"/>
      <c r="L176" s="126"/>
      <c r="M176" s="126"/>
      <c r="N176" s="126"/>
      <c r="O176" s="126"/>
      <c r="P176" s="126"/>
      <c r="Q176" s="126"/>
      <c r="R176" s="126"/>
      <c r="S176" s="126"/>
      <c r="T176" s="126"/>
      <c r="U176" s="126"/>
      <c r="V176" s="126"/>
      <c r="W176" s="126"/>
      <c r="X176" s="126"/>
      <c r="Y176" s="126"/>
      <c r="Z176" s="126"/>
    </row>
    <row r="177">
      <c r="A177" s="127" t="s">
        <v>183</v>
      </c>
      <c r="B177" s="127">
        <v>176.0</v>
      </c>
      <c r="C177" s="127">
        <v>33.0</v>
      </c>
      <c r="D177" s="127" t="s">
        <v>458</v>
      </c>
      <c r="E177" s="127">
        <v>9.098122722E9</v>
      </c>
      <c r="F177" s="127" t="s">
        <v>1588</v>
      </c>
      <c r="G177" s="127" t="s">
        <v>183</v>
      </c>
      <c r="H177" s="127" t="s">
        <v>1810</v>
      </c>
      <c r="I177" s="126"/>
      <c r="J177" s="126"/>
      <c r="K177" s="126"/>
      <c r="L177" s="126"/>
      <c r="M177" s="126"/>
      <c r="N177" s="126"/>
      <c r="O177" s="126"/>
      <c r="P177" s="126"/>
      <c r="Q177" s="126"/>
      <c r="R177" s="126"/>
      <c r="S177" s="126"/>
      <c r="T177" s="126"/>
      <c r="U177" s="126"/>
      <c r="V177" s="126"/>
      <c r="W177" s="126"/>
      <c r="X177" s="126"/>
      <c r="Y177" s="126"/>
      <c r="Z177" s="126"/>
    </row>
    <row r="178">
      <c r="A178" s="127" t="s">
        <v>184</v>
      </c>
      <c r="B178" s="127">
        <v>177.0</v>
      </c>
      <c r="C178" s="127">
        <v>21.0</v>
      </c>
      <c r="D178" s="127" t="s">
        <v>458</v>
      </c>
      <c r="E178" s="127">
        <v>9.535609505E9</v>
      </c>
      <c r="F178" s="127" t="s">
        <v>1588</v>
      </c>
      <c r="G178" s="127" t="s">
        <v>184</v>
      </c>
      <c r="H178" s="127" t="s">
        <v>1811</v>
      </c>
      <c r="I178" s="126"/>
      <c r="J178" s="126"/>
      <c r="K178" s="126"/>
      <c r="L178" s="126"/>
      <c r="M178" s="126"/>
      <c r="N178" s="126"/>
      <c r="O178" s="126"/>
      <c r="P178" s="126"/>
      <c r="Q178" s="126"/>
      <c r="R178" s="126"/>
      <c r="S178" s="126"/>
      <c r="T178" s="126"/>
      <c r="U178" s="126"/>
      <c r="V178" s="126"/>
      <c r="W178" s="126"/>
      <c r="X178" s="126"/>
      <c r="Y178" s="126"/>
      <c r="Z178" s="126"/>
    </row>
    <row r="179">
      <c r="A179" s="127" t="s">
        <v>185</v>
      </c>
      <c r="B179" s="127">
        <v>178.0</v>
      </c>
      <c r="C179" s="127">
        <v>22.0</v>
      </c>
      <c r="D179" s="127" t="s">
        <v>458</v>
      </c>
      <c r="E179" s="127">
        <v>9.88142752E9</v>
      </c>
      <c r="F179" s="127" t="s">
        <v>1588</v>
      </c>
      <c r="G179" s="127" t="s">
        <v>185</v>
      </c>
      <c r="H179" s="127" t="s">
        <v>1812</v>
      </c>
      <c r="I179" s="126"/>
      <c r="J179" s="126"/>
      <c r="K179" s="126"/>
      <c r="L179" s="126"/>
      <c r="M179" s="126"/>
      <c r="N179" s="126"/>
      <c r="O179" s="126"/>
      <c r="P179" s="126"/>
      <c r="Q179" s="126"/>
      <c r="R179" s="126"/>
      <c r="S179" s="126"/>
      <c r="T179" s="126"/>
      <c r="U179" s="126"/>
      <c r="V179" s="126"/>
      <c r="W179" s="126"/>
      <c r="X179" s="126"/>
      <c r="Y179" s="126"/>
      <c r="Z179" s="126"/>
    </row>
    <row r="180">
      <c r="A180" s="127" t="s">
        <v>1813</v>
      </c>
      <c r="B180" s="127">
        <v>179.0</v>
      </c>
      <c r="C180" s="127">
        <v>19.0</v>
      </c>
      <c r="D180" s="127" t="s">
        <v>441</v>
      </c>
      <c r="E180" s="127">
        <v>9.869942158E9</v>
      </c>
      <c r="F180" s="127" t="s">
        <v>1588</v>
      </c>
      <c r="G180" s="127" t="s">
        <v>1813</v>
      </c>
      <c r="H180" s="127" t="s">
        <v>1814</v>
      </c>
      <c r="I180" s="126"/>
      <c r="J180" s="126"/>
      <c r="K180" s="126"/>
      <c r="L180" s="126"/>
      <c r="M180" s="126"/>
      <c r="N180" s="126"/>
      <c r="O180" s="126"/>
      <c r="P180" s="126"/>
      <c r="Q180" s="126"/>
      <c r="R180" s="126"/>
      <c r="S180" s="126"/>
      <c r="T180" s="126"/>
      <c r="U180" s="126"/>
      <c r="V180" s="126"/>
      <c r="W180" s="126"/>
      <c r="X180" s="126"/>
      <c r="Y180" s="126"/>
      <c r="Z180" s="126"/>
    </row>
    <row r="181">
      <c r="A181" s="127" t="s">
        <v>187</v>
      </c>
      <c r="B181" s="127">
        <v>180.0</v>
      </c>
      <c r="C181" s="127"/>
      <c r="D181" s="127"/>
      <c r="E181" s="127">
        <v>9.009040175E9</v>
      </c>
      <c r="F181" s="127" t="s">
        <v>1592</v>
      </c>
      <c r="G181" s="127"/>
      <c r="H181" s="127" t="s">
        <v>1815</v>
      </c>
      <c r="I181" s="126"/>
      <c r="J181" s="126"/>
      <c r="K181" s="126"/>
      <c r="L181" s="126"/>
      <c r="M181" s="126"/>
      <c r="N181" s="126"/>
      <c r="O181" s="126"/>
      <c r="P181" s="126"/>
      <c r="Q181" s="126"/>
      <c r="R181" s="126"/>
      <c r="S181" s="126"/>
      <c r="T181" s="126"/>
      <c r="U181" s="126"/>
      <c r="V181" s="126"/>
      <c r="W181" s="126"/>
      <c r="X181" s="126"/>
      <c r="Y181" s="126"/>
      <c r="Z181" s="126"/>
    </row>
    <row r="182">
      <c r="A182" s="127" t="s">
        <v>188</v>
      </c>
      <c r="B182" s="127">
        <v>181.0</v>
      </c>
      <c r="C182" s="127">
        <v>30.0</v>
      </c>
      <c r="D182" s="127"/>
      <c r="E182" s="127">
        <v>9.172296681E9</v>
      </c>
      <c r="F182" s="127" t="s">
        <v>1592</v>
      </c>
      <c r="G182" s="127"/>
      <c r="H182" s="127" t="s">
        <v>1816</v>
      </c>
      <c r="I182" s="126"/>
      <c r="J182" s="126"/>
      <c r="K182" s="126"/>
      <c r="L182" s="126"/>
      <c r="M182" s="126"/>
      <c r="N182" s="126"/>
      <c r="O182" s="126"/>
      <c r="P182" s="126"/>
      <c r="Q182" s="126"/>
      <c r="R182" s="126"/>
      <c r="S182" s="126"/>
      <c r="T182" s="126"/>
      <c r="U182" s="126"/>
      <c r="V182" s="126"/>
      <c r="W182" s="126"/>
      <c r="X182" s="126"/>
      <c r="Y182" s="126"/>
      <c r="Z182" s="126"/>
    </row>
    <row r="183">
      <c r="A183" s="127" t="s">
        <v>1817</v>
      </c>
      <c r="B183" s="127">
        <v>182.0</v>
      </c>
      <c r="C183" s="127">
        <v>20.0</v>
      </c>
      <c r="D183" s="127" t="s">
        <v>458</v>
      </c>
      <c r="E183" s="127">
        <v>9.420782349E9</v>
      </c>
      <c r="F183" s="127" t="s">
        <v>1588</v>
      </c>
      <c r="G183" s="127" t="s">
        <v>1817</v>
      </c>
      <c r="H183" s="127" t="s">
        <v>1818</v>
      </c>
      <c r="I183" s="126"/>
      <c r="J183" s="126"/>
      <c r="K183" s="126"/>
      <c r="L183" s="126"/>
      <c r="M183" s="126"/>
      <c r="N183" s="126"/>
      <c r="O183" s="126"/>
      <c r="P183" s="126"/>
      <c r="Q183" s="126"/>
      <c r="R183" s="126"/>
      <c r="S183" s="126"/>
      <c r="T183" s="126"/>
      <c r="U183" s="126"/>
      <c r="V183" s="126"/>
      <c r="W183" s="126"/>
      <c r="X183" s="126"/>
      <c r="Y183" s="126"/>
      <c r="Z183" s="126"/>
    </row>
    <row r="184">
      <c r="A184" s="127" t="s">
        <v>190</v>
      </c>
      <c r="B184" s="127">
        <v>183.0</v>
      </c>
      <c r="C184" s="127">
        <v>35.0</v>
      </c>
      <c r="D184" s="127" t="s">
        <v>604</v>
      </c>
      <c r="E184" s="127">
        <v>9.819001136E9</v>
      </c>
      <c r="F184" s="127" t="s">
        <v>1588</v>
      </c>
      <c r="G184" s="127" t="s">
        <v>1069</v>
      </c>
      <c r="H184" s="127" t="s">
        <v>1819</v>
      </c>
      <c r="I184" s="126"/>
      <c r="J184" s="126"/>
      <c r="K184" s="126"/>
      <c r="L184" s="126"/>
      <c r="M184" s="126"/>
      <c r="N184" s="126"/>
      <c r="O184" s="126"/>
      <c r="P184" s="126"/>
      <c r="Q184" s="126"/>
      <c r="R184" s="126"/>
      <c r="S184" s="126"/>
      <c r="T184" s="126"/>
      <c r="U184" s="126"/>
      <c r="V184" s="126"/>
      <c r="W184" s="126"/>
      <c r="X184" s="126"/>
      <c r="Y184" s="126"/>
      <c r="Z184" s="126"/>
    </row>
    <row r="185">
      <c r="A185" s="127" t="s">
        <v>1820</v>
      </c>
      <c r="B185" s="127">
        <v>184.0</v>
      </c>
      <c r="C185" s="127">
        <v>21.0</v>
      </c>
      <c r="D185" s="127" t="s">
        <v>458</v>
      </c>
      <c r="E185" s="127">
        <v>8.792786786E9</v>
      </c>
      <c r="F185" s="127" t="s">
        <v>1588</v>
      </c>
      <c r="G185" s="127" t="s">
        <v>1820</v>
      </c>
      <c r="H185" s="127" t="s">
        <v>1821</v>
      </c>
      <c r="I185" s="126"/>
      <c r="J185" s="126"/>
      <c r="K185" s="126"/>
      <c r="L185" s="126"/>
      <c r="M185" s="126"/>
      <c r="N185" s="126"/>
      <c r="O185" s="126"/>
      <c r="P185" s="126"/>
      <c r="Q185" s="126"/>
      <c r="R185" s="126"/>
      <c r="S185" s="126"/>
      <c r="T185" s="126"/>
      <c r="U185" s="126"/>
      <c r="V185" s="126"/>
      <c r="W185" s="126"/>
      <c r="X185" s="126"/>
      <c r="Y185" s="126"/>
      <c r="Z185" s="126"/>
    </row>
    <row r="186">
      <c r="A186" s="127" t="s">
        <v>1077</v>
      </c>
      <c r="B186" s="127">
        <v>185.0</v>
      </c>
      <c r="C186" s="127">
        <v>20.0</v>
      </c>
      <c r="D186" s="127" t="s">
        <v>458</v>
      </c>
      <c r="E186" s="127">
        <v>9.32112025E9</v>
      </c>
      <c r="F186" s="127" t="s">
        <v>1588</v>
      </c>
      <c r="G186" s="127" t="s">
        <v>1077</v>
      </c>
      <c r="H186" s="127" t="s">
        <v>1822</v>
      </c>
      <c r="I186" s="126"/>
      <c r="J186" s="126"/>
      <c r="K186" s="126"/>
      <c r="L186" s="126"/>
      <c r="M186" s="126"/>
      <c r="N186" s="126"/>
      <c r="O186" s="126"/>
      <c r="P186" s="126"/>
      <c r="Q186" s="126"/>
      <c r="R186" s="126"/>
      <c r="S186" s="126"/>
      <c r="T186" s="126"/>
      <c r="U186" s="126"/>
      <c r="V186" s="126"/>
      <c r="W186" s="126"/>
      <c r="X186" s="126"/>
      <c r="Y186" s="126"/>
      <c r="Z186" s="126"/>
    </row>
    <row r="187">
      <c r="A187" s="127" t="s">
        <v>193</v>
      </c>
      <c r="B187" s="127">
        <v>186.0</v>
      </c>
      <c r="C187" s="127">
        <v>22.0</v>
      </c>
      <c r="D187" s="127" t="s">
        <v>458</v>
      </c>
      <c r="E187" s="127">
        <v>9.405322004E9</v>
      </c>
      <c r="F187" s="127" t="s">
        <v>1588</v>
      </c>
      <c r="G187" s="127" t="s">
        <v>1823</v>
      </c>
      <c r="H187" s="127" t="s">
        <v>1824</v>
      </c>
      <c r="I187" s="126"/>
      <c r="J187" s="126"/>
      <c r="K187" s="126"/>
      <c r="L187" s="126"/>
      <c r="M187" s="126"/>
      <c r="N187" s="126"/>
      <c r="O187" s="126"/>
      <c r="P187" s="126"/>
      <c r="Q187" s="126"/>
      <c r="R187" s="126"/>
      <c r="S187" s="126"/>
      <c r="T187" s="126"/>
      <c r="U187" s="126"/>
      <c r="V187" s="126"/>
      <c r="W187" s="126"/>
      <c r="X187" s="126"/>
      <c r="Y187" s="126"/>
      <c r="Z187" s="126"/>
    </row>
    <row r="188">
      <c r="A188" s="127" t="s">
        <v>1825</v>
      </c>
      <c r="B188" s="127">
        <v>187.0</v>
      </c>
      <c r="C188" s="127">
        <v>18.0</v>
      </c>
      <c r="D188" s="127" t="s">
        <v>487</v>
      </c>
      <c r="E188" s="127">
        <v>9.97591815E9</v>
      </c>
      <c r="F188" s="127" t="s">
        <v>1588</v>
      </c>
      <c r="G188" s="127" t="s">
        <v>1825</v>
      </c>
      <c r="H188" s="127" t="s">
        <v>1826</v>
      </c>
      <c r="I188" s="126"/>
      <c r="J188" s="126"/>
      <c r="K188" s="126"/>
      <c r="L188" s="126"/>
      <c r="M188" s="126"/>
      <c r="N188" s="126"/>
      <c r="O188" s="126"/>
      <c r="P188" s="126"/>
      <c r="Q188" s="126"/>
      <c r="R188" s="126"/>
      <c r="S188" s="126"/>
      <c r="T188" s="126"/>
      <c r="U188" s="126"/>
      <c r="V188" s="126"/>
      <c r="W188" s="126"/>
      <c r="X188" s="126"/>
      <c r="Y188" s="126"/>
      <c r="Z188" s="126"/>
    </row>
    <row r="189">
      <c r="A189" s="127" t="s">
        <v>195</v>
      </c>
      <c r="B189" s="127">
        <v>188.0</v>
      </c>
      <c r="C189" s="127">
        <v>18.0</v>
      </c>
      <c r="D189" s="127" t="s">
        <v>447</v>
      </c>
      <c r="E189" s="127">
        <v>9.112742061E9</v>
      </c>
      <c r="F189" s="127" t="s">
        <v>1588</v>
      </c>
      <c r="G189" s="127" t="s">
        <v>1087</v>
      </c>
      <c r="H189" s="127" t="s">
        <v>1827</v>
      </c>
      <c r="I189" s="126"/>
      <c r="J189" s="126"/>
      <c r="K189" s="126"/>
      <c r="L189" s="126"/>
      <c r="M189" s="126"/>
      <c r="N189" s="126"/>
      <c r="O189" s="126"/>
      <c r="P189" s="126"/>
      <c r="Q189" s="126"/>
      <c r="R189" s="126"/>
      <c r="S189" s="126"/>
      <c r="T189" s="126"/>
      <c r="U189" s="126"/>
      <c r="V189" s="126"/>
      <c r="W189" s="126"/>
      <c r="X189" s="126"/>
      <c r="Y189" s="126"/>
      <c r="Z189" s="126"/>
    </row>
    <row r="190">
      <c r="A190" s="127" t="s">
        <v>1091</v>
      </c>
      <c r="B190" s="127">
        <v>189.0</v>
      </c>
      <c r="C190" s="127">
        <v>33.0</v>
      </c>
      <c r="D190" s="127" t="s">
        <v>458</v>
      </c>
      <c r="E190" s="127">
        <v>9.0090155E9</v>
      </c>
      <c r="F190" s="127" t="s">
        <v>1588</v>
      </c>
      <c r="G190" s="127" t="s">
        <v>1091</v>
      </c>
      <c r="H190" s="127" t="s">
        <v>1828</v>
      </c>
      <c r="I190" s="126"/>
      <c r="J190" s="126"/>
      <c r="K190" s="126"/>
      <c r="L190" s="126"/>
      <c r="M190" s="126"/>
      <c r="N190" s="126"/>
      <c r="O190" s="126"/>
      <c r="P190" s="126"/>
      <c r="Q190" s="126"/>
      <c r="R190" s="126"/>
      <c r="S190" s="126"/>
      <c r="T190" s="126"/>
      <c r="U190" s="126"/>
      <c r="V190" s="126"/>
      <c r="W190" s="126"/>
      <c r="X190" s="126"/>
      <c r="Y190" s="126"/>
      <c r="Z190" s="126"/>
    </row>
    <row r="191">
      <c r="A191" s="127" t="s">
        <v>197</v>
      </c>
      <c r="B191" s="127">
        <v>190.0</v>
      </c>
      <c r="C191" s="127">
        <v>25.0</v>
      </c>
      <c r="D191" s="127" t="s">
        <v>458</v>
      </c>
      <c r="E191" s="127">
        <v>9.484994344E9</v>
      </c>
      <c r="F191" s="127" t="s">
        <v>1588</v>
      </c>
      <c r="G191" s="127" t="s">
        <v>197</v>
      </c>
      <c r="H191" s="127" t="s">
        <v>1829</v>
      </c>
      <c r="I191" s="126"/>
      <c r="J191" s="126"/>
      <c r="K191" s="126"/>
      <c r="L191" s="126"/>
      <c r="M191" s="126"/>
      <c r="N191" s="126"/>
      <c r="O191" s="126"/>
      <c r="P191" s="126"/>
      <c r="Q191" s="126"/>
      <c r="R191" s="126"/>
      <c r="S191" s="126"/>
      <c r="T191" s="126"/>
      <c r="U191" s="126"/>
      <c r="V191" s="126"/>
      <c r="W191" s="126"/>
      <c r="X191" s="126"/>
      <c r="Y191" s="126"/>
      <c r="Z191" s="126"/>
    </row>
    <row r="192">
      <c r="A192" s="127" t="s">
        <v>198</v>
      </c>
      <c r="B192" s="127">
        <v>191.0</v>
      </c>
      <c r="C192" s="127">
        <v>42.0</v>
      </c>
      <c r="D192" s="127" t="s">
        <v>458</v>
      </c>
      <c r="E192" s="127">
        <v>9.72546775E9</v>
      </c>
      <c r="F192" s="127" t="s">
        <v>1588</v>
      </c>
      <c r="G192" s="127" t="s">
        <v>198</v>
      </c>
      <c r="H192" s="127" t="s">
        <v>1830</v>
      </c>
      <c r="I192" s="126"/>
      <c r="J192" s="126"/>
      <c r="K192" s="126"/>
      <c r="L192" s="126"/>
      <c r="M192" s="126"/>
      <c r="N192" s="126"/>
      <c r="O192" s="126"/>
      <c r="P192" s="126"/>
      <c r="Q192" s="126"/>
      <c r="R192" s="126"/>
      <c r="S192" s="126"/>
      <c r="T192" s="126"/>
      <c r="U192" s="126"/>
      <c r="V192" s="126"/>
      <c r="W192" s="126"/>
      <c r="X192" s="126"/>
      <c r="Y192" s="126"/>
      <c r="Z192" s="126"/>
    </row>
    <row r="193">
      <c r="A193" s="127" t="s">
        <v>1831</v>
      </c>
      <c r="B193" s="127">
        <v>192.0</v>
      </c>
      <c r="C193" s="127">
        <v>28.0</v>
      </c>
      <c r="D193" s="127" t="s">
        <v>447</v>
      </c>
      <c r="E193" s="127">
        <v>7.715926558E9</v>
      </c>
      <c r="F193" s="127" t="s">
        <v>1588</v>
      </c>
      <c r="G193" s="127" t="s">
        <v>1831</v>
      </c>
      <c r="H193" s="127" t="s">
        <v>1832</v>
      </c>
      <c r="I193" s="126"/>
      <c r="J193" s="126"/>
      <c r="K193" s="126"/>
      <c r="L193" s="126"/>
      <c r="M193" s="126"/>
      <c r="N193" s="126"/>
      <c r="O193" s="126"/>
      <c r="P193" s="126"/>
      <c r="Q193" s="126"/>
      <c r="R193" s="126"/>
      <c r="S193" s="126"/>
      <c r="T193" s="126"/>
      <c r="U193" s="126"/>
      <c r="V193" s="126"/>
      <c r="W193" s="126"/>
      <c r="X193" s="126"/>
      <c r="Y193" s="126"/>
      <c r="Z193" s="126"/>
    </row>
    <row r="194">
      <c r="A194" s="127" t="s">
        <v>200</v>
      </c>
      <c r="B194" s="127">
        <v>193.0</v>
      </c>
      <c r="C194" s="127">
        <v>21.0</v>
      </c>
      <c r="D194" s="127" t="s">
        <v>487</v>
      </c>
      <c r="E194" s="127">
        <v>8.379892112E9</v>
      </c>
      <c r="F194" s="127" t="s">
        <v>1588</v>
      </c>
      <c r="G194" s="127" t="s">
        <v>1833</v>
      </c>
      <c r="H194" s="127" t="s">
        <v>1834</v>
      </c>
      <c r="I194" s="126"/>
      <c r="J194" s="126"/>
      <c r="K194" s="126"/>
      <c r="L194" s="126"/>
      <c r="M194" s="126"/>
      <c r="N194" s="126"/>
      <c r="O194" s="126"/>
      <c r="P194" s="126"/>
      <c r="Q194" s="126"/>
      <c r="R194" s="126"/>
      <c r="S194" s="126"/>
      <c r="T194" s="126"/>
      <c r="U194" s="126"/>
      <c r="V194" s="126"/>
      <c r="W194" s="126"/>
      <c r="X194" s="126"/>
      <c r="Y194" s="126"/>
      <c r="Z194" s="126"/>
    </row>
    <row r="195">
      <c r="A195" s="127" t="s">
        <v>201</v>
      </c>
      <c r="B195" s="127">
        <v>194.0</v>
      </c>
      <c r="C195" s="127">
        <v>25.0</v>
      </c>
      <c r="D195" s="127" t="s">
        <v>487</v>
      </c>
      <c r="E195" s="127">
        <v>9.421530838E9</v>
      </c>
      <c r="F195" s="127" t="s">
        <v>1588</v>
      </c>
      <c r="G195" s="127" t="s">
        <v>201</v>
      </c>
      <c r="H195" s="127" t="s">
        <v>1835</v>
      </c>
      <c r="I195" s="126"/>
      <c r="J195" s="126"/>
      <c r="K195" s="126"/>
      <c r="L195" s="126"/>
      <c r="M195" s="126"/>
      <c r="N195" s="126"/>
      <c r="O195" s="126"/>
      <c r="P195" s="126"/>
      <c r="Q195" s="126"/>
      <c r="R195" s="126"/>
      <c r="S195" s="126"/>
      <c r="T195" s="126"/>
      <c r="U195" s="126"/>
      <c r="V195" s="126"/>
      <c r="W195" s="126"/>
      <c r="X195" s="126"/>
      <c r="Y195" s="126"/>
      <c r="Z195" s="126"/>
    </row>
    <row r="196">
      <c r="A196" s="127" t="s">
        <v>202</v>
      </c>
      <c r="B196" s="127">
        <v>195.0</v>
      </c>
      <c r="C196" s="127">
        <v>25.0</v>
      </c>
      <c r="D196" s="127" t="s">
        <v>441</v>
      </c>
      <c r="E196" s="127">
        <v>9.322164525E9</v>
      </c>
      <c r="F196" s="127" t="s">
        <v>1588</v>
      </c>
      <c r="G196" s="127" t="s">
        <v>1836</v>
      </c>
      <c r="H196" s="127" t="s">
        <v>1837</v>
      </c>
      <c r="I196" s="126"/>
      <c r="J196" s="126"/>
      <c r="K196" s="126"/>
      <c r="L196" s="126"/>
      <c r="M196" s="126"/>
      <c r="N196" s="126"/>
      <c r="O196" s="126"/>
      <c r="P196" s="126"/>
      <c r="Q196" s="126"/>
      <c r="R196" s="126"/>
      <c r="S196" s="126"/>
      <c r="T196" s="126"/>
      <c r="U196" s="126"/>
      <c r="V196" s="126"/>
      <c r="W196" s="126"/>
      <c r="X196" s="126"/>
      <c r="Y196" s="126"/>
      <c r="Z196" s="126"/>
    </row>
    <row r="197">
      <c r="A197" s="127" t="s">
        <v>203</v>
      </c>
      <c r="B197" s="127">
        <v>196.0</v>
      </c>
      <c r="C197" s="127">
        <v>32.0</v>
      </c>
      <c r="D197" s="127" t="s">
        <v>487</v>
      </c>
      <c r="E197" s="127">
        <v>9.905734583E9</v>
      </c>
      <c r="F197" s="127" t="s">
        <v>1588</v>
      </c>
      <c r="G197" s="127" t="s">
        <v>203</v>
      </c>
      <c r="H197" s="127" t="s">
        <v>1838</v>
      </c>
      <c r="I197" s="126"/>
      <c r="J197" s="126"/>
      <c r="K197" s="126"/>
      <c r="L197" s="126"/>
      <c r="M197" s="126"/>
      <c r="N197" s="126"/>
      <c r="O197" s="126"/>
      <c r="P197" s="126"/>
      <c r="Q197" s="126"/>
      <c r="R197" s="126"/>
      <c r="S197" s="126"/>
      <c r="T197" s="126"/>
      <c r="U197" s="126"/>
      <c r="V197" s="126"/>
      <c r="W197" s="126"/>
      <c r="X197" s="126"/>
      <c r="Y197" s="126"/>
      <c r="Z197" s="126"/>
    </row>
    <row r="198">
      <c r="A198" s="127" t="s">
        <v>204</v>
      </c>
      <c r="B198" s="127">
        <v>197.0</v>
      </c>
      <c r="C198" s="127">
        <v>24.0</v>
      </c>
      <c r="D198" s="127" t="s">
        <v>441</v>
      </c>
      <c r="E198" s="127">
        <v>9.97598317E9</v>
      </c>
      <c r="F198" s="127" t="s">
        <v>1588</v>
      </c>
      <c r="G198" s="127" t="s">
        <v>204</v>
      </c>
      <c r="H198" s="127" t="s">
        <v>1839</v>
      </c>
      <c r="I198" s="126"/>
      <c r="J198" s="126"/>
      <c r="K198" s="126"/>
      <c r="L198" s="126"/>
      <c r="M198" s="126"/>
      <c r="N198" s="126"/>
      <c r="O198" s="126"/>
      <c r="P198" s="126"/>
      <c r="Q198" s="126"/>
      <c r="R198" s="126"/>
      <c r="S198" s="126"/>
      <c r="T198" s="126"/>
      <c r="U198" s="126"/>
      <c r="V198" s="126"/>
      <c r="W198" s="126"/>
      <c r="X198" s="126"/>
      <c r="Y198" s="126"/>
      <c r="Z198" s="126"/>
    </row>
    <row r="199">
      <c r="A199" s="127" t="s">
        <v>205</v>
      </c>
      <c r="B199" s="127">
        <v>198.0</v>
      </c>
      <c r="C199" s="127">
        <v>25.0</v>
      </c>
      <c r="D199" s="127" t="s">
        <v>447</v>
      </c>
      <c r="E199" s="127">
        <v>9.975789011E9</v>
      </c>
      <c r="F199" s="127" t="s">
        <v>1588</v>
      </c>
      <c r="G199" s="127" t="s">
        <v>1137</v>
      </c>
      <c r="H199" s="127" t="s">
        <v>1840</v>
      </c>
      <c r="I199" s="126"/>
      <c r="J199" s="126"/>
      <c r="K199" s="126"/>
      <c r="L199" s="126"/>
      <c r="M199" s="126"/>
      <c r="N199" s="126"/>
      <c r="O199" s="126"/>
      <c r="P199" s="126"/>
      <c r="Q199" s="126"/>
      <c r="R199" s="126"/>
      <c r="S199" s="126"/>
      <c r="T199" s="126"/>
      <c r="U199" s="126"/>
      <c r="V199" s="126"/>
      <c r="W199" s="126"/>
      <c r="X199" s="126"/>
      <c r="Y199" s="126"/>
      <c r="Z199" s="126"/>
    </row>
    <row r="200">
      <c r="A200" s="127" t="s">
        <v>1841</v>
      </c>
      <c r="B200" s="127">
        <v>199.0</v>
      </c>
      <c r="C200" s="127"/>
      <c r="D200" s="127"/>
      <c r="E200" s="127"/>
      <c r="F200" s="127" t="s">
        <v>1650</v>
      </c>
      <c r="G200" s="127"/>
      <c r="H200" s="127" t="s">
        <v>1842</v>
      </c>
      <c r="I200" s="126"/>
      <c r="J200" s="126"/>
      <c r="K200" s="126"/>
      <c r="L200" s="126"/>
      <c r="M200" s="126"/>
      <c r="N200" s="126"/>
      <c r="O200" s="126"/>
      <c r="P200" s="126"/>
      <c r="Q200" s="126"/>
      <c r="R200" s="126"/>
      <c r="S200" s="126"/>
      <c r="T200" s="126"/>
      <c r="U200" s="126"/>
      <c r="V200" s="126"/>
      <c r="W200" s="126"/>
      <c r="X200" s="126"/>
      <c r="Y200" s="126"/>
      <c r="Z200" s="126"/>
    </row>
    <row r="201">
      <c r="A201" s="127" t="s">
        <v>1843</v>
      </c>
      <c r="B201" s="127">
        <v>200.0</v>
      </c>
      <c r="C201" s="127"/>
      <c r="D201" s="127"/>
      <c r="E201" s="127"/>
      <c r="F201" s="127" t="s">
        <v>1650</v>
      </c>
      <c r="G201" s="127"/>
      <c r="H201" s="127" t="s">
        <v>1842</v>
      </c>
      <c r="I201" s="126"/>
      <c r="J201" s="126"/>
      <c r="K201" s="126"/>
      <c r="L201" s="126"/>
      <c r="M201" s="126"/>
      <c r="N201" s="126"/>
      <c r="O201" s="126"/>
      <c r="P201" s="126"/>
      <c r="Q201" s="126"/>
      <c r="R201" s="126"/>
      <c r="S201" s="126"/>
      <c r="T201" s="126"/>
      <c r="U201" s="126"/>
      <c r="V201" s="126"/>
      <c r="W201" s="126"/>
      <c r="X201" s="126"/>
      <c r="Y201" s="126"/>
      <c r="Z201" s="126"/>
    </row>
    <row r="202">
      <c r="A202" s="127" t="s">
        <v>208</v>
      </c>
      <c r="B202" s="127">
        <v>201.0</v>
      </c>
      <c r="C202" s="127">
        <v>22.0</v>
      </c>
      <c r="D202" s="127" t="s">
        <v>458</v>
      </c>
      <c r="E202" s="127">
        <v>9.428467102E9</v>
      </c>
      <c r="F202" s="127" t="s">
        <v>1588</v>
      </c>
      <c r="G202" s="127" t="s">
        <v>208</v>
      </c>
      <c r="H202" s="127" t="s">
        <v>1844</v>
      </c>
      <c r="I202" s="126"/>
      <c r="J202" s="126"/>
      <c r="K202" s="126"/>
      <c r="L202" s="126"/>
      <c r="M202" s="126"/>
      <c r="N202" s="126"/>
      <c r="O202" s="126"/>
      <c r="P202" s="126"/>
      <c r="Q202" s="126"/>
      <c r="R202" s="126"/>
      <c r="S202" s="126"/>
      <c r="T202" s="126"/>
      <c r="U202" s="126"/>
      <c r="V202" s="126"/>
      <c r="W202" s="126"/>
      <c r="X202" s="126"/>
      <c r="Y202" s="126"/>
      <c r="Z202" s="126"/>
    </row>
    <row r="203">
      <c r="A203" s="127" t="s">
        <v>209</v>
      </c>
      <c r="B203" s="127">
        <v>202.0</v>
      </c>
      <c r="C203" s="127"/>
      <c r="D203" s="127"/>
      <c r="E203" s="127"/>
      <c r="F203" s="127" t="s">
        <v>1650</v>
      </c>
      <c r="G203" s="127"/>
      <c r="H203" s="127" t="s">
        <v>209</v>
      </c>
      <c r="I203" s="126"/>
      <c r="J203" s="126"/>
      <c r="K203" s="126"/>
      <c r="L203" s="126"/>
      <c r="M203" s="126"/>
      <c r="N203" s="126"/>
      <c r="O203" s="126"/>
      <c r="P203" s="126"/>
      <c r="Q203" s="126"/>
      <c r="R203" s="126"/>
      <c r="S203" s="126"/>
      <c r="T203" s="126"/>
      <c r="U203" s="126"/>
      <c r="V203" s="126"/>
      <c r="W203" s="126"/>
      <c r="X203" s="126"/>
      <c r="Y203" s="126"/>
      <c r="Z203" s="126"/>
    </row>
    <row r="204">
      <c r="A204" s="127" t="s">
        <v>210</v>
      </c>
      <c r="B204" s="127">
        <v>203.0</v>
      </c>
      <c r="C204" s="127"/>
      <c r="D204" s="127"/>
      <c r="E204" s="127"/>
      <c r="F204" s="127" t="s">
        <v>1650</v>
      </c>
      <c r="G204" s="127"/>
      <c r="H204" s="127" t="s">
        <v>209</v>
      </c>
      <c r="I204" s="126"/>
      <c r="J204" s="126"/>
      <c r="K204" s="126"/>
      <c r="L204" s="126"/>
      <c r="M204" s="126"/>
      <c r="N204" s="126"/>
      <c r="O204" s="126"/>
      <c r="P204" s="126"/>
      <c r="Q204" s="126"/>
      <c r="R204" s="126"/>
      <c r="S204" s="126"/>
      <c r="T204" s="126"/>
      <c r="U204" s="126"/>
      <c r="V204" s="126"/>
      <c r="W204" s="126"/>
      <c r="X204" s="126"/>
      <c r="Y204" s="126"/>
      <c r="Z204" s="126"/>
    </row>
    <row r="205">
      <c r="A205" s="127" t="s">
        <v>1845</v>
      </c>
      <c r="B205" s="127">
        <v>204.0</v>
      </c>
      <c r="C205" s="127">
        <v>27.0</v>
      </c>
      <c r="D205" s="127" t="s">
        <v>447</v>
      </c>
      <c r="E205" s="127">
        <v>9.329554435E9</v>
      </c>
      <c r="F205" s="127" t="s">
        <v>1588</v>
      </c>
      <c r="G205" s="127" t="s">
        <v>1845</v>
      </c>
      <c r="H205" s="127" t="s">
        <v>1846</v>
      </c>
      <c r="I205" s="126"/>
      <c r="J205" s="126"/>
      <c r="K205" s="126"/>
      <c r="L205" s="126"/>
      <c r="M205" s="126"/>
      <c r="N205" s="126"/>
      <c r="O205" s="126"/>
      <c r="P205" s="126"/>
      <c r="Q205" s="126"/>
      <c r="R205" s="126"/>
      <c r="S205" s="126"/>
      <c r="T205" s="126"/>
      <c r="U205" s="126"/>
      <c r="V205" s="126"/>
      <c r="W205" s="126"/>
      <c r="X205" s="126"/>
      <c r="Y205" s="126"/>
      <c r="Z205" s="126"/>
    </row>
    <row r="206">
      <c r="A206" s="127" t="s">
        <v>212</v>
      </c>
      <c r="B206" s="127">
        <v>205.0</v>
      </c>
      <c r="C206" s="127">
        <v>25.0</v>
      </c>
      <c r="D206" s="127" t="s">
        <v>458</v>
      </c>
      <c r="E206" s="127">
        <v>8.817613555E9</v>
      </c>
      <c r="F206" s="127" t="s">
        <v>1588</v>
      </c>
      <c r="G206" s="127" t="s">
        <v>212</v>
      </c>
      <c r="H206" s="127" t="s">
        <v>1847</v>
      </c>
      <c r="I206" s="126"/>
      <c r="J206" s="126"/>
      <c r="K206" s="126"/>
      <c r="L206" s="126"/>
      <c r="M206" s="126"/>
      <c r="N206" s="126"/>
      <c r="O206" s="126"/>
      <c r="P206" s="126"/>
      <c r="Q206" s="126"/>
      <c r="R206" s="126"/>
      <c r="S206" s="126"/>
      <c r="T206" s="126"/>
      <c r="U206" s="126"/>
      <c r="V206" s="126"/>
      <c r="W206" s="126"/>
      <c r="X206" s="126"/>
      <c r="Y206" s="126"/>
      <c r="Z206" s="126"/>
    </row>
    <row r="207">
      <c r="A207" s="127" t="s">
        <v>1848</v>
      </c>
      <c r="B207" s="127">
        <v>206.0</v>
      </c>
      <c r="C207" s="127">
        <v>20.0</v>
      </c>
      <c r="D207" s="127" t="s">
        <v>447</v>
      </c>
      <c r="E207" s="127">
        <v>9.307688441E9</v>
      </c>
      <c r="F207" s="127" t="s">
        <v>1588</v>
      </c>
      <c r="G207" s="127" t="s">
        <v>1849</v>
      </c>
      <c r="H207" s="127" t="s">
        <v>1850</v>
      </c>
      <c r="I207" s="126"/>
      <c r="J207" s="126"/>
      <c r="K207" s="126"/>
      <c r="L207" s="126"/>
      <c r="M207" s="126"/>
      <c r="N207" s="126"/>
      <c r="O207" s="126"/>
      <c r="P207" s="126"/>
      <c r="Q207" s="126"/>
      <c r="R207" s="126"/>
      <c r="S207" s="126"/>
      <c r="T207" s="126"/>
      <c r="U207" s="126"/>
      <c r="V207" s="126"/>
      <c r="W207" s="126"/>
      <c r="X207" s="126"/>
      <c r="Y207" s="126"/>
      <c r="Z207" s="126"/>
    </row>
    <row r="208">
      <c r="A208" s="127" t="s">
        <v>214</v>
      </c>
      <c r="B208" s="127">
        <v>207.0</v>
      </c>
      <c r="C208" s="127">
        <v>19.0</v>
      </c>
      <c r="D208" s="127" t="s">
        <v>458</v>
      </c>
      <c r="E208" s="127">
        <v>9.845261337E9</v>
      </c>
      <c r="F208" s="127" t="s">
        <v>1588</v>
      </c>
      <c r="G208" s="127" t="s">
        <v>214</v>
      </c>
      <c r="H208" s="127" t="s">
        <v>1851</v>
      </c>
      <c r="I208" s="126"/>
      <c r="J208" s="126"/>
      <c r="K208" s="126"/>
      <c r="L208" s="126"/>
      <c r="M208" s="126"/>
      <c r="N208" s="126"/>
      <c r="O208" s="126"/>
      <c r="P208" s="126"/>
      <c r="Q208" s="126"/>
      <c r="R208" s="126"/>
      <c r="S208" s="126"/>
      <c r="T208" s="126"/>
      <c r="U208" s="126"/>
      <c r="V208" s="126"/>
      <c r="W208" s="126"/>
      <c r="X208" s="126"/>
      <c r="Y208" s="126"/>
      <c r="Z208" s="126"/>
    </row>
    <row r="209">
      <c r="A209" s="127" t="s">
        <v>1852</v>
      </c>
      <c r="B209" s="127">
        <v>208.0</v>
      </c>
      <c r="C209" s="127">
        <v>31.0</v>
      </c>
      <c r="D209" s="127" t="s">
        <v>441</v>
      </c>
      <c r="E209" s="127">
        <v>9.825204301E9</v>
      </c>
      <c r="F209" s="127" t="s">
        <v>1588</v>
      </c>
      <c r="G209" s="127" t="s">
        <v>1150</v>
      </c>
      <c r="H209" s="127" t="s">
        <v>1853</v>
      </c>
      <c r="I209" s="126"/>
      <c r="J209" s="126"/>
      <c r="K209" s="126"/>
      <c r="L209" s="126"/>
      <c r="M209" s="126"/>
      <c r="N209" s="126"/>
      <c r="O209" s="126"/>
      <c r="P209" s="126"/>
      <c r="Q209" s="126"/>
      <c r="R209" s="126"/>
      <c r="S209" s="126"/>
      <c r="T209" s="126"/>
      <c r="U209" s="126"/>
      <c r="V209" s="126"/>
      <c r="W209" s="126"/>
      <c r="X209" s="126"/>
      <c r="Y209" s="126"/>
      <c r="Z209" s="126"/>
    </row>
    <row r="210">
      <c r="A210" s="127" t="s">
        <v>216</v>
      </c>
      <c r="B210" s="127">
        <v>209.0</v>
      </c>
      <c r="C210" s="127">
        <v>21.0</v>
      </c>
      <c r="D210" s="127" t="s">
        <v>458</v>
      </c>
      <c r="E210" s="127">
        <v>9.901712989E9</v>
      </c>
      <c r="F210" s="127" t="s">
        <v>1588</v>
      </c>
      <c r="G210" s="127" t="s">
        <v>216</v>
      </c>
      <c r="H210" s="127" t="s">
        <v>1854</v>
      </c>
      <c r="I210" s="126"/>
      <c r="J210" s="126"/>
      <c r="K210" s="126"/>
      <c r="L210" s="126"/>
      <c r="M210" s="126"/>
      <c r="N210" s="126"/>
      <c r="O210" s="126"/>
      <c r="P210" s="126"/>
      <c r="Q210" s="126"/>
      <c r="R210" s="126"/>
      <c r="S210" s="126"/>
      <c r="T210" s="126"/>
      <c r="U210" s="126"/>
      <c r="V210" s="126"/>
      <c r="W210" s="126"/>
      <c r="X210" s="126"/>
      <c r="Y210" s="126"/>
      <c r="Z210" s="126"/>
    </row>
    <row r="211">
      <c r="A211" s="127" t="s">
        <v>217</v>
      </c>
      <c r="B211" s="127">
        <v>210.0</v>
      </c>
      <c r="C211" s="127">
        <v>18.0</v>
      </c>
      <c r="D211" s="127"/>
      <c r="E211" s="127">
        <v>8.355807373E9</v>
      </c>
      <c r="F211" s="127" t="s">
        <v>1592</v>
      </c>
      <c r="G211" s="127"/>
      <c r="H211" s="127" t="s">
        <v>1855</v>
      </c>
      <c r="I211" s="126"/>
      <c r="J211" s="126"/>
      <c r="K211" s="126"/>
      <c r="L211" s="126"/>
      <c r="M211" s="126"/>
      <c r="N211" s="126"/>
      <c r="O211" s="126"/>
      <c r="P211" s="126"/>
      <c r="Q211" s="126"/>
      <c r="R211" s="126"/>
      <c r="S211" s="126"/>
      <c r="T211" s="126"/>
      <c r="U211" s="126"/>
      <c r="V211" s="126"/>
      <c r="W211" s="126"/>
      <c r="X211" s="126"/>
      <c r="Y211" s="126"/>
      <c r="Z211" s="126"/>
    </row>
    <row r="212">
      <c r="A212" s="127" t="s">
        <v>218</v>
      </c>
      <c r="B212" s="127">
        <v>211.0</v>
      </c>
      <c r="C212" s="127">
        <v>21.0</v>
      </c>
      <c r="D212" s="127"/>
      <c r="E212" s="127">
        <v>9.022206858E9</v>
      </c>
      <c r="F212" s="127" t="s">
        <v>1592</v>
      </c>
      <c r="G212" s="127"/>
      <c r="H212" s="127" t="s">
        <v>1856</v>
      </c>
      <c r="I212" s="126"/>
      <c r="J212" s="126"/>
      <c r="K212" s="126"/>
      <c r="L212" s="126"/>
      <c r="M212" s="126"/>
      <c r="N212" s="126"/>
      <c r="O212" s="126"/>
      <c r="P212" s="126"/>
      <c r="Q212" s="126"/>
      <c r="R212" s="126"/>
      <c r="S212" s="126"/>
      <c r="T212" s="126"/>
      <c r="U212" s="126"/>
      <c r="V212" s="126"/>
      <c r="W212" s="126"/>
      <c r="X212" s="126"/>
      <c r="Y212" s="126"/>
      <c r="Z212" s="126"/>
    </row>
    <row r="213">
      <c r="A213" s="127" t="s">
        <v>219</v>
      </c>
      <c r="B213" s="127">
        <v>212.0</v>
      </c>
      <c r="C213" s="127">
        <v>26.0</v>
      </c>
      <c r="D213" s="127" t="s">
        <v>447</v>
      </c>
      <c r="E213" s="127">
        <v>9.82130832E9</v>
      </c>
      <c r="F213" s="127" t="s">
        <v>1588</v>
      </c>
      <c r="G213" s="127" t="s">
        <v>219</v>
      </c>
      <c r="H213" s="127" t="s">
        <v>1857</v>
      </c>
      <c r="I213" s="126"/>
      <c r="J213" s="126"/>
      <c r="K213" s="126"/>
      <c r="L213" s="126"/>
      <c r="M213" s="126"/>
      <c r="N213" s="126"/>
      <c r="O213" s="126"/>
      <c r="P213" s="126"/>
      <c r="Q213" s="126"/>
      <c r="R213" s="126"/>
      <c r="S213" s="126"/>
      <c r="T213" s="126"/>
      <c r="U213" s="126"/>
      <c r="V213" s="126"/>
      <c r="W213" s="126"/>
      <c r="X213" s="126"/>
      <c r="Y213" s="126"/>
      <c r="Z213" s="126"/>
    </row>
    <row r="214">
      <c r="A214" s="127" t="s">
        <v>220</v>
      </c>
      <c r="B214" s="127">
        <v>213.0</v>
      </c>
      <c r="C214" s="127"/>
      <c r="D214" s="127"/>
      <c r="E214" s="127"/>
      <c r="F214" s="127" t="s">
        <v>1650</v>
      </c>
      <c r="G214" s="127"/>
      <c r="H214" s="127" t="s">
        <v>1858</v>
      </c>
      <c r="I214" s="126"/>
      <c r="J214" s="126"/>
      <c r="K214" s="126"/>
      <c r="L214" s="126"/>
      <c r="M214" s="126"/>
      <c r="N214" s="126"/>
      <c r="O214" s="126"/>
      <c r="P214" s="126"/>
      <c r="Q214" s="126"/>
      <c r="R214" s="126"/>
      <c r="S214" s="126"/>
      <c r="T214" s="126"/>
      <c r="U214" s="126"/>
      <c r="V214" s="126"/>
      <c r="W214" s="126"/>
      <c r="X214" s="126"/>
      <c r="Y214" s="126"/>
      <c r="Z214" s="126"/>
    </row>
    <row r="215">
      <c r="A215" s="127" t="s">
        <v>221</v>
      </c>
      <c r="B215" s="127">
        <v>214.0</v>
      </c>
      <c r="C215" s="127"/>
      <c r="D215" s="127"/>
      <c r="E215" s="127"/>
      <c r="F215" s="127" t="s">
        <v>1650</v>
      </c>
      <c r="G215" s="127"/>
      <c r="H215" s="127" t="s">
        <v>1858</v>
      </c>
      <c r="I215" s="126"/>
      <c r="J215" s="126"/>
      <c r="K215" s="126"/>
      <c r="L215" s="126"/>
      <c r="M215" s="126"/>
      <c r="N215" s="126"/>
      <c r="O215" s="126"/>
      <c r="P215" s="126"/>
      <c r="Q215" s="126"/>
      <c r="R215" s="126"/>
      <c r="S215" s="126"/>
      <c r="T215" s="126"/>
      <c r="U215" s="126"/>
      <c r="V215" s="126"/>
      <c r="W215" s="126"/>
      <c r="X215" s="126"/>
      <c r="Y215" s="126"/>
      <c r="Z215" s="126"/>
    </row>
    <row r="216">
      <c r="A216" s="127" t="s">
        <v>1859</v>
      </c>
      <c r="B216" s="127">
        <v>215.0</v>
      </c>
      <c r="C216" s="127"/>
      <c r="D216" s="127"/>
      <c r="E216" s="127"/>
      <c r="F216" s="127" t="s">
        <v>1650</v>
      </c>
      <c r="G216" s="127"/>
      <c r="H216" s="127" t="s">
        <v>1858</v>
      </c>
      <c r="I216" s="126"/>
      <c r="J216" s="126"/>
      <c r="K216" s="126"/>
      <c r="L216" s="126"/>
      <c r="M216" s="126"/>
      <c r="N216" s="126"/>
      <c r="O216" s="126"/>
      <c r="P216" s="126"/>
      <c r="Q216" s="126"/>
      <c r="R216" s="126"/>
      <c r="S216" s="126"/>
      <c r="T216" s="126"/>
      <c r="U216" s="126"/>
      <c r="V216" s="126"/>
      <c r="W216" s="126"/>
      <c r="X216" s="126"/>
      <c r="Y216" s="126"/>
      <c r="Z216" s="126"/>
    </row>
    <row r="217">
      <c r="A217" s="127" t="s">
        <v>223</v>
      </c>
      <c r="B217" s="127">
        <v>216.0</v>
      </c>
      <c r="C217" s="127">
        <v>24.0</v>
      </c>
      <c r="D217" s="127" t="s">
        <v>447</v>
      </c>
      <c r="E217" s="127">
        <v>9.423370704E9</v>
      </c>
      <c r="F217" s="127" t="s">
        <v>1588</v>
      </c>
      <c r="G217" s="127" t="s">
        <v>223</v>
      </c>
      <c r="H217" s="127" t="s">
        <v>1860</v>
      </c>
      <c r="I217" s="126"/>
      <c r="J217" s="126"/>
      <c r="K217" s="126"/>
      <c r="L217" s="126"/>
      <c r="M217" s="126"/>
      <c r="N217" s="126"/>
      <c r="O217" s="126"/>
      <c r="P217" s="126"/>
      <c r="Q217" s="126"/>
      <c r="R217" s="126"/>
      <c r="S217" s="126"/>
      <c r="T217" s="126"/>
      <c r="U217" s="126"/>
      <c r="V217" s="126"/>
      <c r="W217" s="126"/>
      <c r="X217" s="126"/>
      <c r="Y217" s="126"/>
      <c r="Z217" s="126"/>
    </row>
    <row r="218">
      <c r="A218" s="127" t="s">
        <v>1861</v>
      </c>
      <c r="B218" s="127">
        <v>217.0</v>
      </c>
      <c r="C218" s="127">
        <v>22.0</v>
      </c>
      <c r="D218" s="127"/>
      <c r="E218" s="127">
        <v>9.302487213E9</v>
      </c>
      <c r="F218" s="127" t="s">
        <v>1592</v>
      </c>
      <c r="G218" s="127"/>
      <c r="H218" s="127" t="s">
        <v>1862</v>
      </c>
      <c r="I218" s="126"/>
      <c r="J218" s="126"/>
      <c r="K218" s="126"/>
      <c r="L218" s="126"/>
      <c r="M218" s="126"/>
      <c r="N218" s="126"/>
      <c r="O218" s="126"/>
      <c r="P218" s="126"/>
      <c r="Q218" s="126"/>
      <c r="R218" s="126"/>
      <c r="S218" s="126"/>
      <c r="T218" s="126"/>
      <c r="U218" s="126"/>
      <c r="V218" s="126"/>
      <c r="W218" s="126"/>
      <c r="X218" s="126"/>
      <c r="Y218" s="126"/>
      <c r="Z218" s="126"/>
    </row>
    <row r="219">
      <c r="A219" s="127" t="s">
        <v>225</v>
      </c>
      <c r="B219" s="127">
        <v>218.0</v>
      </c>
      <c r="C219" s="127">
        <v>35.0</v>
      </c>
      <c r="D219" s="127" t="s">
        <v>441</v>
      </c>
      <c r="E219" s="127">
        <v>9.406860314E9</v>
      </c>
      <c r="F219" s="127" t="s">
        <v>1588</v>
      </c>
      <c r="G219" s="127" t="s">
        <v>225</v>
      </c>
      <c r="H219" s="127" t="s">
        <v>1863</v>
      </c>
      <c r="I219" s="126"/>
      <c r="J219" s="126"/>
      <c r="K219" s="126"/>
      <c r="L219" s="126"/>
      <c r="M219" s="126"/>
      <c r="N219" s="126"/>
      <c r="O219" s="126"/>
      <c r="P219" s="126"/>
      <c r="Q219" s="126"/>
      <c r="R219" s="126"/>
      <c r="S219" s="126"/>
      <c r="T219" s="126"/>
      <c r="U219" s="126"/>
      <c r="V219" s="126"/>
      <c r="W219" s="126"/>
      <c r="X219" s="126"/>
      <c r="Y219" s="126"/>
      <c r="Z219" s="126"/>
    </row>
    <row r="220">
      <c r="A220" s="127" t="s">
        <v>1864</v>
      </c>
      <c r="B220" s="127">
        <v>219.0</v>
      </c>
      <c r="C220" s="127">
        <v>30.0</v>
      </c>
      <c r="D220" s="127" t="s">
        <v>447</v>
      </c>
      <c r="E220" s="127">
        <v>8.097900893E9</v>
      </c>
      <c r="F220" s="127" t="s">
        <v>1588</v>
      </c>
      <c r="G220" s="127" t="s">
        <v>1864</v>
      </c>
      <c r="H220" s="127" t="s">
        <v>1865</v>
      </c>
      <c r="I220" s="126"/>
      <c r="J220" s="126"/>
      <c r="K220" s="126"/>
      <c r="L220" s="126"/>
      <c r="M220" s="126"/>
      <c r="N220" s="126"/>
      <c r="O220" s="126"/>
      <c r="P220" s="126"/>
      <c r="Q220" s="126"/>
      <c r="R220" s="126"/>
      <c r="S220" s="126"/>
      <c r="T220" s="126"/>
      <c r="U220" s="126"/>
      <c r="V220" s="126"/>
      <c r="W220" s="126"/>
      <c r="X220" s="126"/>
      <c r="Y220" s="126"/>
      <c r="Z220" s="126"/>
    </row>
    <row r="221">
      <c r="A221" s="127" t="s">
        <v>227</v>
      </c>
      <c r="B221" s="127">
        <v>220.0</v>
      </c>
      <c r="C221" s="127">
        <v>20.0</v>
      </c>
      <c r="D221" s="127" t="s">
        <v>447</v>
      </c>
      <c r="E221" s="127">
        <v>9.926133308E9</v>
      </c>
      <c r="F221" s="127" t="s">
        <v>1588</v>
      </c>
      <c r="G221" s="127" t="s">
        <v>1184</v>
      </c>
      <c r="H221" s="127" t="s">
        <v>1866</v>
      </c>
      <c r="I221" s="126"/>
      <c r="J221" s="126"/>
      <c r="K221" s="126"/>
      <c r="L221" s="126"/>
      <c r="M221" s="126"/>
      <c r="N221" s="126"/>
      <c r="O221" s="126"/>
      <c r="P221" s="126"/>
      <c r="Q221" s="126"/>
      <c r="R221" s="126"/>
      <c r="S221" s="126"/>
      <c r="T221" s="126"/>
      <c r="U221" s="126"/>
      <c r="V221" s="126"/>
      <c r="W221" s="126"/>
      <c r="X221" s="126"/>
      <c r="Y221" s="126"/>
      <c r="Z221" s="126"/>
    </row>
    <row r="222">
      <c r="A222" s="127" t="s">
        <v>228</v>
      </c>
      <c r="B222" s="127">
        <v>221.0</v>
      </c>
      <c r="C222" s="127">
        <v>24.0</v>
      </c>
      <c r="D222" s="127" t="s">
        <v>441</v>
      </c>
      <c r="E222" s="127">
        <v>9.845614785E9</v>
      </c>
      <c r="F222" s="127" t="s">
        <v>1588</v>
      </c>
      <c r="G222" s="127" t="s">
        <v>1187</v>
      </c>
      <c r="H222" s="127" t="s">
        <v>1867</v>
      </c>
      <c r="I222" s="126"/>
      <c r="J222" s="126"/>
      <c r="K222" s="126"/>
      <c r="L222" s="126"/>
      <c r="M222" s="126"/>
      <c r="N222" s="126"/>
      <c r="O222" s="126"/>
      <c r="P222" s="126"/>
      <c r="Q222" s="126"/>
      <c r="R222" s="126"/>
      <c r="S222" s="126"/>
      <c r="T222" s="126"/>
      <c r="U222" s="126"/>
      <c r="V222" s="126"/>
      <c r="W222" s="126"/>
      <c r="X222" s="126"/>
      <c r="Y222" s="126"/>
      <c r="Z222" s="126"/>
    </row>
    <row r="223">
      <c r="A223" s="127" t="s">
        <v>229</v>
      </c>
      <c r="B223" s="127">
        <v>222.0</v>
      </c>
      <c r="C223" s="127">
        <v>23.0</v>
      </c>
      <c r="D223" s="127" t="s">
        <v>447</v>
      </c>
      <c r="E223" s="127">
        <v>9.0393428E9</v>
      </c>
      <c r="F223" s="127" t="s">
        <v>1588</v>
      </c>
      <c r="G223" s="127" t="s">
        <v>229</v>
      </c>
      <c r="H223" s="127" t="s">
        <v>1868</v>
      </c>
      <c r="I223" s="126"/>
      <c r="J223" s="126"/>
      <c r="K223" s="126"/>
      <c r="L223" s="126"/>
      <c r="M223" s="126"/>
      <c r="N223" s="126"/>
      <c r="O223" s="126"/>
      <c r="P223" s="126"/>
      <c r="Q223" s="126"/>
      <c r="R223" s="126"/>
      <c r="S223" s="126"/>
      <c r="T223" s="126"/>
      <c r="U223" s="126"/>
      <c r="V223" s="126"/>
      <c r="W223" s="126"/>
      <c r="X223" s="126"/>
      <c r="Y223" s="126"/>
      <c r="Z223" s="126"/>
    </row>
    <row r="224">
      <c r="A224" s="127" t="s">
        <v>230</v>
      </c>
      <c r="B224" s="127">
        <v>223.0</v>
      </c>
      <c r="C224" s="127">
        <v>21.0</v>
      </c>
      <c r="D224" s="127" t="s">
        <v>487</v>
      </c>
      <c r="E224" s="127">
        <v>9.829188428E9</v>
      </c>
      <c r="F224" s="127" t="s">
        <v>1588</v>
      </c>
      <c r="G224" s="127" t="s">
        <v>1194</v>
      </c>
      <c r="H224" s="127" t="s">
        <v>1869</v>
      </c>
      <c r="I224" s="126"/>
      <c r="J224" s="126"/>
      <c r="K224" s="126"/>
      <c r="L224" s="126"/>
      <c r="M224" s="126"/>
      <c r="N224" s="126"/>
      <c r="O224" s="126"/>
      <c r="P224" s="126"/>
      <c r="Q224" s="126"/>
      <c r="R224" s="126"/>
      <c r="S224" s="126"/>
      <c r="T224" s="126"/>
      <c r="U224" s="126"/>
      <c r="V224" s="126"/>
      <c r="W224" s="126"/>
      <c r="X224" s="126"/>
      <c r="Y224" s="126"/>
      <c r="Z224" s="126"/>
    </row>
    <row r="225">
      <c r="A225" s="127" t="s">
        <v>231</v>
      </c>
      <c r="B225" s="127">
        <v>224.0</v>
      </c>
      <c r="C225" s="127">
        <v>20.0</v>
      </c>
      <c r="D225" s="127" t="s">
        <v>447</v>
      </c>
      <c r="E225" s="127">
        <v>9.370005328E9</v>
      </c>
      <c r="F225" s="127" t="s">
        <v>1588</v>
      </c>
      <c r="G225" s="127" t="s">
        <v>231</v>
      </c>
      <c r="H225" s="127" t="s">
        <v>1870</v>
      </c>
      <c r="I225" s="126"/>
      <c r="J225" s="126"/>
      <c r="K225" s="126"/>
      <c r="L225" s="126"/>
      <c r="M225" s="126"/>
      <c r="N225" s="126"/>
      <c r="O225" s="126"/>
      <c r="P225" s="126"/>
      <c r="Q225" s="126"/>
      <c r="R225" s="126"/>
      <c r="S225" s="126"/>
      <c r="T225" s="126"/>
      <c r="U225" s="126"/>
      <c r="V225" s="126"/>
      <c r="W225" s="126"/>
      <c r="X225" s="126"/>
      <c r="Y225" s="126"/>
      <c r="Z225" s="126"/>
    </row>
    <row r="226">
      <c r="A226" s="127" t="s">
        <v>232</v>
      </c>
      <c r="B226" s="127">
        <v>225.0</v>
      </c>
      <c r="C226" s="127">
        <v>19.0</v>
      </c>
      <c r="D226" s="127" t="s">
        <v>458</v>
      </c>
      <c r="E226" s="127">
        <v>7.026705657E9</v>
      </c>
      <c r="F226" s="127" t="s">
        <v>1588</v>
      </c>
      <c r="G226" s="127" t="s">
        <v>232</v>
      </c>
      <c r="H226" s="127" t="s">
        <v>1871</v>
      </c>
      <c r="I226" s="126"/>
      <c r="J226" s="126"/>
      <c r="K226" s="126"/>
      <c r="L226" s="126"/>
      <c r="M226" s="126"/>
      <c r="N226" s="126"/>
      <c r="O226" s="126"/>
      <c r="P226" s="126"/>
      <c r="Q226" s="126"/>
      <c r="R226" s="126"/>
      <c r="S226" s="126"/>
      <c r="T226" s="126"/>
      <c r="U226" s="126"/>
      <c r="V226" s="126"/>
      <c r="W226" s="126"/>
      <c r="X226" s="126"/>
      <c r="Y226" s="126"/>
      <c r="Z226" s="126"/>
    </row>
    <row r="227">
      <c r="A227" s="127" t="s">
        <v>1872</v>
      </c>
      <c r="B227" s="127">
        <v>226.0</v>
      </c>
      <c r="C227" s="127">
        <v>42.0</v>
      </c>
      <c r="D227" s="127"/>
      <c r="E227" s="127">
        <v>9.920666509E9</v>
      </c>
      <c r="F227" s="127" t="s">
        <v>1592</v>
      </c>
      <c r="G227" s="127"/>
      <c r="H227" s="127" t="s">
        <v>1873</v>
      </c>
      <c r="I227" s="126"/>
      <c r="J227" s="126"/>
      <c r="K227" s="126"/>
      <c r="L227" s="126"/>
      <c r="M227" s="126"/>
      <c r="N227" s="126"/>
      <c r="O227" s="126"/>
      <c r="P227" s="126"/>
      <c r="Q227" s="126"/>
      <c r="R227" s="126"/>
      <c r="S227" s="126"/>
      <c r="T227" s="126"/>
      <c r="U227" s="126"/>
      <c r="V227" s="126"/>
      <c r="W227" s="126"/>
      <c r="X227" s="126"/>
      <c r="Y227" s="126"/>
      <c r="Z227" s="126"/>
    </row>
    <row r="228">
      <c r="A228" s="127" t="s">
        <v>234</v>
      </c>
      <c r="B228" s="127">
        <v>227.0</v>
      </c>
      <c r="C228" s="127">
        <v>23.0</v>
      </c>
      <c r="D228" s="127" t="s">
        <v>458</v>
      </c>
      <c r="E228" s="127">
        <v>9.323017046E9</v>
      </c>
      <c r="F228" s="127" t="s">
        <v>1588</v>
      </c>
      <c r="G228" s="127" t="s">
        <v>234</v>
      </c>
      <c r="H228" s="127" t="s">
        <v>1874</v>
      </c>
      <c r="I228" s="126"/>
      <c r="J228" s="126"/>
      <c r="K228" s="126"/>
      <c r="L228" s="126"/>
      <c r="M228" s="126"/>
      <c r="N228" s="126"/>
      <c r="O228" s="126"/>
      <c r="P228" s="126"/>
      <c r="Q228" s="126"/>
      <c r="R228" s="126"/>
      <c r="S228" s="126"/>
      <c r="T228" s="126"/>
      <c r="U228" s="126"/>
      <c r="V228" s="126"/>
      <c r="W228" s="126"/>
      <c r="X228" s="126"/>
      <c r="Y228" s="126"/>
      <c r="Z228" s="126"/>
    </row>
    <row r="229">
      <c r="A229" s="127" t="s">
        <v>1875</v>
      </c>
      <c r="B229" s="127">
        <v>228.0</v>
      </c>
      <c r="C229" s="127">
        <v>18.0</v>
      </c>
      <c r="D229" s="127" t="s">
        <v>441</v>
      </c>
      <c r="E229" s="127">
        <v>8.770882819E9</v>
      </c>
      <c r="F229" s="127" t="s">
        <v>1588</v>
      </c>
      <c r="G229" s="127" t="s">
        <v>1875</v>
      </c>
      <c r="H229" s="127" t="s">
        <v>1876</v>
      </c>
      <c r="I229" s="126"/>
      <c r="J229" s="126"/>
      <c r="K229" s="126"/>
      <c r="L229" s="126"/>
      <c r="M229" s="126"/>
      <c r="N229" s="126"/>
      <c r="O229" s="126"/>
      <c r="P229" s="126"/>
      <c r="Q229" s="126"/>
      <c r="R229" s="126"/>
      <c r="S229" s="126"/>
      <c r="T229" s="126"/>
      <c r="U229" s="126"/>
      <c r="V229" s="126"/>
      <c r="W229" s="126"/>
      <c r="X229" s="126"/>
      <c r="Y229" s="126"/>
      <c r="Z229" s="126"/>
    </row>
    <row r="230">
      <c r="A230" s="127" t="s">
        <v>236</v>
      </c>
      <c r="B230" s="127">
        <v>229.0</v>
      </c>
      <c r="C230" s="127">
        <v>18.0</v>
      </c>
      <c r="D230" s="127"/>
      <c r="E230" s="127">
        <v>9.819352307E9</v>
      </c>
      <c r="F230" s="127" t="s">
        <v>1592</v>
      </c>
      <c r="G230" s="127"/>
      <c r="H230" s="127" t="s">
        <v>1877</v>
      </c>
      <c r="I230" s="126"/>
      <c r="J230" s="126"/>
      <c r="K230" s="126"/>
      <c r="L230" s="126"/>
      <c r="M230" s="126"/>
      <c r="N230" s="126"/>
      <c r="O230" s="126"/>
      <c r="P230" s="126"/>
      <c r="Q230" s="126"/>
      <c r="R230" s="126"/>
      <c r="S230" s="126"/>
      <c r="T230" s="126"/>
      <c r="U230" s="126"/>
      <c r="V230" s="126"/>
      <c r="W230" s="126"/>
      <c r="X230" s="126"/>
      <c r="Y230" s="126"/>
      <c r="Z230" s="126"/>
    </row>
    <row r="231">
      <c r="A231" s="127" t="s">
        <v>237</v>
      </c>
      <c r="B231" s="127">
        <v>230.0</v>
      </c>
      <c r="C231" s="127">
        <v>14.0</v>
      </c>
      <c r="D231" s="127" t="s">
        <v>447</v>
      </c>
      <c r="E231" s="127">
        <v>9.71291323E9</v>
      </c>
      <c r="F231" s="127" t="s">
        <v>1588</v>
      </c>
      <c r="G231" s="127" t="s">
        <v>237</v>
      </c>
      <c r="H231" s="127" t="s">
        <v>1878</v>
      </c>
      <c r="I231" s="126"/>
      <c r="J231" s="126"/>
      <c r="K231" s="126"/>
      <c r="L231" s="126"/>
      <c r="M231" s="126"/>
      <c r="N231" s="126"/>
      <c r="O231" s="126"/>
      <c r="P231" s="126"/>
      <c r="Q231" s="126"/>
      <c r="R231" s="126"/>
      <c r="S231" s="126"/>
      <c r="T231" s="126"/>
      <c r="U231" s="126"/>
      <c r="V231" s="126"/>
      <c r="W231" s="126"/>
      <c r="X231" s="126"/>
      <c r="Y231" s="126"/>
      <c r="Z231" s="126"/>
    </row>
    <row r="232">
      <c r="A232" s="127" t="s">
        <v>238</v>
      </c>
      <c r="B232" s="127">
        <v>231.0</v>
      </c>
      <c r="C232" s="127">
        <v>46.0</v>
      </c>
      <c r="D232" s="127" t="s">
        <v>447</v>
      </c>
      <c r="E232" s="127">
        <v>9.824379449E9</v>
      </c>
      <c r="F232" s="127" t="s">
        <v>1588</v>
      </c>
      <c r="G232" s="127" t="s">
        <v>1213</v>
      </c>
      <c r="H232" s="127" t="s">
        <v>1879</v>
      </c>
      <c r="I232" s="126"/>
      <c r="J232" s="126"/>
      <c r="K232" s="126"/>
      <c r="L232" s="126"/>
      <c r="M232" s="126"/>
      <c r="N232" s="126"/>
      <c r="O232" s="126"/>
      <c r="P232" s="126"/>
      <c r="Q232" s="126"/>
      <c r="R232" s="126"/>
      <c r="S232" s="126"/>
      <c r="T232" s="126"/>
      <c r="U232" s="126"/>
      <c r="V232" s="126"/>
      <c r="W232" s="126"/>
      <c r="X232" s="126"/>
      <c r="Y232" s="126"/>
      <c r="Z232" s="126"/>
    </row>
    <row r="233">
      <c r="A233" s="127" t="s">
        <v>1880</v>
      </c>
      <c r="B233" s="127">
        <v>232.0</v>
      </c>
      <c r="C233" s="127">
        <v>20.0</v>
      </c>
      <c r="D233" s="127" t="s">
        <v>447</v>
      </c>
      <c r="E233" s="127">
        <v>9.360628001E9</v>
      </c>
      <c r="F233" s="127" t="s">
        <v>1636</v>
      </c>
      <c r="G233" s="127" t="s">
        <v>1216</v>
      </c>
      <c r="H233" s="127" t="s">
        <v>1881</v>
      </c>
      <c r="I233" s="126"/>
      <c r="J233" s="126"/>
      <c r="K233" s="126"/>
      <c r="L233" s="126"/>
      <c r="M233" s="126"/>
      <c r="N233" s="126"/>
      <c r="O233" s="126"/>
      <c r="P233" s="126"/>
      <c r="Q233" s="126"/>
      <c r="R233" s="126"/>
      <c r="S233" s="126"/>
      <c r="T233" s="126"/>
      <c r="U233" s="126"/>
      <c r="V233" s="126"/>
      <c r="W233" s="126"/>
      <c r="X233" s="126"/>
      <c r="Y233" s="126"/>
      <c r="Z233" s="126"/>
    </row>
    <row r="234">
      <c r="A234" s="127" t="s">
        <v>240</v>
      </c>
      <c r="B234" s="127">
        <v>233.0</v>
      </c>
      <c r="C234" s="127">
        <v>18.0</v>
      </c>
      <c r="D234" s="127"/>
      <c r="E234" s="127">
        <v>8.459287653E9</v>
      </c>
      <c r="F234" s="127" t="s">
        <v>1592</v>
      </c>
      <c r="G234" s="127"/>
      <c r="H234" s="127" t="s">
        <v>1882</v>
      </c>
      <c r="I234" s="126"/>
      <c r="J234" s="126"/>
      <c r="K234" s="126"/>
      <c r="L234" s="126"/>
      <c r="M234" s="126"/>
      <c r="N234" s="126"/>
      <c r="O234" s="126"/>
      <c r="P234" s="126"/>
      <c r="Q234" s="126"/>
      <c r="R234" s="126"/>
      <c r="S234" s="126"/>
      <c r="T234" s="126"/>
      <c r="U234" s="126"/>
      <c r="V234" s="126"/>
      <c r="W234" s="126"/>
      <c r="X234" s="126"/>
      <c r="Y234" s="126"/>
      <c r="Z234" s="126"/>
    </row>
    <row r="235">
      <c r="A235" s="127" t="s">
        <v>241</v>
      </c>
      <c r="B235" s="127">
        <v>234.0</v>
      </c>
      <c r="C235" s="127">
        <v>28.0</v>
      </c>
      <c r="D235" s="127"/>
      <c r="E235" s="127">
        <v>9.398411424E9</v>
      </c>
      <c r="F235" s="127" t="s">
        <v>1592</v>
      </c>
      <c r="G235" s="127"/>
      <c r="H235" s="127" t="s">
        <v>1883</v>
      </c>
      <c r="I235" s="126"/>
      <c r="J235" s="126"/>
      <c r="K235" s="126"/>
      <c r="L235" s="126"/>
      <c r="M235" s="126"/>
      <c r="N235" s="126"/>
      <c r="O235" s="126"/>
      <c r="P235" s="126"/>
      <c r="Q235" s="126"/>
      <c r="R235" s="126"/>
      <c r="S235" s="126"/>
      <c r="T235" s="126"/>
      <c r="U235" s="126"/>
      <c r="V235" s="126"/>
      <c r="W235" s="126"/>
      <c r="X235" s="126"/>
      <c r="Y235" s="126"/>
      <c r="Z235" s="126"/>
    </row>
    <row r="236">
      <c r="A236" s="127" t="s">
        <v>242</v>
      </c>
      <c r="B236" s="127">
        <v>235.0</v>
      </c>
      <c r="C236" s="127">
        <v>25.0</v>
      </c>
      <c r="D236" s="127" t="s">
        <v>487</v>
      </c>
      <c r="E236" s="127">
        <v>7.000648072E9</v>
      </c>
      <c r="F236" s="127" t="s">
        <v>1588</v>
      </c>
      <c r="G236" s="127" t="s">
        <v>1884</v>
      </c>
      <c r="H236" s="127" t="s">
        <v>1885</v>
      </c>
      <c r="I236" s="126"/>
      <c r="J236" s="126"/>
      <c r="K236" s="126"/>
      <c r="L236" s="126"/>
      <c r="M236" s="126"/>
      <c r="N236" s="126"/>
      <c r="O236" s="126"/>
      <c r="P236" s="126"/>
      <c r="Q236" s="126"/>
      <c r="R236" s="126"/>
      <c r="S236" s="126"/>
      <c r="T236" s="126"/>
      <c r="U236" s="126"/>
      <c r="V236" s="126"/>
      <c r="W236" s="126"/>
      <c r="X236" s="126"/>
      <c r="Y236" s="126"/>
      <c r="Z236" s="126"/>
    </row>
    <row r="237">
      <c r="A237" s="127" t="s">
        <v>243</v>
      </c>
      <c r="B237" s="127">
        <v>236.0</v>
      </c>
      <c r="C237" s="127">
        <v>32.0</v>
      </c>
      <c r="D237" s="127" t="s">
        <v>447</v>
      </c>
      <c r="E237" s="127">
        <v>7.879097104E9</v>
      </c>
      <c r="F237" s="127" t="s">
        <v>1588</v>
      </c>
      <c r="G237" s="127" t="s">
        <v>1886</v>
      </c>
      <c r="H237" s="127" t="s">
        <v>1887</v>
      </c>
      <c r="I237" s="126"/>
      <c r="J237" s="126"/>
      <c r="K237" s="126"/>
      <c r="L237" s="126"/>
      <c r="M237" s="126"/>
      <c r="N237" s="126"/>
      <c r="O237" s="126"/>
      <c r="P237" s="126"/>
      <c r="Q237" s="126"/>
      <c r="R237" s="126"/>
      <c r="S237" s="126"/>
      <c r="T237" s="126"/>
      <c r="U237" s="126"/>
      <c r="V237" s="126"/>
      <c r="W237" s="126"/>
      <c r="X237" s="126"/>
      <c r="Y237" s="126"/>
      <c r="Z237" s="126"/>
    </row>
    <row r="238">
      <c r="A238" s="127" t="s">
        <v>1888</v>
      </c>
      <c r="B238" s="127">
        <v>237.0</v>
      </c>
      <c r="C238" s="127">
        <v>32.0</v>
      </c>
      <c r="D238" s="127"/>
      <c r="E238" s="127">
        <v>7.340063713E9</v>
      </c>
      <c r="F238" s="127" t="s">
        <v>1592</v>
      </c>
      <c r="G238" s="127"/>
      <c r="H238" s="127" t="s">
        <v>1889</v>
      </c>
      <c r="I238" s="126"/>
      <c r="J238" s="126"/>
      <c r="K238" s="126"/>
      <c r="L238" s="126"/>
      <c r="M238" s="126"/>
      <c r="N238" s="126"/>
      <c r="O238" s="126"/>
      <c r="P238" s="126"/>
      <c r="Q238" s="126"/>
      <c r="R238" s="126"/>
      <c r="S238" s="126"/>
      <c r="T238" s="126"/>
      <c r="U238" s="126"/>
      <c r="V238" s="126"/>
      <c r="W238" s="126"/>
      <c r="X238" s="126"/>
      <c r="Y238" s="126"/>
      <c r="Z238" s="126"/>
    </row>
    <row r="239">
      <c r="A239" s="127" t="s">
        <v>1890</v>
      </c>
      <c r="B239" s="127">
        <v>238.0</v>
      </c>
      <c r="C239" s="127">
        <v>22.0</v>
      </c>
      <c r="D239" s="127" t="s">
        <v>441</v>
      </c>
      <c r="E239" s="127">
        <v>7.737162264E9</v>
      </c>
      <c r="F239" s="127" t="s">
        <v>1588</v>
      </c>
      <c r="G239" s="127" t="s">
        <v>1890</v>
      </c>
      <c r="H239" s="127" t="s">
        <v>1891</v>
      </c>
      <c r="I239" s="126"/>
      <c r="J239" s="126"/>
      <c r="K239" s="126"/>
      <c r="L239" s="126"/>
      <c r="M239" s="126"/>
      <c r="N239" s="126"/>
      <c r="O239" s="126"/>
      <c r="P239" s="126"/>
      <c r="Q239" s="126"/>
      <c r="R239" s="126"/>
      <c r="S239" s="126"/>
      <c r="T239" s="126"/>
      <c r="U239" s="126"/>
      <c r="V239" s="126"/>
      <c r="W239" s="126"/>
      <c r="X239" s="126"/>
      <c r="Y239" s="126"/>
      <c r="Z239" s="126"/>
    </row>
    <row r="240">
      <c r="A240" s="127" t="s">
        <v>246</v>
      </c>
      <c r="B240" s="127">
        <v>239.0</v>
      </c>
      <c r="C240" s="127">
        <v>25.0</v>
      </c>
      <c r="D240" s="127" t="s">
        <v>458</v>
      </c>
      <c r="E240" s="127">
        <v>9.58985187E9</v>
      </c>
      <c r="F240" s="127" t="s">
        <v>1588</v>
      </c>
      <c r="G240" s="127" t="s">
        <v>1243</v>
      </c>
      <c r="H240" s="127" t="s">
        <v>1892</v>
      </c>
      <c r="I240" s="126"/>
      <c r="J240" s="126"/>
      <c r="K240" s="126"/>
      <c r="L240" s="126"/>
      <c r="M240" s="126"/>
      <c r="N240" s="126"/>
      <c r="O240" s="126"/>
      <c r="P240" s="126"/>
      <c r="Q240" s="126"/>
      <c r="R240" s="126"/>
      <c r="S240" s="126"/>
      <c r="T240" s="126"/>
      <c r="U240" s="126"/>
      <c r="V240" s="126"/>
      <c r="W240" s="126"/>
      <c r="X240" s="126"/>
      <c r="Y240" s="126"/>
      <c r="Z240" s="126"/>
    </row>
    <row r="241">
      <c r="A241" s="127" t="s">
        <v>247</v>
      </c>
      <c r="B241" s="127">
        <v>240.0</v>
      </c>
      <c r="C241" s="127">
        <v>21.0</v>
      </c>
      <c r="D241" s="127" t="s">
        <v>458</v>
      </c>
      <c r="E241" s="127">
        <v>9.822500319E9</v>
      </c>
      <c r="F241" s="127" t="s">
        <v>1588</v>
      </c>
      <c r="G241" s="127" t="s">
        <v>247</v>
      </c>
      <c r="H241" s="127" t="s">
        <v>1893</v>
      </c>
      <c r="I241" s="126"/>
      <c r="J241" s="126"/>
      <c r="K241" s="126"/>
      <c r="L241" s="126"/>
      <c r="M241" s="126"/>
      <c r="N241" s="126"/>
      <c r="O241" s="126"/>
      <c r="P241" s="126"/>
      <c r="Q241" s="126"/>
      <c r="R241" s="126"/>
      <c r="S241" s="126"/>
      <c r="T241" s="126"/>
      <c r="U241" s="126"/>
      <c r="V241" s="126"/>
      <c r="W241" s="126"/>
      <c r="X241" s="126"/>
      <c r="Y241" s="126"/>
      <c r="Z241" s="126"/>
    </row>
    <row r="242">
      <c r="A242" s="127" t="s">
        <v>1894</v>
      </c>
      <c r="B242" s="127">
        <v>241.0</v>
      </c>
      <c r="C242" s="127">
        <v>18.0</v>
      </c>
      <c r="D242" s="127"/>
      <c r="E242" s="127">
        <v>9.770826316E9</v>
      </c>
      <c r="F242" s="127" t="s">
        <v>1592</v>
      </c>
      <c r="G242" s="127"/>
      <c r="H242" s="127" t="s">
        <v>1895</v>
      </c>
      <c r="I242" s="126"/>
      <c r="J242" s="126"/>
      <c r="K242" s="126"/>
      <c r="L242" s="126"/>
      <c r="M242" s="126"/>
      <c r="N242" s="126"/>
      <c r="O242" s="126"/>
      <c r="P242" s="126"/>
      <c r="Q242" s="126"/>
      <c r="R242" s="126"/>
      <c r="S242" s="126"/>
      <c r="T242" s="126"/>
      <c r="U242" s="126"/>
      <c r="V242" s="126"/>
      <c r="W242" s="126"/>
      <c r="X242" s="126"/>
      <c r="Y242" s="126"/>
      <c r="Z242" s="126"/>
    </row>
    <row r="243">
      <c r="A243" s="127" t="s">
        <v>1250</v>
      </c>
      <c r="B243" s="127">
        <v>242.0</v>
      </c>
      <c r="C243" s="127">
        <v>23.0</v>
      </c>
      <c r="D243" s="127" t="s">
        <v>447</v>
      </c>
      <c r="E243" s="127">
        <v>9.324834354E9</v>
      </c>
      <c r="F243" s="127" t="s">
        <v>1588</v>
      </c>
      <c r="G243" s="127" t="s">
        <v>1250</v>
      </c>
      <c r="H243" s="127" t="s">
        <v>1896</v>
      </c>
      <c r="I243" s="126"/>
      <c r="J243" s="126"/>
      <c r="K243" s="126"/>
      <c r="L243" s="126"/>
      <c r="M243" s="126"/>
      <c r="N243" s="126"/>
      <c r="O243" s="126"/>
      <c r="P243" s="126"/>
      <c r="Q243" s="126"/>
      <c r="R243" s="126"/>
      <c r="S243" s="126"/>
      <c r="T243" s="126"/>
      <c r="U243" s="126"/>
      <c r="V243" s="126"/>
      <c r="W243" s="126"/>
      <c r="X243" s="126"/>
      <c r="Y243" s="126"/>
      <c r="Z243" s="126"/>
    </row>
    <row r="244">
      <c r="A244" s="127" t="s">
        <v>1257</v>
      </c>
      <c r="B244" s="127">
        <v>243.0</v>
      </c>
      <c r="C244" s="127"/>
      <c r="D244" s="127"/>
      <c r="E244" s="127"/>
      <c r="F244" s="127" t="s">
        <v>1650</v>
      </c>
      <c r="G244" s="127"/>
      <c r="H244" s="127" t="s">
        <v>1897</v>
      </c>
      <c r="I244" s="126"/>
      <c r="J244" s="126"/>
      <c r="K244" s="126"/>
      <c r="L244" s="126"/>
      <c r="M244" s="126"/>
      <c r="N244" s="126"/>
      <c r="O244" s="126"/>
      <c r="P244" s="126"/>
      <c r="Q244" s="126"/>
      <c r="R244" s="126"/>
      <c r="S244" s="126"/>
      <c r="T244" s="126"/>
      <c r="U244" s="126"/>
      <c r="V244" s="126"/>
      <c r="W244" s="126"/>
      <c r="X244" s="126"/>
      <c r="Y244" s="126"/>
      <c r="Z244" s="126"/>
    </row>
    <row r="245">
      <c r="A245" s="127" t="s">
        <v>1898</v>
      </c>
      <c r="B245" s="127">
        <v>244.0</v>
      </c>
      <c r="C245" s="127"/>
      <c r="D245" s="127"/>
      <c r="E245" s="127"/>
      <c r="F245" s="127" t="s">
        <v>1650</v>
      </c>
      <c r="G245" s="127"/>
      <c r="H245" s="127" t="s">
        <v>1897</v>
      </c>
      <c r="I245" s="126"/>
      <c r="J245" s="126"/>
      <c r="K245" s="126"/>
      <c r="L245" s="126"/>
      <c r="M245" s="126"/>
      <c r="N245" s="126"/>
      <c r="O245" s="126"/>
      <c r="P245" s="126"/>
      <c r="Q245" s="126"/>
      <c r="R245" s="126"/>
      <c r="S245" s="126"/>
      <c r="T245" s="126"/>
      <c r="U245" s="126"/>
      <c r="V245" s="126"/>
      <c r="W245" s="126"/>
      <c r="X245" s="126"/>
      <c r="Y245" s="126"/>
      <c r="Z245" s="126"/>
    </row>
    <row r="246">
      <c r="A246" s="127" t="s">
        <v>252</v>
      </c>
      <c r="B246" s="127">
        <v>245.0</v>
      </c>
      <c r="C246" s="127"/>
      <c r="D246" s="127"/>
      <c r="E246" s="127">
        <v>9.302903026E9</v>
      </c>
      <c r="F246" s="127" t="s">
        <v>1592</v>
      </c>
      <c r="G246" s="127"/>
      <c r="H246" s="127" t="s">
        <v>1899</v>
      </c>
      <c r="I246" s="126"/>
      <c r="J246" s="126"/>
      <c r="K246" s="126"/>
      <c r="L246" s="126"/>
      <c r="M246" s="126"/>
      <c r="N246" s="126"/>
      <c r="O246" s="126"/>
      <c r="P246" s="126"/>
      <c r="Q246" s="126"/>
      <c r="R246" s="126"/>
      <c r="S246" s="126"/>
      <c r="T246" s="126"/>
      <c r="U246" s="126"/>
      <c r="V246" s="126"/>
      <c r="W246" s="126"/>
      <c r="X246" s="126"/>
      <c r="Y246" s="126"/>
      <c r="Z246" s="126"/>
    </row>
    <row r="247">
      <c r="A247" s="127" t="s">
        <v>253</v>
      </c>
      <c r="B247" s="127">
        <v>246.0</v>
      </c>
      <c r="C247" s="127">
        <v>23.0</v>
      </c>
      <c r="D247" s="127" t="s">
        <v>458</v>
      </c>
      <c r="E247" s="127">
        <v>7.999841441E9</v>
      </c>
      <c r="F247" s="127" t="s">
        <v>1588</v>
      </c>
      <c r="G247" s="127" t="s">
        <v>1900</v>
      </c>
      <c r="H247" s="127" t="s">
        <v>1901</v>
      </c>
      <c r="I247" s="126"/>
      <c r="J247" s="126"/>
      <c r="K247" s="126"/>
      <c r="L247" s="126"/>
      <c r="M247" s="126"/>
      <c r="N247" s="126"/>
      <c r="O247" s="126"/>
      <c r="P247" s="126"/>
      <c r="Q247" s="126"/>
      <c r="R247" s="126"/>
      <c r="S247" s="126"/>
      <c r="T247" s="126"/>
      <c r="U247" s="126"/>
      <c r="V247" s="126"/>
      <c r="W247" s="126"/>
      <c r="X247" s="126"/>
      <c r="Y247" s="126"/>
      <c r="Z247" s="126"/>
    </row>
    <row r="248">
      <c r="A248" s="127" t="s">
        <v>254</v>
      </c>
      <c r="B248" s="127">
        <v>247.0</v>
      </c>
      <c r="C248" s="127"/>
      <c r="D248" s="127"/>
      <c r="E248" s="127"/>
      <c r="F248" s="127" t="s">
        <v>1650</v>
      </c>
      <c r="G248" s="127"/>
      <c r="H248" s="127" t="s">
        <v>1902</v>
      </c>
      <c r="I248" s="126"/>
      <c r="J248" s="126"/>
      <c r="K248" s="126"/>
      <c r="L248" s="126"/>
      <c r="M248" s="126"/>
      <c r="N248" s="126"/>
      <c r="O248" s="126"/>
      <c r="P248" s="126"/>
      <c r="Q248" s="126"/>
      <c r="R248" s="126"/>
      <c r="S248" s="126"/>
      <c r="T248" s="126"/>
      <c r="U248" s="126"/>
      <c r="V248" s="126"/>
      <c r="W248" s="126"/>
      <c r="X248" s="126"/>
      <c r="Y248" s="126"/>
      <c r="Z248" s="126"/>
    </row>
    <row r="249">
      <c r="A249" s="127" t="s">
        <v>255</v>
      </c>
      <c r="B249" s="127">
        <v>248.0</v>
      </c>
      <c r="C249" s="127">
        <v>18.0</v>
      </c>
      <c r="D249" s="127" t="s">
        <v>447</v>
      </c>
      <c r="E249" s="127">
        <v>9.822500319E9</v>
      </c>
      <c r="F249" s="127" t="s">
        <v>1588</v>
      </c>
      <c r="G249" s="127" t="s">
        <v>255</v>
      </c>
      <c r="H249" s="127" t="s">
        <v>1903</v>
      </c>
      <c r="I249" s="126"/>
      <c r="J249" s="126"/>
      <c r="K249" s="126"/>
      <c r="L249" s="126"/>
      <c r="M249" s="126"/>
      <c r="N249" s="126"/>
      <c r="O249" s="126"/>
      <c r="P249" s="126"/>
      <c r="Q249" s="126"/>
      <c r="R249" s="126"/>
      <c r="S249" s="126"/>
      <c r="T249" s="126"/>
      <c r="U249" s="126"/>
      <c r="V249" s="126"/>
      <c r="W249" s="126"/>
      <c r="X249" s="126"/>
      <c r="Y249" s="126"/>
      <c r="Z249" s="126"/>
    </row>
    <row r="250">
      <c r="A250" s="127" t="s">
        <v>256</v>
      </c>
      <c r="B250" s="127">
        <v>249.0</v>
      </c>
      <c r="C250" s="127">
        <v>40.0</v>
      </c>
      <c r="D250" s="127" t="s">
        <v>447</v>
      </c>
      <c r="E250" s="127">
        <v>9.8198846643E10</v>
      </c>
      <c r="F250" s="127" t="s">
        <v>1588</v>
      </c>
      <c r="G250" s="127" t="s">
        <v>256</v>
      </c>
      <c r="H250" s="127" t="s">
        <v>1904</v>
      </c>
      <c r="I250" s="126"/>
      <c r="J250" s="126"/>
      <c r="K250" s="126"/>
      <c r="L250" s="126"/>
      <c r="M250" s="126"/>
      <c r="N250" s="126"/>
      <c r="O250" s="126"/>
      <c r="P250" s="126"/>
      <c r="Q250" s="126"/>
      <c r="R250" s="126"/>
      <c r="S250" s="126"/>
      <c r="T250" s="126"/>
      <c r="U250" s="126"/>
      <c r="V250" s="126"/>
      <c r="W250" s="126"/>
      <c r="X250" s="126"/>
      <c r="Y250" s="126"/>
      <c r="Z250" s="126"/>
    </row>
    <row r="251">
      <c r="A251" s="127" t="s">
        <v>257</v>
      </c>
      <c r="B251" s="127">
        <v>250.0</v>
      </c>
      <c r="C251" s="127">
        <v>25.0</v>
      </c>
      <c r="D251" s="127"/>
      <c r="E251" s="127">
        <v>8.92801288E9</v>
      </c>
      <c r="F251" s="127" t="s">
        <v>1592</v>
      </c>
      <c r="G251" s="127"/>
      <c r="H251" s="127" t="s">
        <v>1905</v>
      </c>
      <c r="I251" s="126"/>
      <c r="J251" s="126"/>
      <c r="K251" s="126"/>
      <c r="L251" s="126"/>
      <c r="M251" s="126"/>
      <c r="N251" s="126"/>
      <c r="O251" s="126"/>
      <c r="P251" s="126"/>
      <c r="Q251" s="126"/>
      <c r="R251" s="126"/>
      <c r="S251" s="126"/>
      <c r="T251" s="126"/>
      <c r="U251" s="126"/>
      <c r="V251" s="126"/>
      <c r="W251" s="126"/>
      <c r="X251" s="126"/>
      <c r="Y251" s="126"/>
      <c r="Z251" s="126"/>
    </row>
    <row r="252">
      <c r="A252" s="127" t="s">
        <v>258</v>
      </c>
      <c r="B252" s="127">
        <v>251.0</v>
      </c>
      <c r="C252" s="127">
        <v>26.0</v>
      </c>
      <c r="D252" s="127"/>
      <c r="E252" s="127">
        <v>8.080352505E9</v>
      </c>
      <c r="F252" s="127" t="s">
        <v>1592</v>
      </c>
      <c r="G252" s="127"/>
      <c r="H252" s="127" t="s">
        <v>1906</v>
      </c>
      <c r="I252" s="126"/>
      <c r="J252" s="126"/>
      <c r="K252" s="126"/>
      <c r="L252" s="126"/>
      <c r="M252" s="126"/>
      <c r="N252" s="126"/>
      <c r="O252" s="126"/>
      <c r="P252" s="126"/>
      <c r="Q252" s="126"/>
      <c r="R252" s="126"/>
      <c r="S252" s="126"/>
      <c r="T252" s="126"/>
      <c r="U252" s="126"/>
      <c r="V252" s="126"/>
      <c r="W252" s="126"/>
      <c r="X252" s="126"/>
      <c r="Y252" s="126"/>
      <c r="Z252" s="126"/>
    </row>
    <row r="253">
      <c r="A253" s="127" t="s">
        <v>259</v>
      </c>
      <c r="B253" s="127">
        <v>252.0</v>
      </c>
      <c r="C253" s="127">
        <v>33.0</v>
      </c>
      <c r="D253" s="127"/>
      <c r="E253" s="127">
        <v>8.879768484E9</v>
      </c>
      <c r="F253" s="127" t="s">
        <v>1592</v>
      </c>
      <c r="G253" s="127"/>
      <c r="H253" s="127" t="s">
        <v>1907</v>
      </c>
      <c r="I253" s="126"/>
      <c r="J253" s="126"/>
      <c r="K253" s="126"/>
      <c r="L253" s="126"/>
      <c r="M253" s="126"/>
      <c r="N253" s="126"/>
      <c r="O253" s="126"/>
      <c r="P253" s="126"/>
      <c r="Q253" s="126"/>
      <c r="R253" s="126"/>
      <c r="S253" s="126"/>
      <c r="T253" s="126"/>
      <c r="U253" s="126"/>
      <c r="V253" s="126"/>
      <c r="W253" s="126"/>
      <c r="X253" s="126"/>
      <c r="Y253" s="126"/>
      <c r="Z253" s="126"/>
    </row>
    <row r="254">
      <c r="A254" s="127" t="s">
        <v>260</v>
      </c>
      <c r="B254" s="127">
        <v>253.0</v>
      </c>
      <c r="C254" s="127">
        <v>23.0</v>
      </c>
      <c r="D254" s="127" t="s">
        <v>487</v>
      </c>
      <c r="E254" s="127">
        <v>8.141458076E9</v>
      </c>
      <c r="F254" s="127" t="s">
        <v>1588</v>
      </c>
      <c r="G254" s="127" t="s">
        <v>260</v>
      </c>
      <c r="H254" s="127" t="s">
        <v>1908</v>
      </c>
      <c r="I254" s="126"/>
      <c r="J254" s="126"/>
      <c r="K254" s="126"/>
      <c r="L254" s="126"/>
      <c r="M254" s="126"/>
      <c r="N254" s="126"/>
      <c r="O254" s="126"/>
      <c r="P254" s="126"/>
      <c r="Q254" s="126"/>
      <c r="R254" s="126"/>
      <c r="S254" s="126"/>
      <c r="T254" s="126"/>
      <c r="U254" s="126"/>
      <c r="V254" s="126"/>
      <c r="W254" s="126"/>
      <c r="X254" s="126"/>
      <c r="Y254" s="126"/>
      <c r="Z254" s="126"/>
    </row>
    <row r="255">
      <c r="A255" s="127" t="s">
        <v>1909</v>
      </c>
      <c r="B255" s="127">
        <v>254.0</v>
      </c>
      <c r="C255" s="127">
        <v>22.0</v>
      </c>
      <c r="D255" s="127" t="s">
        <v>458</v>
      </c>
      <c r="E255" s="127">
        <v>9.328715327E9</v>
      </c>
      <c r="F255" s="127" t="s">
        <v>1588</v>
      </c>
      <c r="G255" s="127" t="s">
        <v>1288</v>
      </c>
      <c r="H255" s="127" t="s">
        <v>1910</v>
      </c>
      <c r="I255" s="126"/>
      <c r="J255" s="126"/>
      <c r="K255" s="126"/>
      <c r="L255" s="126"/>
      <c r="M255" s="126"/>
      <c r="N255" s="126"/>
      <c r="O255" s="126"/>
      <c r="P255" s="126"/>
      <c r="Q255" s="126"/>
      <c r="R255" s="126"/>
      <c r="S255" s="126"/>
      <c r="T255" s="126"/>
      <c r="U255" s="126"/>
      <c r="V255" s="126"/>
      <c r="W255" s="126"/>
      <c r="X255" s="126"/>
      <c r="Y255" s="126"/>
      <c r="Z255" s="126"/>
    </row>
    <row r="256">
      <c r="A256" s="127" t="s">
        <v>1296</v>
      </c>
      <c r="B256" s="127">
        <v>255.0</v>
      </c>
      <c r="C256" s="127">
        <v>24.0</v>
      </c>
      <c r="D256" s="127" t="s">
        <v>447</v>
      </c>
      <c r="E256" s="127">
        <v>9.998478588E9</v>
      </c>
      <c r="F256" s="127" t="s">
        <v>1588</v>
      </c>
      <c r="G256" s="127" t="s">
        <v>1296</v>
      </c>
      <c r="H256" s="127" t="s">
        <v>1911</v>
      </c>
      <c r="I256" s="126"/>
      <c r="J256" s="126"/>
      <c r="K256" s="126"/>
      <c r="L256" s="126"/>
      <c r="M256" s="126"/>
      <c r="N256" s="126"/>
      <c r="O256" s="126"/>
      <c r="P256" s="126"/>
      <c r="Q256" s="126"/>
      <c r="R256" s="126"/>
      <c r="S256" s="126"/>
      <c r="T256" s="126"/>
      <c r="U256" s="126"/>
      <c r="V256" s="126"/>
      <c r="W256" s="126"/>
      <c r="X256" s="126"/>
      <c r="Y256" s="126"/>
      <c r="Z256" s="126"/>
    </row>
    <row r="257">
      <c r="A257" s="127" t="s">
        <v>1912</v>
      </c>
      <c r="B257" s="127">
        <v>256.0</v>
      </c>
      <c r="C257" s="127">
        <v>24.0</v>
      </c>
      <c r="D257" s="127"/>
      <c r="E257" s="127">
        <v>9.033120743E9</v>
      </c>
      <c r="F257" s="127" t="s">
        <v>1592</v>
      </c>
      <c r="G257" s="127"/>
      <c r="H257" s="127" t="s">
        <v>1913</v>
      </c>
      <c r="I257" s="126"/>
      <c r="J257" s="126"/>
      <c r="K257" s="126"/>
      <c r="L257" s="126"/>
      <c r="M257" s="126"/>
      <c r="N257" s="126"/>
      <c r="O257" s="126"/>
      <c r="P257" s="126"/>
      <c r="Q257" s="126"/>
      <c r="R257" s="126"/>
      <c r="S257" s="126"/>
      <c r="T257" s="126"/>
      <c r="U257" s="126"/>
      <c r="V257" s="126"/>
      <c r="W257" s="126"/>
      <c r="X257" s="126"/>
      <c r="Y257" s="126"/>
      <c r="Z257" s="126"/>
    </row>
    <row r="258">
      <c r="A258" s="127" t="s">
        <v>264</v>
      </c>
      <c r="B258" s="127">
        <v>257.0</v>
      </c>
      <c r="C258" s="127">
        <v>19.0</v>
      </c>
      <c r="D258" s="127" t="s">
        <v>447</v>
      </c>
      <c r="E258" s="127">
        <v>9.427225286E9</v>
      </c>
      <c r="F258" s="127" t="s">
        <v>1588</v>
      </c>
      <c r="G258" s="127" t="s">
        <v>1304</v>
      </c>
      <c r="H258" s="127" t="s">
        <v>1914</v>
      </c>
      <c r="I258" s="126"/>
      <c r="J258" s="126"/>
      <c r="K258" s="126"/>
      <c r="L258" s="126"/>
      <c r="M258" s="126"/>
      <c r="N258" s="126"/>
      <c r="O258" s="126"/>
      <c r="P258" s="126"/>
      <c r="Q258" s="126"/>
      <c r="R258" s="126"/>
      <c r="S258" s="126"/>
      <c r="T258" s="126"/>
      <c r="U258" s="126"/>
      <c r="V258" s="126"/>
      <c r="W258" s="126"/>
      <c r="X258" s="126"/>
      <c r="Y258" s="126"/>
      <c r="Z258" s="126"/>
    </row>
    <row r="259">
      <c r="A259" s="127" t="s">
        <v>265</v>
      </c>
      <c r="B259" s="127">
        <v>258.0</v>
      </c>
      <c r="C259" s="127">
        <v>23.0</v>
      </c>
      <c r="D259" s="127" t="s">
        <v>458</v>
      </c>
      <c r="E259" s="127">
        <v>9.1727443E9</v>
      </c>
      <c r="F259" s="127" t="s">
        <v>1588</v>
      </c>
      <c r="G259" s="127" t="s">
        <v>265</v>
      </c>
      <c r="H259" s="127" t="s">
        <v>1915</v>
      </c>
      <c r="I259" s="126"/>
      <c r="J259" s="126"/>
      <c r="K259" s="126"/>
      <c r="L259" s="126"/>
      <c r="M259" s="126"/>
      <c r="N259" s="126"/>
      <c r="O259" s="126"/>
      <c r="P259" s="126"/>
      <c r="Q259" s="126"/>
      <c r="R259" s="126"/>
      <c r="S259" s="126"/>
      <c r="T259" s="126"/>
      <c r="U259" s="126"/>
      <c r="V259" s="126"/>
      <c r="W259" s="126"/>
      <c r="X259" s="126"/>
      <c r="Y259" s="126"/>
      <c r="Z259" s="126"/>
    </row>
    <row r="260">
      <c r="A260" s="127" t="s">
        <v>266</v>
      </c>
      <c r="B260" s="127">
        <v>259.0</v>
      </c>
      <c r="C260" s="127">
        <v>26.0</v>
      </c>
      <c r="D260" s="127"/>
      <c r="E260" s="127">
        <v>8.655852603E9</v>
      </c>
      <c r="F260" s="127" t="s">
        <v>1592</v>
      </c>
      <c r="G260" s="127"/>
      <c r="H260" s="127" t="s">
        <v>1916</v>
      </c>
      <c r="I260" s="126"/>
      <c r="J260" s="126"/>
      <c r="K260" s="126"/>
      <c r="L260" s="126"/>
      <c r="M260" s="126"/>
      <c r="N260" s="126"/>
      <c r="O260" s="126"/>
      <c r="P260" s="126"/>
      <c r="Q260" s="126"/>
      <c r="R260" s="126"/>
      <c r="S260" s="126"/>
      <c r="T260" s="126"/>
      <c r="U260" s="126"/>
      <c r="V260" s="126"/>
      <c r="W260" s="126"/>
      <c r="X260" s="126"/>
      <c r="Y260" s="126"/>
      <c r="Z260" s="126"/>
    </row>
    <row r="261">
      <c r="A261" s="127" t="s">
        <v>267</v>
      </c>
      <c r="B261" s="127">
        <v>260.0</v>
      </c>
      <c r="C261" s="127">
        <v>28.0</v>
      </c>
      <c r="D261" s="127" t="s">
        <v>447</v>
      </c>
      <c r="E261" s="127">
        <v>9.461631046E9</v>
      </c>
      <c r="F261" s="127" t="s">
        <v>1588</v>
      </c>
      <c r="G261" s="127" t="s">
        <v>267</v>
      </c>
      <c r="H261" s="127" t="s">
        <v>1917</v>
      </c>
      <c r="I261" s="126"/>
      <c r="J261" s="126"/>
      <c r="K261" s="126"/>
      <c r="L261" s="126"/>
      <c r="M261" s="126"/>
      <c r="N261" s="126"/>
      <c r="O261" s="126"/>
      <c r="P261" s="126"/>
      <c r="Q261" s="126"/>
      <c r="R261" s="126"/>
      <c r="S261" s="126"/>
      <c r="T261" s="126"/>
      <c r="U261" s="126"/>
      <c r="V261" s="126"/>
      <c r="W261" s="126"/>
      <c r="X261" s="126"/>
      <c r="Y261" s="126"/>
      <c r="Z261" s="126"/>
    </row>
    <row r="262">
      <c r="A262" s="127" t="s">
        <v>268</v>
      </c>
      <c r="B262" s="127">
        <v>261.0</v>
      </c>
      <c r="C262" s="127">
        <v>33.0</v>
      </c>
      <c r="D262" s="127"/>
      <c r="E262" s="127">
        <v>8.43557622E9</v>
      </c>
      <c r="F262" s="127" t="s">
        <v>1592</v>
      </c>
      <c r="G262" s="127"/>
      <c r="H262" s="127" t="s">
        <v>1918</v>
      </c>
      <c r="I262" s="126"/>
      <c r="J262" s="126"/>
      <c r="K262" s="126"/>
      <c r="L262" s="126"/>
      <c r="M262" s="126"/>
      <c r="N262" s="126"/>
      <c r="O262" s="126"/>
      <c r="P262" s="126"/>
      <c r="Q262" s="126"/>
      <c r="R262" s="126"/>
      <c r="S262" s="126"/>
      <c r="T262" s="126"/>
      <c r="U262" s="126"/>
      <c r="V262" s="126"/>
      <c r="W262" s="126"/>
      <c r="X262" s="126"/>
      <c r="Y262" s="126"/>
      <c r="Z262" s="126"/>
    </row>
    <row r="263">
      <c r="A263" s="127" t="s">
        <v>1919</v>
      </c>
      <c r="B263" s="127">
        <v>262.0</v>
      </c>
      <c r="C263" s="127">
        <v>19.0</v>
      </c>
      <c r="D263" s="127"/>
      <c r="E263" s="127">
        <v>9.171396575E9</v>
      </c>
      <c r="F263" s="127" t="s">
        <v>1592</v>
      </c>
      <c r="G263" s="127"/>
      <c r="H263" s="127" t="s">
        <v>1920</v>
      </c>
      <c r="I263" s="126"/>
      <c r="J263" s="126"/>
      <c r="K263" s="126"/>
      <c r="L263" s="126"/>
      <c r="M263" s="126"/>
      <c r="N263" s="126"/>
      <c r="O263" s="126"/>
      <c r="P263" s="126"/>
      <c r="Q263" s="126"/>
      <c r="R263" s="126"/>
      <c r="S263" s="126"/>
      <c r="T263" s="126"/>
      <c r="U263" s="126"/>
      <c r="V263" s="126"/>
      <c r="W263" s="126"/>
      <c r="X263" s="126"/>
      <c r="Y263" s="126"/>
      <c r="Z263" s="126"/>
    </row>
    <row r="264">
      <c r="A264" s="127" t="s">
        <v>270</v>
      </c>
      <c r="B264" s="127">
        <v>263.0</v>
      </c>
      <c r="C264" s="127">
        <v>36.0</v>
      </c>
      <c r="D264" s="127" t="s">
        <v>458</v>
      </c>
      <c r="E264" s="127">
        <v>9.86767232E9</v>
      </c>
      <c r="F264" s="127" t="s">
        <v>1588</v>
      </c>
      <c r="G264" s="127" t="s">
        <v>1318</v>
      </c>
      <c r="H264" s="127" t="s">
        <v>1921</v>
      </c>
      <c r="I264" s="126"/>
      <c r="J264" s="126"/>
      <c r="K264" s="126"/>
      <c r="L264" s="126"/>
      <c r="M264" s="126"/>
      <c r="N264" s="126"/>
      <c r="O264" s="126"/>
      <c r="P264" s="126"/>
      <c r="Q264" s="126"/>
      <c r="R264" s="126"/>
      <c r="S264" s="126"/>
      <c r="T264" s="126"/>
      <c r="U264" s="126"/>
      <c r="V264" s="126"/>
      <c r="W264" s="126"/>
      <c r="X264" s="126"/>
      <c r="Y264" s="126"/>
      <c r="Z264" s="126"/>
    </row>
    <row r="265">
      <c r="A265" s="127" t="s">
        <v>271</v>
      </c>
      <c r="B265" s="127">
        <v>264.0</v>
      </c>
      <c r="C265" s="127"/>
      <c r="D265" s="127"/>
      <c r="E265" s="127">
        <v>9.893664876E9</v>
      </c>
      <c r="F265" s="127" t="s">
        <v>1592</v>
      </c>
      <c r="G265" s="127"/>
      <c r="H265" s="127" t="s">
        <v>1922</v>
      </c>
      <c r="I265" s="126"/>
      <c r="J265" s="126"/>
      <c r="K265" s="126"/>
      <c r="L265" s="126"/>
      <c r="M265" s="126"/>
      <c r="N265" s="126"/>
      <c r="O265" s="126"/>
      <c r="P265" s="126"/>
      <c r="Q265" s="126"/>
      <c r="R265" s="126"/>
      <c r="S265" s="126"/>
      <c r="T265" s="126"/>
      <c r="U265" s="126"/>
      <c r="V265" s="126"/>
      <c r="W265" s="126"/>
      <c r="X265" s="126"/>
      <c r="Y265" s="126"/>
      <c r="Z265" s="126"/>
    </row>
    <row r="266">
      <c r="A266" s="127" t="s">
        <v>272</v>
      </c>
      <c r="B266" s="127">
        <v>265.0</v>
      </c>
      <c r="C266" s="127">
        <v>17.0</v>
      </c>
      <c r="D266" s="127" t="s">
        <v>487</v>
      </c>
      <c r="E266" s="127">
        <v>8.602525986E9</v>
      </c>
      <c r="F266" s="127" t="s">
        <v>1588</v>
      </c>
      <c r="G266" s="127" t="s">
        <v>1336</v>
      </c>
      <c r="H266" s="127" t="s">
        <v>1923</v>
      </c>
      <c r="I266" s="126"/>
      <c r="J266" s="126"/>
      <c r="K266" s="126"/>
      <c r="L266" s="126"/>
      <c r="M266" s="126"/>
      <c r="N266" s="126"/>
      <c r="O266" s="126"/>
      <c r="P266" s="126"/>
      <c r="Q266" s="126"/>
      <c r="R266" s="126"/>
      <c r="S266" s="126"/>
      <c r="T266" s="126"/>
      <c r="U266" s="126"/>
      <c r="V266" s="126"/>
      <c r="W266" s="126"/>
      <c r="X266" s="126"/>
      <c r="Y266" s="126"/>
      <c r="Z266" s="126"/>
    </row>
    <row r="267">
      <c r="A267" s="127" t="s">
        <v>273</v>
      </c>
      <c r="B267" s="127">
        <v>266.0</v>
      </c>
      <c r="C267" s="127">
        <v>28.0</v>
      </c>
      <c r="D267" s="127"/>
      <c r="E267" s="127">
        <v>7.021355704E9</v>
      </c>
      <c r="F267" s="127" t="s">
        <v>1592</v>
      </c>
      <c r="G267" s="127"/>
      <c r="H267" s="127" t="s">
        <v>1924</v>
      </c>
      <c r="I267" s="126"/>
      <c r="J267" s="126"/>
      <c r="K267" s="126"/>
      <c r="L267" s="126"/>
      <c r="M267" s="126"/>
      <c r="N267" s="126"/>
      <c r="O267" s="126"/>
      <c r="P267" s="126"/>
      <c r="Q267" s="126"/>
      <c r="R267" s="126"/>
      <c r="S267" s="126"/>
      <c r="T267" s="126"/>
      <c r="U267" s="126"/>
      <c r="V267" s="126"/>
      <c r="W267" s="126"/>
      <c r="X267" s="126"/>
      <c r="Y267" s="126"/>
      <c r="Z267" s="126"/>
    </row>
    <row r="268">
      <c r="A268" s="127" t="s">
        <v>274</v>
      </c>
      <c r="B268" s="127">
        <v>267.0</v>
      </c>
      <c r="C268" s="127">
        <v>25.0</v>
      </c>
      <c r="D268" s="127" t="s">
        <v>441</v>
      </c>
      <c r="E268" s="127">
        <v>9.769115162E9</v>
      </c>
      <c r="F268" s="127" t="s">
        <v>1588</v>
      </c>
      <c r="G268" s="127" t="s">
        <v>274</v>
      </c>
      <c r="H268" s="127" t="s">
        <v>1925</v>
      </c>
      <c r="I268" s="126"/>
      <c r="J268" s="126"/>
      <c r="K268" s="126"/>
      <c r="L268" s="126"/>
      <c r="M268" s="126"/>
      <c r="N268" s="126"/>
      <c r="O268" s="126"/>
      <c r="P268" s="126"/>
      <c r="Q268" s="126"/>
      <c r="R268" s="126"/>
      <c r="S268" s="126"/>
      <c r="T268" s="126"/>
      <c r="U268" s="126"/>
      <c r="V268" s="126"/>
      <c r="W268" s="126"/>
      <c r="X268" s="126"/>
      <c r="Y268" s="126"/>
      <c r="Z268" s="126"/>
    </row>
    <row r="269">
      <c r="A269" s="127" t="s">
        <v>275</v>
      </c>
      <c r="B269" s="127">
        <v>268.0</v>
      </c>
      <c r="C269" s="127">
        <v>23.0</v>
      </c>
      <c r="D269" s="127" t="s">
        <v>447</v>
      </c>
      <c r="E269" s="127">
        <v>9.004947766E9</v>
      </c>
      <c r="F269" s="127" t="s">
        <v>1588</v>
      </c>
      <c r="G269" s="127" t="s">
        <v>1926</v>
      </c>
      <c r="H269" s="127" t="s">
        <v>1927</v>
      </c>
      <c r="I269" s="126"/>
      <c r="J269" s="126"/>
      <c r="K269" s="126"/>
      <c r="L269" s="126"/>
      <c r="M269" s="126"/>
      <c r="N269" s="126"/>
      <c r="O269" s="126"/>
      <c r="P269" s="126"/>
      <c r="Q269" s="126"/>
      <c r="R269" s="126"/>
      <c r="S269" s="126"/>
      <c r="T269" s="126"/>
      <c r="U269" s="126"/>
      <c r="V269" s="126"/>
      <c r="W269" s="126"/>
      <c r="X269" s="126"/>
      <c r="Y269" s="126"/>
      <c r="Z269" s="126"/>
    </row>
    <row r="270">
      <c r="A270" s="127" t="s">
        <v>1928</v>
      </c>
      <c r="B270" s="127">
        <v>269.0</v>
      </c>
      <c r="C270" s="127">
        <v>24.0</v>
      </c>
      <c r="D270" s="127" t="s">
        <v>604</v>
      </c>
      <c r="E270" s="127">
        <v>9.270862848E9</v>
      </c>
      <c r="F270" s="127" t="s">
        <v>1588</v>
      </c>
      <c r="G270" s="127" t="s">
        <v>1928</v>
      </c>
      <c r="H270" s="127" t="s">
        <v>1929</v>
      </c>
      <c r="I270" s="126"/>
      <c r="J270" s="126"/>
      <c r="K270" s="126"/>
      <c r="L270" s="126"/>
      <c r="M270" s="126"/>
      <c r="N270" s="126"/>
      <c r="O270" s="126"/>
      <c r="P270" s="126"/>
      <c r="Q270" s="126"/>
      <c r="R270" s="126"/>
      <c r="S270" s="126"/>
      <c r="T270" s="126"/>
      <c r="U270" s="126"/>
      <c r="V270" s="126"/>
      <c r="W270" s="126"/>
      <c r="X270" s="126"/>
      <c r="Y270" s="126"/>
      <c r="Z270" s="126"/>
    </row>
    <row r="271">
      <c r="A271" s="127" t="s">
        <v>277</v>
      </c>
      <c r="B271" s="127">
        <v>270.0</v>
      </c>
      <c r="C271" s="127">
        <v>17.0</v>
      </c>
      <c r="D271" s="127"/>
      <c r="E271" s="127">
        <v>9.739926679E9</v>
      </c>
      <c r="F271" s="127" t="s">
        <v>1592</v>
      </c>
      <c r="G271" s="127"/>
      <c r="H271" s="127" t="s">
        <v>1930</v>
      </c>
      <c r="I271" s="126"/>
      <c r="J271" s="126"/>
      <c r="K271" s="126"/>
      <c r="L271" s="126"/>
      <c r="M271" s="126"/>
      <c r="N271" s="126"/>
      <c r="O271" s="126"/>
      <c r="P271" s="126"/>
      <c r="Q271" s="126"/>
      <c r="R271" s="126"/>
      <c r="S271" s="126"/>
      <c r="T271" s="126"/>
      <c r="U271" s="126"/>
      <c r="V271" s="126"/>
      <c r="W271" s="126"/>
      <c r="X271" s="126"/>
      <c r="Y271" s="126"/>
      <c r="Z271" s="126"/>
    </row>
    <row r="272">
      <c r="A272" s="127" t="s">
        <v>1931</v>
      </c>
      <c r="B272" s="127">
        <v>271.0</v>
      </c>
      <c r="C272" s="127">
        <v>16.0</v>
      </c>
      <c r="D272" s="127"/>
      <c r="E272" s="127">
        <v>7.879575799E9</v>
      </c>
      <c r="F272" s="127" t="s">
        <v>1592</v>
      </c>
      <c r="G272" s="127"/>
      <c r="H272" s="127" t="s">
        <v>1932</v>
      </c>
      <c r="I272" s="126"/>
      <c r="J272" s="126"/>
      <c r="K272" s="126"/>
      <c r="L272" s="126"/>
      <c r="M272" s="126"/>
      <c r="N272" s="126"/>
      <c r="O272" s="126"/>
      <c r="P272" s="126"/>
      <c r="Q272" s="126"/>
      <c r="R272" s="126"/>
      <c r="S272" s="126"/>
      <c r="T272" s="126"/>
      <c r="U272" s="126"/>
      <c r="V272" s="126"/>
      <c r="W272" s="126"/>
      <c r="X272" s="126"/>
      <c r="Y272" s="126"/>
      <c r="Z272" s="126"/>
    </row>
    <row r="273">
      <c r="A273" s="127" t="s">
        <v>279</v>
      </c>
      <c r="B273" s="127">
        <v>272.0</v>
      </c>
      <c r="C273" s="127">
        <v>21.0</v>
      </c>
      <c r="D273" s="127" t="s">
        <v>447</v>
      </c>
      <c r="E273" s="127">
        <v>9.111630011E9</v>
      </c>
      <c r="F273" s="127" t="s">
        <v>1588</v>
      </c>
      <c r="G273" s="127" t="s">
        <v>279</v>
      </c>
      <c r="H273" s="127" t="s">
        <v>1933</v>
      </c>
      <c r="I273" s="126"/>
      <c r="J273" s="126"/>
      <c r="K273" s="126"/>
      <c r="L273" s="126"/>
      <c r="M273" s="126"/>
      <c r="N273" s="126"/>
      <c r="O273" s="126"/>
      <c r="P273" s="126"/>
      <c r="Q273" s="126"/>
      <c r="R273" s="126"/>
      <c r="S273" s="126"/>
      <c r="T273" s="126"/>
      <c r="U273" s="126"/>
      <c r="V273" s="126"/>
      <c r="W273" s="126"/>
      <c r="X273" s="126"/>
      <c r="Y273" s="126"/>
      <c r="Z273" s="126"/>
    </row>
    <row r="274">
      <c r="A274" s="127" t="s">
        <v>1934</v>
      </c>
      <c r="B274" s="127">
        <v>273.0</v>
      </c>
      <c r="C274" s="127">
        <v>16.0</v>
      </c>
      <c r="D274" s="127"/>
      <c r="E274" s="127">
        <v>9.479701685E9</v>
      </c>
      <c r="F274" s="127" t="s">
        <v>1592</v>
      </c>
      <c r="G274" s="127"/>
      <c r="H274" s="127" t="s">
        <v>1935</v>
      </c>
      <c r="I274" s="126"/>
      <c r="J274" s="126"/>
      <c r="K274" s="126"/>
      <c r="L274" s="126"/>
      <c r="M274" s="126"/>
      <c r="N274" s="126"/>
      <c r="O274" s="126"/>
      <c r="P274" s="126"/>
      <c r="Q274" s="126"/>
      <c r="R274" s="126"/>
      <c r="S274" s="126"/>
      <c r="T274" s="126"/>
      <c r="U274" s="126"/>
      <c r="V274" s="126"/>
      <c r="W274" s="126"/>
      <c r="X274" s="126"/>
      <c r="Y274" s="126"/>
      <c r="Z274" s="126"/>
    </row>
    <row r="275">
      <c r="A275" s="127" t="s">
        <v>281</v>
      </c>
      <c r="B275" s="127">
        <v>274.0</v>
      </c>
      <c r="C275" s="127">
        <v>21.0</v>
      </c>
      <c r="D275" s="127"/>
      <c r="E275" s="127">
        <v>9.300122738E9</v>
      </c>
      <c r="F275" s="127" t="s">
        <v>1592</v>
      </c>
      <c r="G275" s="127"/>
      <c r="H275" s="127" t="s">
        <v>1936</v>
      </c>
      <c r="I275" s="126"/>
      <c r="J275" s="126"/>
      <c r="K275" s="126"/>
      <c r="L275" s="126"/>
      <c r="M275" s="126"/>
      <c r="N275" s="126"/>
      <c r="O275" s="126"/>
      <c r="P275" s="126"/>
      <c r="Q275" s="126"/>
      <c r="R275" s="126"/>
      <c r="S275" s="126"/>
      <c r="T275" s="126"/>
      <c r="U275" s="126"/>
      <c r="V275" s="126"/>
      <c r="W275" s="126"/>
      <c r="X275" s="126"/>
      <c r="Y275" s="126"/>
      <c r="Z275" s="126"/>
    </row>
    <row r="276">
      <c r="A276" s="127" t="s">
        <v>282</v>
      </c>
      <c r="B276" s="127">
        <v>275.0</v>
      </c>
      <c r="C276" s="127">
        <v>34.0</v>
      </c>
      <c r="D276" s="127" t="s">
        <v>458</v>
      </c>
      <c r="E276" s="127">
        <v>9.76940604E9</v>
      </c>
      <c r="F276" s="127" t="s">
        <v>1588</v>
      </c>
      <c r="G276" s="127" t="s">
        <v>282</v>
      </c>
      <c r="H276" s="127" t="s">
        <v>1937</v>
      </c>
      <c r="I276" s="126"/>
      <c r="J276" s="126"/>
      <c r="K276" s="126"/>
      <c r="L276" s="126"/>
      <c r="M276" s="126"/>
      <c r="N276" s="126"/>
      <c r="O276" s="126"/>
      <c r="P276" s="126"/>
      <c r="Q276" s="126"/>
      <c r="R276" s="126"/>
      <c r="S276" s="126"/>
      <c r="T276" s="126"/>
      <c r="U276" s="126"/>
      <c r="V276" s="126"/>
      <c r="W276" s="126"/>
      <c r="X276" s="126"/>
      <c r="Y276" s="126"/>
      <c r="Z276" s="126"/>
    </row>
    <row r="277">
      <c r="A277" s="127" t="s">
        <v>283</v>
      </c>
      <c r="B277" s="127">
        <v>276.0</v>
      </c>
      <c r="C277" s="127">
        <v>37.0</v>
      </c>
      <c r="D277" s="127" t="s">
        <v>487</v>
      </c>
      <c r="E277" s="127">
        <v>9.820983862E9</v>
      </c>
      <c r="F277" s="127" t="s">
        <v>1588</v>
      </c>
      <c r="G277" s="127" t="s">
        <v>1357</v>
      </c>
      <c r="H277" s="127" t="s">
        <v>1938</v>
      </c>
      <c r="I277" s="126"/>
      <c r="J277" s="126"/>
      <c r="K277" s="126"/>
      <c r="L277" s="126"/>
      <c r="M277" s="126"/>
      <c r="N277" s="126"/>
      <c r="O277" s="126"/>
      <c r="P277" s="126"/>
      <c r="Q277" s="126"/>
      <c r="R277" s="126"/>
      <c r="S277" s="126"/>
      <c r="T277" s="126"/>
      <c r="U277" s="126"/>
      <c r="V277" s="126"/>
      <c r="W277" s="126"/>
      <c r="X277" s="126"/>
      <c r="Y277" s="126"/>
      <c r="Z277" s="126"/>
    </row>
    <row r="278">
      <c r="A278" s="127" t="s">
        <v>284</v>
      </c>
      <c r="B278" s="127">
        <v>277.0</v>
      </c>
      <c r="C278" s="127"/>
      <c r="D278" s="127"/>
      <c r="E278" s="127"/>
      <c r="F278" s="127" t="s">
        <v>1650</v>
      </c>
      <c r="G278" s="127"/>
      <c r="H278" s="127" t="s">
        <v>284</v>
      </c>
      <c r="I278" s="126"/>
      <c r="J278" s="126"/>
      <c r="K278" s="126"/>
      <c r="L278" s="126"/>
      <c r="M278" s="126"/>
      <c r="N278" s="126"/>
      <c r="O278" s="126"/>
      <c r="P278" s="126"/>
      <c r="Q278" s="126"/>
      <c r="R278" s="126"/>
      <c r="S278" s="126"/>
      <c r="T278" s="126"/>
      <c r="U278" s="126"/>
      <c r="V278" s="126"/>
      <c r="W278" s="126"/>
      <c r="X278" s="126"/>
      <c r="Y278" s="126"/>
      <c r="Z278" s="126"/>
    </row>
    <row r="279">
      <c r="A279" s="127" t="s">
        <v>285</v>
      </c>
      <c r="B279" s="127">
        <v>278.0</v>
      </c>
      <c r="C279" s="127"/>
      <c r="D279" s="127"/>
      <c r="E279" s="127"/>
      <c r="F279" s="127" t="s">
        <v>1650</v>
      </c>
      <c r="G279" s="127"/>
      <c r="H279" s="127" t="s">
        <v>284</v>
      </c>
      <c r="I279" s="126"/>
      <c r="J279" s="126"/>
      <c r="K279" s="126"/>
      <c r="L279" s="126"/>
      <c r="M279" s="126"/>
      <c r="N279" s="126"/>
      <c r="O279" s="126"/>
      <c r="P279" s="126"/>
      <c r="Q279" s="126"/>
      <c r="R279" s="126"/>
      <c r="S279" s="126"/>
      <c r="T279" s="126"/>
      <c r="U279" s="126"/>
      <c r="V279" s="126"/>
      <c r="W279" s="126"/>
      <c r="X279" s="126"/>
      <c r="Y279" s="126"/>
      <c r="Z279" s="126"/>
    </row>
    <row r="280">
      <c r="A280" s="127" t="s">
        <v>286</v>
      </c>
      <c r="B280" s="127">
        <v>279.0</v>
      </c>
      <c r="C280" s="127"/>
      <c r="D280" s="127"/>
      <c r="E280" s="127">
        <v>6.375968292E9</v>
      </c>
      <c r="F280" s="127" t="s">
        <v>1592</v>
      </c>
      <c r="G280" s="127"/>
      <c r="H280" s="127" t="s">
        <v>1939</v>
      </c>
      <c r="I280" s="126"/>
      <c r="J280" s="126"/>
      <c r="K280" s="126"/>
      <c r="L280" s="126"/>
      <c r="M280" s="126"/>
      <c r="N280" s="126"/>
      <c r="O280" s="126"/>
      <c r="P280" s="126"/>
      <c r="Q280" s="126"/>
      <c r="R280" s="126"/>
      <c r="S280" s="126"/>
      <c r="T280" s="126"/>
      <c r="U280" s="126"/>
      <c r="V280" s="126"/>
      <c r="W280" s="126"/>
      <c r="X280" s="126"/>
      <c r="Y280" s="126"/>
      <c r="Z280" s="126"/>
    </row>
    <row r="281">
      <c r="A281" s="127" t="s">
        <v>1940</v>
      </c>
      <c r="B281" s="127">
        <v>280.0</v>
      </c>
      <c r="C281" s="127">
        <v>25.0</v>
      </c>
      <c r="D281" s="127" t="s">
        <v>458</v>
      </c>
      <c r="E281" s="127">
        <v>9.930259525E9</v>
      </c>
      <c r="F281" s="127" t="s">
        <v>1588</v>
      </c>
      <c r="G281" s="127" t="s">
        <v>1940</v>
      </c>
      <c r="H281" s="127" t="s">
        <v>1941</v>
      </c>
      <c r="I281" s="126"/>
      <c r="J281" s="126"/>
      <c r="K281" s="126"/>
      <c r="L281" s="126"/>
      <c r="M281" s="126"/>
      <c r="N281" s="126"/>
      <c r="O281" s="126"/>
      <c r="P281" s="126"/>
      <c r="Q281" s="126"/>
      <c r="R281" s="126"/>
      <c r="S281" s="126"/>
      <c r="T281" s="126"/>
      <c r="U281" s="126"/>
      <c r="V281" s="126"/>
      <c r="W281" s="126"/>
      <c r="X281" s="126"/>
      <c r="Y281" s="126"/>
      <c r="Z281" s="126"/>
    </row>
    <row r="282">
      <c r="A282" s="127" t="s">
        <v>288</v>
      </c>
      <c r="B282" s="127">
        <v>281.0</v>
      </c>
      <c r="C282" s="127"/>
      <c r="D282" s="127"/>
      <c r="E282" s="127"/>
      <c r="F282" s="127" t="s">
        <v>1650</v>
      </c>
      <c r="G282" s="127"/>
      <c r="H282" s="127" t="s">
        <v>1942</v>
      </c>
      <c r="I282" s="126"/>
      <c r="J282" s="126"/>
      <c r="K282" s="126"/>
      <c r="L282" s="126"/>
      <c r="M282" s="126"/>
      <c r="N282" s="126"/>
      <c r="O282" s="126"/>
      <c r="P282" s="126"/>
      <c r="Q282" s="126"/>
      <c r="R282" s="126"/>
      <c r="S282" s="126"/>
      <c r="T282" s="126"/>
      <c r="U282" s="126"/>
      <c r="V282" s="126"/>
      <c r="W282" s="126"/>
      <c r="X282" s="126"/>
      <c r="Y282" s="126"/>
      <c r="Z282" s="126"/>
    </row>
    <row r="283">
      <c r="A283" s="127" t="s">
        <v>288</v>
      </c>
      <c r="B283" s="127">
        <v>282.0</v>
      </c>
      <c r="C283" s="127"/>
      <c r="D283" s="127"/>
      <c r="E283" s="127"/>
      <c r="F283" s="127" t="s">
        <v>1650</v>
      </c>
      <c r="G283" s="127"/>
      <c r="H283" s="127" t="s">
        <v>1942</v>
      </c>
      <c r="I283" s="126"/>
      <c r="J283" s="126"/>
      <c r="K283" s="126"/>
      <c r="L283" s="126"/>
      <c r="M283" s="126"/>
      <c r="N283" s="126"/>
      <c r="O283" s="126"/>
      <c r="P283" s="126"/>
      <c r="Q283" s="126"/>
      <c r="R283" s="126"/>
      <c r="S283" s="126"/>
      <c r="T283" s="126"/>
      <c r="U283" s="126"/>
      <c r="V283" s="126"/>
      <c r="W283" s="126"/>
      <c r="X283" s="126"/>
      <c r="Y283" s="126"/>
      <c r="Z283" s="126"/>
    </row>
    <row r="284">
      <c r="A284" s="127" t="s">
        <v>289</v>
      </c>
      <c r="B284" s="127">
        <v>283.0</v>
      </c>
      <c r="C284" s="127">
        <v>15.0</v>
      </c>
      <c r="D284" s="127"/>
      <c r="E284" s="127">
        <v>9.685079278E9</v>
      </c>
      <c r="F284" s="127" t="s">
        <v>1592</v>
      </c>
      <c r="G284" s="127"/>
      <c r="H284" s="127" t="s">
        <v>1943</v>
      </c>
      <c r="I284" s="126"/>
      <c r="J284" s="126"/>
      <c r="K284" s="126"/>
      <c r="L284" s="126"/>
      <c r="M284" s="126"/>
      <c r="N284" s="126"/>
      <c r="O284" s="126"/>
      <c r="P284" s="126"/>
      <c r="Q284" s="126"/>
      <c r="R284" s="126"/>
      <c r="S284" s="126"/>
      <c r="T284" s="126"/>
      <c r="U284" s="126"/>
      <c r="V284" s="126"/>
      <c r="W284" s="126"/>
      <c r="X284" s="126"/>
      <c r="Y284" s="126"/>
      <c r="Z284" s="126"/>
    </row>
    <row r="285">
      <c r="A285" s="127" t="s">
        <v>1944</v>
      </c>
      <c r="B285" s="127">
        <v>284.0</v>
      </c>
      <c r="C285" s="127">
        <v>19.0</v>
      </c>
      <c r="D285" s="127"/>
      <c r="E285" s="127">
        <v>8.39012839E9</v>
      </c>
      <c r="F285" s="127" t="s">
        <v>1592</v>
      </c>
      <c r="G285" s="127"/>
      <c r="H285" s="127" t="s">
        <v>1945</v>
      </c>
      <c r="I285" s="126"/>
      <c r="J285" s="126"/>
      <c r="K285" s="126"/>
      <c r="L285" s="126"/>
      <c r="M285" s="126"/>
      <c r="N285" s="126"/>
      <c r="O285" s="126"/>
      <c r="P285" s="126"/>
      <c r="Q285" s="126"/>
      <c r="R285" s="126"/>
      <c r="S285" s="126"/>
      <c r="T285" s="126"/>
      <c r="U285" s="126"/>
      <c r="V285" s="126"/>
      <c r="W285" s="126"/>
      <c r="X285" s="126"/>
      <c r="Y285" s="126"/>
      <c r="Z285" s="126"/>
    </row>
    <row r="286">
      <c r="A286" s="127" t="s">
        <v>291</v>
      </c>
      <c r="B286" s="127">
        <v>285.0</v>
      </c>
      <c r="C286" s="127"/>
      <c r="D286" s="127"/>
      <c r="E286" s="127"/>
      <c r="F286" s="127" t="s">
        <v>1650</v>
      </c>
      <c r="G286" s="127"/>
      <c r="H286" s="127" t="s">
        <v>1946</v>
      </c>
      <c r="I286" s="126"/>
      <c r="J286" s="126"/>
      <c r="K286" s="126"/>
      <c r="L286" s="126"/>
      <c r="M286" s="126"/>
      <c r="N286" s="126"/>
      <c r="O286" s="126"/>
      <c r="P286" s="126"/>
      <c r="Q286" s="126"/>
      <c r="R286" s="126"/>
      <c r="S286" s="126"/>
      <c r="T286" s="126"/>
      <c r="U286" s="126"/>
      <c r="V286" s="126"/>
      <c r="W286" s="126"/>
      <c r="X286" s="126"/>
      <c r="Y286" s="126"/>
      <c r="Z286" s="126"/>
    </row>
    <row r="287">
      <c r="A287" s="127" t="s">
        <v>291</v>
      </c>
      <c r="B287" s="127">
        <v>286.0</v>
      </c>
      <c r="C287" s="127"/>
      <c r="D287" s="127"/>
      <c r="E287" s="127"/>
      <c r="F287" s="127" t="s">
        <v>1650</v>
      </c>
      <c r="G287" s="127"/>
      <c r="H287" s="127" t="s">
        <v>1946</v>
      </c>
      <c r="I287" s="126"/>
      <c r="J287" s="126"/>
      <c r="K287" s="126"/>
      <c r="L287" s="126"/>
      <c r="M287" s="126"/>
      <c r="N287" s="126"/>
      <c r="O287" s="126"/>
      <c r="P287" s="126"/>
      <c r="Q287" s="126"/>
      <c r="R287" s="126"/>
      <c r="S287" s="126"/>
      <c r="T287" s="126"/>
      <c r="U287" s="126"/>
      <c r="V287" s="126"/>
      <c r="W287" s="126"/>
      <c r="X287" s="126"/>
      <c r="Y287" s="126"/>
      <c r="Z287" s="126"/>
    </row>
    <row r="288">
      <c r="A288" s="127" t="s">
        <v>292</v>
      </c>
      <c r="B288" s="127">
        <v>287.0</v>
      </c>
      <c r="C288" s="127">
        <v>37.0</v>
      </c>
      <c r="D288" s="127"/>
      <c r="E288" s="127">
        <v>9.752307729E9</v>
      </c>
      <c r="F288" s="127" t="s">
        <v>1592</v>
      </c>
      <c r="G288" s="127"/>
      <c r="H288" s="127" t="s">
        <v>1947</v>
      </c>
      <c r="I288" s="126"/>
      <c r="J288" s="126"/>
      <c r="K288" s="126"/>
      <c r="L288" s="126"/>
      <c r="M288" s="126"/>
      <c r="N288" s="126"/>
      <c r="O288" s="126"/>
      <c r="P288" s="126"/>
      <c r="Q288" s="126"/>
      <c r="R288" s="126"/>
      <c r="S288" s="126"/>
      <c r="T288" s="126"/>
      <c r="U288" s="126"/>
      <c r="V288" s="126"/>
      <c r="W288" s="126"/>
      <c r="X288" s="126"/>
      <c r="Y288" s="126"/>
      <c r="Z288" s="126"/>
    </row>
    <row r="289">
      <c r="A289" s="127" t="s">
        <v>293</v>
      </c>
      <c r="B289" s="127">
        <v>288.0</v>
      </c>
      <c r="C289" s="127">
        <v>31.0</v>
      </c>
      <c r="D289" s="127"/>
      <c r="E289" s="127">
        <v>9.007086765E9</v>
      </c>
      <c r="F289" s="127" t="s">
        <v>1592</v>
      </c>
      <c r="G289" s="127"/>
      <c r="H289" s="127" t="s">
        <v>293</v>
      </c>
      <c r="I289" s="126"/>
      <c r="J289" s="126"/>
      <c r="K289" s="126"/>
      <c r="L289" s="126"/>
      <c r="M289" s="126"/>
      <c r="N289" s="126"/>
      <c r="O289" s="126"/>
      <c r="P289" s="126"/>
      <c r="Q289" s="126"/>
      <c r="R289" s="126"/>
      <c r="S289" s="126"/>
      <c r="T289" s="126"/>
      <c r="U289" s="126"/>
      <c r="V289" s="126"/>
      <c r="W289" s="126"/>
      <c r="X289" s="126"/>
      <c r="Y289" s="126"/>
      <c r="Z289" s="126"/>
    </row>
    <row r="290">
      <c r="A290" s="127" t="s">
        <v>294</v>
      </c>
      <c r="B290" s="127">
        <v>289.0</v>
      </c>
      <c r="C290" s="127">
        <v>17.0</v>
      </c>
      <c r="D290" s="127"/>
      <c r="E290" s="127">
        <v>9.421163161E9</v>
      </c>
      <c r="F290" s="127" t="s">
        <v>1592</v>
      </c>
      <c r="G290" s="127"/>
      <c r="H290" s="127" t="s">
        <v>1948</v>
      </c>
      <c r="I290" s="126"/>
      <c r="J290" s="126"/>
      <c r="K290" s="126"/>
      <c r="L290" s="126"/>
      <c r="M290" s="126"/>
      <c r="N290" s="126"/>
      <c r="O290" s="126"/>
      <c r="P290" s="126"/>
      <c r="Q290" s="126"/>
      <c r="R290" s="126"/>
      <c r="S290" s="126"/>
      <c r="T290" s="126"/>
      <c r="U290" s="126"/>
      <c r="V290" s="126"/>
      <c r="W290" s="126"/>
      <c r="X290" s="126"/>
      <c r="Y290" s="126"/>
      <c r="Z290" s="126"/>
    </row>
    <row r="291">
      <c r="A291" s="127" t="s">
        <v>295</v>
      </c>
      <c r="B291" s="127">
        <v>290.0</v>
      </c>
      <c r="C291" s="127">
        <v>36.0</v>
      </c>
      <c r="D291" s="127" t="s">
        <v>458</v>
      </c>
      <c r="E291" s="127">
        <v>9.773532004E9</v>
      </c>
      <c r="F291" s="127" t="s">
        <v>1588</v>
      </c>
      <c r="G291" s="127" t="s">
        <v>295</v>
      </c>
      <c r="H291" s="127" t="s">
        <v>1949</v>
      </c>
      <c r="I291" s="126"/>
      <c r="J291" s="126"/>
      <c r="K291" s="126"/>
      <c r="L291" s="126"/>
      <c r="M291" s="126"/>
      <c r="N291" s="126"/>
      <c r="O291" s="126"/>
      <c r="P291" s="126"/>
      <c r="Q291" s="126"/>
      <c r="R291" s="126"/>
      <c r="S291" s="126"/>
      <c r="T291" s="126"/>
      <c r="U291" s="126"/>
      <c r="V291" s="126"/>
      <c r="W291" s="126"/>
      <c r="X291" s="126"/>
      <c r="Y291" s="126"/>
      <c r="Z291" s="126"/>
    </row>
    <row r="292">
      <c r="A292" s="127" t="s">
        <v>1950</v>
      </c>
      <c r="B292" s="127">
        <v>291.0</v>
      </c>
      <c r="C292" s="127">
        <v>23.0</v>
      </c>
      <c r="D292" s="127"/>
      <c r="E292" s="127">
        <v>8.459510994E9</v>
      </c>
      <c r="F292" s="127" t="s">
        <v>1592</v>
      </c>
      <c r="G292" s="127"/>
      <c r="H292" s="127" t="s">
        <v>1951</v>
      </c>
      <c r="I292" s="126"/>
      <c r="J292" s="126"/>
      <c r="K292" s="126"/>
      <c r="L292" s="126"/>
      <c r="M292" s="126"/>
      <c r="N292" s="126"/>
      <c r="O292" s="126"/>
      <c r="P292" s="126"/>
      <c r="Q292" s="126"/>
      <c r="R292" s="126"/>
      <c r="S292" s="126"/>
      <c r="T292" s="126"/>
      <c r="U292" s="126"/>
      <c r="V292" s="126"/>
      <c r="W292" s="126"/>
      <c r="X292" s="126"/>
      <c r="Y292" s="126"/>
      <c r="Z292" s="126"/>
    </row>
    <row r="293">
      <c r="A293" s="127" t="s">
        <v>1952</v>
      </c>
      <c r="B293" s="127">
        <v>292.0</v>
      </c>
      <c r="C293" s="127">
        <v>20.0</v>
      </c>
      <c r="D293" s="127" t="s">
        <v>458</v>
      </c>
      <c r="E293" s="127">
        <v>8.889133721E9</v>
      </c>
      <c r="F293" s="127" t="s">
        <v>1588</v>
      </c>
      <c r="G293" s="127" t="s">
        <v>1379</v>
      </c>
      <c r="H293" s="127" t="s">
        <v>1953</v>
      </c>
      <c r="I293" s="126"/>
      <c r="J293" s="126"/>
      <c r="K293" s="126"/>
      <c r="L293" s="126"/>
      <c r="M293" s="126"/>
      <c r="N293" s="126"/>
      <c r="O293" s="126"/>
      <c r="P293" s="126"/>
      <c r="Q293" s="126"/>
      <c r="R293" s="126"/>
      <c r="S293" s="126"/>
      <c r="T293" s="126"/>
      <c r="U293" s="126"/>
      <c r="V293" s="126"/>
      <c r="W293" s="126"/>
      <c r="X293" s="126"/>
      <c r="Y293" s="126"/>
      <c r="Z293" s="126"/>
    </row>
    <row r="294">
      <c r="A294" s="127" t="s">
        <v>298</v>
      </c>
      <c r="B294" s="127">
        <v>293.0</v>
      </c>
      <c r="C294" s="127">
        <v>18.0</v>
      </c>
      <c r="D294" s="127" t="s">
        <v>458</v>
      </c>
      <c r="E294" s="127">
        <v>9.425980413E9</v>
      </c>
      <c r="F294" s="127" t="s">
        <v>1588</v>
      </c>
      <c r="G294" s="127" t="s">
        <v>298</v>
      </c>
      <c r="H294" s="127" t="s">
        <v>1954</v>
      </c>
      <c r="I294" s="126"/>
      <c r="J294" s="126"/>
      <c r="K294" s="126"/>
      <c r="L294" s="126"/>
      <c r="M294" s="126"/>
      <c r="N294" s="126"/>
      <c r="O294" s="126"/>
      <c r="P294" s="126"/>
      <c r="Q294" s="126"/>
      <c r="R294" s="126"/>
      <c r="S294" s="126"/>
      <c r="T294" s="126"/>
      <c r="U294" s="126"/>
      <c r="V294" s="126"/>
      <c r="W294" s="126"/>
      <c r="X294" s="126"/>
      <c r="Y294" s="126"/>
      <c r="Z294" s="126"/>
    </row>
    <row r="295">
      <c r="A295" s="127" t="s">
        <v>1955</v>
      </c>
      <c r="B295" s="127">
        <v>294.0</v>
      </c>
      <c r="C295" s="127">
        <v>25.0</v>
      </c>
      <c r="D295" s="127" t="s">
        <v>447</v>
      </c>
      <c r="E295" s="127">
        <v>9.752635357E9</v>
      </c>
      <c r="F295" s="127" t="s">
        <v>1588</v>
      </c>
      <c r="G295" s="127" t="s">
        <v>1955</v>
      </c>
      <c r="H295" s="127" t="s">
        <v>1956</v>
      </c>
      <c r="I295" s="126"/>
      <c r="J295" s="126"/>
      <c r="K295" s="126"/>
      <c r="L295" s="126"/>
      <c r="M295" s="126"/>
      <c r="N295" s="126"/>
      <c r="O295" s="126"/>
      <c r="P295" s="126"/>
      <c r="Q295" s="126"/>
      <c r="R295" s="126"/>
      <c r="S295" s="126"/>
      <c r="T295" s="126"/>
      <c r="U295" s="126"/>
      <c r="V295" s="126"/>
      <c r="W295" s="126"/>
      <c r="X295" s="126"/>
      <c r="Y295" s="126"/>
      <c r="Z295" s="126"/>
    </row>
    <row r="296">
      <c r="A296" s="127" t="s">
        <v>300</v>
      </c>
      <c r="B296" s="127">
        <v>295.0</v>
      </c>
      <c r="C296" s="127">
        <v>16.0</v>
      </c>
      <c r="D296" s="127"/>
      <c r="E296" s="127">
        <v>6.261547164E9</v>
      </c>
      <c r="F296" s="127" t="s">
        <v>1592</v>
      </c>
      <c r="G296" s="127"/>
      <c r="H296" s="127" t="s">
        <v>1957</v>
      </c>
      <c r="I296" s="126"/>
      <c r="J296" s="126"/>
      <c r="K296" s="126"/>
      <c r="L296" s="126"/>
      <c r="M296" s="126"/>
      <c r="N296" s="126"/>
      <c r="O296" s="126"/>
      <c r="P296" s="126"/>
      <c r="Q296" s="126"/>
      <c r="R296" s="126"/>
      <c r="S296" s="126"/>
      <c r="T296" s="126"/>
      <c r="U296" s="126"/>
      <c r="V296" s="126"/>
      <c r="W296" s="126"/>
      <c r="X296" s="126"/>
      <c r="Y296" s="126"/>
      <c r="Z296" s="126"/>
    </row>
    <row r="297">
      <c r="A297" s="127" t="s">
        <v>301</v>
      </c>
      <c r="B297" s="127">
        <v>296.0</v>
      </c>
      <c r="C297" s="127">
        <v>36.0</v>
      </c>
      <c r="D297" s="127" t="s">
        <v>458</v>
      </c>
      <c r="E297" s="127">
        <v>9.426629266E9</v>
      </c>
      <c r="F297" s="127" t="s">
        <v>1588</v>
      </c>
      <c r="G297" s="127" t="s">
        <v>1389</v>
      </c>
      <c r="H297" s="127" t="s">
        <v>1958</v>
      </c>
      <c r="I297" s="126"/>
      <c r="J297" s="126"/>
      <c r="K297" s="126"/>
      <c r="L297" s="126"/>
      <c r="M297" s="126"/>
      <c r="N297" s="126"/>
      <c r="O297" s="126"/>
      <c r="P297" s="126"/>
      <c r="Q297" s="126"/>
      <c r="R297" s="126"/>
      <c r="S297" s="126"/>
      <c r="T297" s="126"/>
      <c r="U297" s="126"/>
      <c r="V297" s="126"/>
      <c r="W297" s="126"/>
      <c r="X297" s="126"/>
      <c r="Y297" s="126"/>
      <c r="Z297" s="126"/>
    </row>
    <row r="298">
      <c r="A298" s="127" t="s">
        <v>302</v>
      </c>
      <c r="B298" s="127">
        <v>297.0</v>
      </c>
      <c r="C298" s="127">
        <v>20.0</v>
      </c>
      <c r="D298" s="127" t="s">
        <v>447</v>
      </c>
      <c r="E298" s="127">
        <v>7.021786769E9</v>
      </c>
      <c r="F298" s="127" t="s">
        <v>1588</v>
      </c>
      <c r="G298" s="127" t="s">
        <v>1959</v>
      </c>
      <c r="H298" s="127" t="s">
        <v>1960</v>
      </c>
      <c r="I298" s="126"/>
      <c r="J298" s="126"/>
      <c r="K298" s="126"/>
      <c r="L298" s="126"/>
      <c r="M298" s="126"/>
      <c r="N298" s="126"/>
      <c r="O298" s="126"/>
      <c r="P298" s="126"/>
      <c r="Q298" s="126"/>
      <c r="R298" s="126"/>
      <c r="S298" s="126"/>
      <c r="T298" s="126"/>
      <c r="U298" s="126"/>
      <c r="V298" s="126"/>
      <c r="W298" s="126"/>
      <c r="X298" s="126"/>
      <c r="Y298" s="126"/>
      <c r="Z298" s="126"/>
    </row>
    <row r="299">
      <c r="A299" s="127" t="s">
        <v>303</v>
      </c>
      <c r="B299" s="127">
        <v>298.0</v>
      </c>
      <c r="C299" s="127">
        <v>35.0</v>
      </c>
      <c r="D299" s="127" t="s">
        <v>441</v>
      </c>
      <c r="E299" s="127">
        <v>9.82027913E9</v>
      </c>
      <c r="F299" s="127" t="s">
        <v>1588</v>
      </c>
      <c r="G299" s="127" t="s">
        <v>303</v>
      </c>
      <c r="H299" s="127" t="s">
        <v>1961</v>
      </c>
      <c r="I299" s="126"/>
      <c r="J299" s="126"/>
      <c r="K299" s="126"/>
      <c r="L299" s="126"/>
      <c r="M299" s="126"/>
      <c r="N299" s="126"/>
      <c r="O299" s="126"/>
      <c r="P299" s="126"/>
      <c r="Q299" s="126"/>
      <c r="R299" s="126"/>
      <c r="S299" s="126"/>
      <c r="T299" s="126"/>
      <c r="U299" s="126"/>
      <c r="V299" s="126"/>
      <c r="W299" s="126"/>
      <c r="X299" s="126"/>
      <c r="Y299" s="126"/>
      <c r="Z299" s="126"/>
    </row>
    <row r="300">
      <c r="A300" s="127" t="s">
        <v>304</v>
      </c>
      <c r="B300" s="127">
        <v>299.0</v>
      </c>
      <c r="C300" s="127">
        <v>26.0</v>
      </c>
      <c r="D300" s="127" t="s">
        <v>458</v>
      </c>
      <c r="E300" s="127">
        <v>9.689588922E9</v>
      </c>
      <c r="F300" s="127" t="s">
        <v>1588</v>
      </c>
      <c r="G300" s="127" t="s">
        <v>1402</v>
      </c>
      <c r="H300" s="127" t="s">
        <v>1962</v>
      </c>
      <c r="I300" s="126"/>
      <c r="J300" s="126"/>
      <c r="K300" s="126"/>
      <c r="L300" s="126"/>
      <c r="M300" s="126"/>
      <c r="N300" s="126"/>
      <c r="O300" s="126"/>
      <c r="P300" s="126"/>
      <c r="Q300" s="126"/>
      <c r="R300" s="126"/>
      <c r="S300" s="126"/>
      <c r="T300" s="126"/>
      <c r="U300" s="126"/>
      <c r="V300" s="126"/>
      <c r="W300" s="126"/>
      <c r="X300" s="126"/>
      <c r="Y300" s="126"/>
      <c r="Z300" s="126"/>
    </row>
    <row r="301">
      <c r="A301" s="127" t="s">
        <v>1963</v>
      </c>
      <c r="B301" s="127">
        <v>300.0</v>
      </c>
      <c r="C301" s="127">
        <v>19.0</v>
      </c>
      <c r="D301" s="127" t="s">
        <v>447</v>
      </c>
      <c r="E301" s="127">
        <v>8.779505934E9</v>
      </c>
      <c r="F301" s="127" t="s">
        <v>1588</v>
      </c>
      <c r="G301" s="127" t="s">
        <v>1963</v>
      </c>
      <c r="H301" s="127" t="s">
        <v>1964</v>
      </c>
      <c r="I301" s="126"/>
      <c r="J301" s="126"/>
      <c r="K301" s="126"/>
      <c r="L301" s="126"/>
      <c r="M301" s="126"/>
      <c r="N301" s="126"/>
      <c r="O301" s="126"/>
      <c r="P301" s="126"/>
      <c r="Q301" s="126"/>
      <c r="R301" s="126"/>
      <c r="S301" s="126"/>
      <c r="T301" s="126"/>
      <c r="U301" s="126"/>
      <c r="V301" s="126"/>
      <c r="W301" s="126"/>
      <c r="X301" s="126"/>
      <c r="Y301" s="126"/>
      <c r="Z301" s="126"/>
    </row>
    <row r="302">
      <c r="A302" s="127" t="s">
        <v>306</v>
      </c>
      <c r="B302" s="127">
        <v>301.0</v>
      </c>
      <c r="C302" s="127">
        <v>20.0</v>
      </c>
      <c r="D302" s="127" t="s">
        <v>604</v>
      </c>
      <c r="E302" s="127">
        <v>9.987442429E9</v>
      </c>
      <c r="F302" s="127" t="s">
        <v>1588</v>
      </c>
      <c r="G302" s="127" t="s">
        <v>306</v>
      </c>
      <c r="H302" s="127" t="s">
        <v>1965</v>
      </c>
      <c r="I302" s="126"/>
      <c r="J302" s="126"/>
      <c r="K302" s="126"/>
      <c r="L302" s="126"/>
      <c r="M302" s="126"/>
      <c r="N302" s="126"/>
      <c r="O302" s="126"/>
      <c r="P302" s="126"/>
      <c r="Q302" s="126"/>
      <c r="R302" s="126"/>
      <c r="S302" s="126"/>
      <c r="T302" s="126"/>
      <c r="U302" s="126"/>
      <c r="V302" s="126"/>
      <c r="W302" s="126"/>
      <c r="X302" s="126"/>
      <c r="Y302" s="126"/>
      <c r="Z302" s="126"/>
    </row>
    <row r="303">
      <c r="A303" s="127" t="s">
        <v>1966</v>
      </c>
      <c r="B303" s="127">
        <v>302.0</v>
      </c>
      <c r="C303" s="127">
        <v>19.0</v>
      </c>
      <c r="D303" s="127" t="s">
        <v>447</v>
      </c>
      <c r="E303" s="127">
        <v>8.306636404E9</v>
      </c>
      <c r="F303" s="127" t="s">
        <v>1588</v>
      </c>
      <c r="G303" s="127" t="s">
        <v>1415</v>
      </c>
      <c r="H303" s="127" t="s">
        <v>1967</v>
      </c>
      <c r="I303" s="126"/>
      <c r="J303" s="126"/>
      <c r="K303" s="126"/>
      <c r="L303" s="126"/>
      <c r="M303" s="126"/>
      <c r="N303" s="126"/>
      <c r="O303" s="126"/>
      <c r="P303" s="126"/>
      <c r="Q303" s="126"/>
      <c r="R303" s="126"/>
      <c r="S303" s="126"/>
      <c r="T303" s="126"/>
      <c r="U303" s="126"/>
      <c r="V303" s="126"/>
      <c r="W303" s="126"/>
      <c r="X303" s="126"/>
      <c r="Y303" s="126"/>
      <c r="Z303" s="126"/>
    </row>
    <row r="304">
      <c r="A304" s="127" t="s">
        <v>1419</v>
      </c>
      <c r="B304" s="127">
        <v>303.0</v>
      </c>
      <c r="C304" s="127">
        <v>23.0</v>
      </c>
      <c r="D304" s="127" t="s">
        <v>604</v>
      </c>
      <c r="E304" s="127">
        <v>9.922408775E9</v>
      </c>
      <c r="F304" s="127" t="s">
        <v>1588</v>
      </c>
      <c r="G304" s="127" t="s">
        <v>1419</v>
      </c>
      <c r="H304" s="127" t="s">
        <v>1968</v>
      </c>
      <c r="I304" s="126"/>
      <c r="J304" s="126"/>
      <c r="K304" s="126"/>
      <c r="L304" s="126"/>
      <c r="M304" s="126"/>
      <c r="N304" s="126"/>
      <c r="O304" s="126"/>
      <c r="P304" s="126"/>
      <c r="Q304" s="126"/>
      <c r="R304" s="126"/>
      <c r="S304" s="126"/>
      <c r="T304" s="126"/>
      <c r="U304" s="126"/>
      <c r="V304" s="126"/>
      <c r="W304" s="126"/>
      <c r="X304" s="126"/>
      <c r="Y304" s="126"/>
      <c r="Z304" s="126"/>
    </row>
    <row r="305">
      <c r="A305" s="127" t="s">
        <v>309</v>
      </c>
      <c r="B305" s="127">
        <v>304.0</v>
      </c>
      <c r="C305" s="127">
        <v>20.0</v>
      </c>
      <c r="D305" s="127"/>
      <c r="E305" s="127">
        <v>9.016598307E9</v>
      </c>
      <c r="F305" s="127" t="s">
        <v>1592</v>
      </c>
      <c r="G305" s="127"/>
      <c r="H305" s="127" t="s">
        <v>1969</v>
      </c>
      <c r="I305" s="126"/>
      <c r="J305" s="126"/>
      <c r="K305" s="126"/>
      <c r="L305" s="126"/>
      <c r="M305" s="126"/>
      <c r="N305" s="126"/>
      <c r="O305" s="126"/>
      <c r="P305" s="126"/>
      <c r="Q305" s="126"/>
      <c r="R305" s="126"/>
      <c r="S305" s="126"/>
      <c r="T305" s="126"/>
      <c r="U305" s="126"/>
      <c r="V305" s="126"/>
      <c r="W305" s="126"/>
      <c r="X305" s="126"/>
      <c r="Y305" s="126"/>
      <c r="Z305" s="126"/>
    </row>
    <row r="306">
      <c r="A306" s="127" t="s">
        <v>310</v>
      </c>
      <c r="B306" s="127">
        <v>305.0</v>
      </c>
      <c r="C306" s="127">
        <v>19.0</v>
      </c>
      <c r="D306" s="127" t="s">
        <v>447</v>
      </c>
      <c r="E306" s="127">
        <v>9.870538394E9</v>
      </c>
      <c r="F306" s="127" t="s">
        <v>1588</v>
      </c>
      <c r="G306" s="127" t="s">
        <v>310</v>
      </c>
      <c r="H306" s="127" t="s">
        <v>1970</v>
      </c>
      <c r="I306" s="126"/>
      <c r="J306" s="126"/>
      <c r="K306" s="126"/>
      <c r="L306" s="126"/>
      <c r="M306" s="126"/>
      <c r="N306" s="126"/>
      <c r="O306" s="126"/>
      <c r="P306" s="126"/>
      <c r="Q306" s="126"/>
      <c r="R306" s="126"/>
      <c r="S306" s="126"/>
      <c r="T306" s="126"/>
      <c r="U306" s="126"/>
      <c r="V306" s="126"/>
      <c r="W306" s="126"/>
      <c r="X306" s="126"/>
      <c r="Y306" s="126"/>
      <c r="Z306" s="126"/>
    </row>
    <row r="307">
      <c r="A307" s="127" t="s">
        <v>311</v>
      </c>
      <c r="B307" s="127">
        <v>306.0</v>
      </c>
      <c r="C307" s="127">
        <v>21.0</v>
      </c>
      <c r="D307" s="127" t="s">
        <v>487</v>
      </c>
      <c r="E307" s="127">
        <v>9.821257265E9</v>
      </c>
      <c r="F307" s="127" t="s">
        <v>1588</v>
      </c>
      <c r="G307" s="127" t="s">
        <v>311</v>
      </c>
      <c r="H307" s="127" t="s">
        <v>1971</v>
      </c>
      <c r="I307" s="126"/>
      <c r="J307" s="126"/>
      <c r="K307" s="126"/>
      <c r="L307" s="126"/>
      <c r="M307" s="126"/>
      <c r="N307" s="126"/>
      <c r="O307" s="126"/>
      <c r="P307" s="126"/>
      <c r="Q307" s="126"/>
      <c r="R307" s="126"/>
      <c r="S307" s="126"/>
      <c r="T307" s="126"/>
      <c r="U307" s="126"/>
      <c r="V307" s="126"/>
      <c r="W307" s="126"/>
      <c r="X307" s="126"/>
      <c r="Y307" s="126"/>
      <c r="Z307" s="126"/>
    </row>
    <row r="308">
      <c r="A308" s="127" t="s">
        <v>312</v>
      </c>
      <c r="B308" s="127">
        <v>307.0</v>
      </c>
      <c r="C308" s="127">
        <v>35.0</v>
      </c>
      <c r="D308" s="127" t="s">
        <v>447</v>
      </c>
      <c r="E308" s="127">
        <v>7.000496236E9</v>
      </c>
      <c r="F308" s="127" t="s">
        <v>1588</v>
      </c>
      <c r="G308" s="127" t="s">
        <v>312</v>
      </c>
      <c r="H308" s="127" t="s">
        <v>1972</v>
      </c>
      <c r="I308" s="126"/>
      <c r="J308" s="126"/>
      <c r="K308" s="126"/>
      <c r="L308" s="126"/>
      <c r="M308" s="126"/>
      <c r="N308" s="126"/>
      <c r="O308" s="126"/>
      <c r="P308" s="126"/>
      <c r="Q308" s="126"/>
      <c r="R308" s="126"/>
      <c r="S308" s="126"/>
      <c r="T308" s="126"/>
      <c r="U308" s="126"/>
      <c r="V308" s="126"/>
      <c r="W308" s="126"/>
      <c r="X308" s="126"/>
      <c r="Y308" s="126"/>
      <c r="Z308" s="126"/>
    </row>
    <row r="309">
      <c r="A309" s="127" t="s">
        <v>313</v>
      </c>
      <c r="B309" s="127">
        <v>308.0</v>
      </c>
      <c r="C309" s="127"/>
      <c r="D309" s="127"/>
      <c r="E309" s="127">
        <v>9.649566062E9</v>
      </c>
      <c r="F309" s="127" t="s">
        <v>1592</v>
      </c>
      <c r="G309" s="127"/>
      <c r="H309" s="127" t="s">
        <v>1973</v>
      </c>
      <c r="I309" s="126"/>
      <c r="J309" s="126"/>
      <c r="K309" s="126"/>
      <c r="L309" s="126"/>
      <c r="M309" s="126"/>
      <c r="N309" s="126"/>
      <c r="O309" s="126"/>
      <c r="P309" s="126"/>
      <c r="Q309" s="126"/>
      <c r="R309" s="126"/>
      <c r="S309" s="126"/>
      <c r="T309" s="126"/>
      <c r="U309" s="126"/>
      <c r="V309" s="126"/>
      <c r="W309" s="126"/>
      <c r="X309" s="126"/>
      <c r="Y309" s="126"/>
      <c r="Z309" s="126"/>
    </row>
    <row r="310">
      <c r="A310" s="127" t="s">
        <v>314</v>
      </c>
      <c r="B310" s="127">
        <v>309.0</v>
      </c>
      <c r="C310" s="127">
        <v>17.0</v>
      </c>
      <c r="D310" s="127"/>
      <c r="E310" s="127">
        <v>7.869495296E9</v>
      </c>
      <c r="F310" s="127" t="s">
        <v>1592</v>
      </c>
      <c r="G310" s="127"/>
      <c r="H310" s="127" t="s">
        <v>1974</v>
      </c>
      <c r="I310" s="126"/>
      <c r="J310" s="126"/>
      <c r="K310" s="126"/>
      <c r="L310" s="126"/>
      <c r="M310" s="126"/>
      <c r="N310" s="126"/>
      <c r="O310" s="126"/>
      <c r="P310" s="126"/>
      <c r="Q310" s="126"/>
      <c r="R310" s="126"/>
      <c r="S310" s="126"/>
      <c r="T310" s="126"/>
      <c r="U310" s="126"/>
      <c r="V310" s="126"/>
      <c r="W310" s="126"/>
      <c r="X310" s="126"/>
      <c r="Y310" s="126"/>
      <c r="Z310" s="126"/>
    </row>
    <row r="311">
      <c r="A311" s="127" t="s">
        <v>315</v>
      </c>
      <c r="B311" s="127">
        <v>310.0</v>
      </c>
      <c r="C311" s="127">
        <v>18.0</v>
      </c>
      <c r="D311" s="127"/>
      <c r="E311" s="127">
        <v>7.024325588E9</v>
      </c>
      <c r="F311" s="127" t="s">
        <v>1592</v>
      </c>
      <c r="G311" s="127"/>
      <c r="H311" s="127" t="s">
        <v>315</v>
      </c>
      <c r="I311" s="126"/>
      <c r="J311" s="126"/>
      <c r="K311" s="126"/>
      <c r="L311" s="126"/>
      <c r="M311" s="126"/>
      <c r="N311" s="126"/>
      <c r="O311" s="126"/>
      <c r="P311" s="126"/>
      <c r="Q311" s="126"/>
      <c r="R311" s="126"/>
      <c r="S311" s="126"/>
      <c r="T311" s="126"/>
      <c r="U311" s="126"/>
      <c r="V311" s="126"/>
      <c r="W311" s="126"/>
      <c r="X311" s="126"/>
      <c r="Y311" s="126"/>
      <c r="Z311" s="126"/>
    </row>
    <row r="312">
      <c r="A312" s="127" t="s">
        <v>316</v>
      </c>
      <c r="B312" s="127">
        <v>311.0</v>
      </c>
      <c r="C312" s="127">
        <v>18.0</v>
      </c>
      <c r="D312" s="127" t="s">
        <v>1438</v>
      </c>
      <c r="E312" s="127">
        <v>7.039033501E9</v>
      </c>
      <c r="F312" s="127" t="s">
        <v>1588</v>
      </c>
      <c r="G312" s="127" t="s">
        <v>316</v>
      </c>
      <c r="H312" s="127" t="s">
        <v>1975</v>
      </c>
      <c r="I312" s="126"/>
      <c r="J312" s="126"/>
      <c r="K312" s="126"/>
      <c r="L312" s="126"/>
      <c r="M312" s="126"/>
      <c r="N312" s="126"/>
      <c r="O312" s="126"/>
      <c r="P312" s="126"/>
      <c r="Q312" s="126"/>
      <c r="R312" s="126"/>
      <c r="S312" s="126"/>
      <c r="T312" s="126"/>
      <c r="U312" s="126"/>
      <c r="V312" s="126"/>
      <c r="W312" s="126"/>
      <c r="X312" s="126"/>
      <c r="Y312" s="126"/>
      <c r="Z312" s="126"/>
    </row>
    <row r="313">
      <c r="A313" s="127" t="s">
        <v>317</v>
      </c>
      <c r="B313" s="127">
        <v>312.0</v>
      </c>
      <c r="C313" s="127">
        <v>20.0</v>
      </c>
      <c r="D313" s="127" t="s">
        <v>447</v>
      </c>
      <c r="E313" s="127">
        <v>9.892981015E9</v>
      </c>
      <c r="F313" s="127" t="s">
        <v>1588</v>
      </c>
      <c r="G313" s="127" t="s">
        <v>317</v>
      </c>
      <c r="H313" s="127" t="s">
        <v>1976</v>
      </c>
      <c r="I313" s="126"/>
      <c r="J313" s="126"/>
      <c r="K313" s="126"/>
      <c r="L313" s="126"/>
      <c r="M313" s="126"/>
      <c r="N313" s="126"/>
      <c r="O313" s="126"/>
      <c r="P313" s="126"/>
      <c r="Q313" s="126"/>
      <c r="R313" s="126"/>
      <c r="S313" s="126"/>
      <c r="T313" s="126"/>
      <c r="U313" s="126"/>
      <c r="V313" s="126"/>
      <c r="W313" s="126"/>
      <c r="X313" s="126"/>
      <c r="Y313" s="126"/>
      <c r="Z313" s="126"/>
    </row>
    <row r="314">
      <c r="A314" s="127" t="s">
        <v>318</v>
      </c>
      <c r="B314" s="127">
        <v>313.0</v>
      </c>
      <c r="C314" s="127">
        <v>23.0</v>
      </c>
      <c r="D314" s="127" t="s">
        <v>487</v>
      </c>
      <c r="E314" s="127">
        <v>8.147304722E9</v>
      </c>
      <c r="F314" s="127" t="s">
        <v>1588</v>
      </c>
      <c r="G314" s="127" t="s">
        <v>318</v>
      </c>
      <c r="H314" s="127" t="s">
        <v>1977</v>
      </c>
      <c r="I314" s="126"/>
      <c r="J314" s="126"/>
      <c r="K314" s="126"/>
      <c r="L314" s="126"/>
      <c r="M314" s="126"/>
      <c r="N314" s="126"/>
      <c r="O314" s="126"/>
      <c r="P314" s="126"/>
      <c r="Q314" s="126"/>
      <c r="R314" s="126"/>
      <c r="S314" s="126"/>
      <c r="T314" s="126"/>
      <c r="U314" s="126"/>
      <c r="V314" s="126"/>
      <c r="W314" s="126"/>
      <c r="X314" s="126"/>
      <c r="Y314" s="126"/>
      <c r="Z314" s="126"/>
    </row>
    <row r="315">
      <c r="A315" s="127" t="s">
        <v>319</v>
      </c>
      <c r="B315" s="127">
        <v>314.0</v>
      </c>
      <c r="C315" s="127">
        <v>22.0</v>
      </c>
      <c r="D315" s="127" t="s">
        <v>458</v>
      </c>
      <c r="E315" s="127">
        <v>9.320864365E9</v>
      </c>
      <c r="F315" s="127" t="s">
        <v>1588</v>
      </c>
      <c r="G315" s="127" t="s">
        <v>319</v>
      </c>
      <c r="H315" s="127" t="s">
        <v>1978</v>
      </c>
      <c r="I315" s="126"/>
      <c r="J315" s="126"/>
      <c r="K315" s="126"/>
      <c r="L315" s="126"/>
      <c r="M315" s="126"/>
      <c r="N315" s="126"/>
      <c r="O315" s="126"/>
      <c r="P315" s="126"/>
      <c r="Q315" s="126"/>
      <c r="R315" s="126"/>
      <c r="S315" s="126"/>
      <c r="T315" s="126"/>
      <c r="U315" s="126"/>
      <c r="V315" s="126"/>
      <c r="W315" s="126"/>
      <c r="X315" s="126"/>
      <c r="Y315" s="126"/>
      <c r="Z315" s="126"/>
    </row>
    <row r="316">
      <c r="A316" s="127" t="s">
        <v>320</v>
      </c>
      <c r="B316" s="127">
        <v>315.0</v>
      </c>
      <c r="C316" s="127">
        <v>16.0</v>
      </c>
      <c r="D316" s="127" t="s">
        <v>458</v>
      </c>
      <c r="E316" s="127">
        <v>9.82118066E9</v>
      </c>
      <c r="F316" s="127" t="s">
        <v>1588</v>
      </c>
      <c r="G316" s="127" t="s">
        <v>320</v>
      </c>
      <c r="H316" s="127" t="s">
        <v>1979</v>
      </c>
      <c r="I316" s="126"/>
      <c r="J316" s="126"/>
      <c r="K316" s="126"/>
      <c r="L316" s="126"/>
      <c r="M316" s="126"/>
      <c r="N316" s="126"/>
      <c r="O316" s="126"/>
      <c r="P316" s="126"/>
      <c r="Q316" s="126"/>
      <c r="R316" s="126"/>
      <c r="S316" s="126"/>
      <c r="T316" s="126"/>
      <c r="U316" s="126"/>
      <c r="V316" s="126"/>
      <c r="W316" s="126"/>
      <c r="X316" s="126"/>
      <c r="Y316" s="126"/>
      <c r="Z316" s="126"/>
    </row>
    <row r="317">
      <c r="A317" s="127" t="s">
        <v>321</v>
      </c>
      <c r="B317" s="127">
        <v>316.0</v>
      </c>
      <c r="C317" s="127"/>
      <c r="D317" s="127"/>
      <c r="E317" s="127"/>
      <c r="F317" s="127" t="s">
        <v>1650</v>
      </c>
      <c r="G317" s="127"/>
      <c r="H317" s="127" t="s">
        <v>1980</v>
      </c>
      <c r="I317" s="126"/>
      <c r="J317" s="126"/>
      <c r="K317" s="126"/>
      <c r="L317" s="126"/>
      <c r="M317" s="126"/>
      <c r="N317" s="126"/>
      <c r="O317" s="126"/>
      <c r="P317" s="126"/>
      <c r="Q317" s="126"/>
      <c r="R317" s="126"/>
      <c r="S317" s="126"/>
      <c r="T317" s="126"/>
      <c r="U317" s="126"/>
      <c r="V317" s="126"/>
      <c r="W317" s="126"/>
      <c r="X317" s="126"/>
      <c r="Y317" s="126"/>
      <c r="Z317" s="126"/>
    </row>
    <row r="318">
      <c r="A318" s="127" t="s">
        <v>322</v>
      </c>
      <c r="B318" s="127">
        <v>317.0</v>
      </c>
      <c r="C318" s="127"/>
      <c r="D318" s="127"/>
      <c r="E318" s="127"/>
      <c r="F318" s="127" t="s">
        <v>1650</v>
      </c>
      <c r="G318" s="127"/>
      <c r="H318" s="127" t="s">
        <v>1980</v>
      </c>
      <c r="I318" s="126"/>
      <c r="J318" s="126"/>
      <c r="K318" s="126"/>
      <c r="L318" s="126"/>
      <c r="M318" s="126"/>
      <c r="N318" s="126"/>
      <c r="O318" s="126"/>
      <c r="P318" s="126"/>
      <c r="Q318" s="126"/>
      <c r="R318" s="126"/>
      <c r="S318" s="126"/>
      <c r="T318" s="126"/>
      <c r="U318" s="126"/>
      <c r="V318" s="126"/>
      <c r="W318" s="126"/>
      <c r="X318" s="126"/>
      <c r="Y318" s="126"/>
      <c r="Z318" s="126"/>
    </row>
    <row r="319">
      <c r="A319" s="127" t="s">
        <v>1460</v>
      </c>
      <c r="B319" s="127">
        <v>318.0</v>
      </c>
      <c r="C319" s="127">
        <v>23.0</v>
      </c>
      <c r="D319" s="127" t="s">
        <v>487</v>
      </c>
      <c r="E319" s="127">
        <v>9.51163432E9</v>
      </c>
      <c r="F319" s="127" t="s">
        <v>1588</v>
      </c>
      <c r="G319" s="127" t="s">
        <v>1460</v>
      </c>
      <c r="H319" s="127" t="s">
        <v>1981</v>
      </c>
      <c r="I319" s="126"/>
      <c r="J319" s="126"/>
      <c r="K319" s="126"/>
      <c r="L319" s="126"/>
      <c r="M319" s="126"/>
      <c r="N319" s="126"/>
      <c r="O319" s="126"/>
      <c r="P319" s="126"/>
      <c r="Q319" s="126"/>
      <c r="R319" s="126"/>
      <c r="S319" s="126"/>
      <c r="T319" s="126"/>
      <c r="U319" s="126"/>
      <c r="V319" s="126"/>
      <c r="W319" s="126"/>
      <c r="X319" s="126"/>
      <c r="Y319" s="126"/>
      <c r="Z319" s="126"/>
    </row>
    <row r="320">
      <c r="A320" s="127" t="s">
        <v>324</v>
      </c>
      <c r="B320" s="127">
        <v>319.0</v>
      </c>
      <c r="C320" s="127">
        <v>21.0</v>
      </c>
      <c r="D320" s="127"/>
      <c r="E320" s="127">
        <v>9.309875185E9</v>
      </c>
      <c r="F320" s="127" t="s">
        <v>1592</v>
      </c>
      <c r="G320" s="127"/>
      <c r="H320" s="127" t="s">
        <v>1982</v>
      </c>
      <c r="I320" s="126"/>
      <c r="J320" s="126"/>
      <c r="K320" s="126"/>
      <c r="L320" s="126"/>
      <c r="M320" s="126"/>
      <c r="N320" s="126"/>
      <c r="O320" s="126"/>
      <c r="P320" s="126"/>
      <c r="Q320" s="126"/>
      <c r="R320" s="126"/>
      <c r="S320" s="126"/>
      <c r="T320" s="126"/>
      <c r="U320" s="126"/>
      <c r="V320" s="126"/>
      <c r="W320" s="126"/>
      <c r="X320" s="126"/>
      <c r="Y320" s="126"/>
      <c r="Z320" s="126"/>
    </row>
    <row r="321">
      <c r="A321" s="127" t="s">
        <v>325</v>
      </c>
      <c r="B321" s="127">
        <v>320.0</v>
      </c>
      <c r="C321" s="127">
        <v>19.0</v>
      </c>
      <c r="D321" s="127" t="s">
        <v>487</v>
      </c>
      <c r="E321" s="127">
        <v>8.369404892E9</v>
      </c>
      <c r="F321" s="127" t="s">
        <v>1588</v>
      </c>
      <c r="G321" s="127" t="s">
        <v>325</v>
      </c>
      <c r="H321" s="127" t="s">
        <v>1983</v>
      </c>
      <c r="I321" s="126"/>
      <c r="J321" s="126"/>
      <c r="K321" s="126"/>
      <c r="L321" s="126"/>
      <c r="M321" s="126"/>
      <c r="N321" s="126"/>
      <c r="O321" s="126"/>
      <c r="P321" s="126"/>
      <c r="Q321" s="126"/>
      <c r="R321" s="126"/>
      <c r="S321" s="126"/>
      <c r="T321" s="126"/>
      <c r="U321" s="126"/>
      <c r="V321" s="126"/>
      <c r="W321" s="126"/>
      <c r="X321" s="126"/>
      <c r="Y321" s="126"/>
      <c r="Z321" s="126"/>
    </row>
    <row r="322">
      <c r="A322" s="127" t="s">
        <v>326</v>
      </c>
      <c r="B322" s="127">
        <v>321.0</v>
      </c>
      <c r="C322" s="127">
        <v>35.0</v>
      </c>
      <c r="D322" s="127" t="s">
        <v>447</v>
      </c>
      <c r="E322" s="127">
        <v>9.7140912E9</v>
      </c>
      <c r="F322" s="127" t="s">
        <v>1588</v>
      </c>
      <c r="G322" s="127" t="s">
        <v>326</v>
      </c>
      <c r="H322" s="127" t="s">
        <v>1984</v>
      </c>
      <c r="I322" s="126"/>
      <c r="J322" s="126"/>
      <c r="K322" s="126"/>
      <c r="L322" s="126"/>
      <c r="M322" s="126"/>
      <c r="N322" s="126"/>
      <c r="O322" s="126"/>
      <c r="P322" s="126"/>
      <c r="Q322" s="126"/>
      <c r="R322" s="126"/>
      <c r="S322" s="126"/>
      <c r="T322" s="126"/>
      <c r="U322" s="126"/>
      <c r="V322" s="126"/>
      <c r="W322" s="126"/>
      <c r="X322" s="126"/>
      <c r="Y322" s="126"/>
      <c r="Z322" s="126"/>
    </row>
    <row r="323">
      <c r="A323" s="127" t="s">
        <v>1985</v>
      </c>
      <c r="B323" s="127">
        <v>322.0</v>
      </c>
      <c r="C323" s="127"/>
      <c r="D323" s="127"/>
      <c r="E323" s="127"/>
      <c r="F323" s="127" t="s">
        <v>1650</v>
      </c>
      <c r="G323" s="127"/>
      <c r="H323" s="127" t="s">
        <v>1986</v>
      </c>
      <c r="I323" s="126"/>
      <c r="J323" s="126"/>
      <c r="K323" s="126"/>
      <c r="L323" s="126"/>
      <c r="M323" s="126"/>
      <c r="N323" s="126"/>
      <c r="O323" s="126"/>
      <c r="P323" s="126"/>
      <c r="Q323" s="126"/>
      <c r="R323" s="126"/>
      <c r="S323" s="126"/>
      <c r="T323" s="126"/>
      <c r="U323" s="126"/>
      <c r="V323" s="126"/>
      <c r="W323" s="126"/>
      <c r="X323" s="126"/>
      <c r="Y323" s="126"/>
      <c r="Z323" s="126"/>
    </row>
    <row r="324">
      <c r="A324" s="127" t="s">
        <v>328</v>
      </c>
      <c r="B324" s="127">
        <v>323.0</v>
      </c>
      <c r="C324" s="127">
        <v>41.0</v>
      </c>
      <c r="D324" s="127"/>
      <c r="E324" s="127">
        <v>9.624818191E9</v>
      </c>
      <c r="F324" s="127" t="s">
        <v>1592</v>
      </c>
      <c r="G324" s="127"/>
      <c r="H324" s="127" t="s">
        <v>1987</v>
      </c>
      <c r="I324" s="126"/>
      <c r="J324" s="126"/>
      <c r="K324" s="126"/>
      <c r="L324" s="126"/>
      <c r="M324" s="126"/>
      <c r="N324" s="126"/>
      <c r="O324" s="126"/>
      <c r="P324" s="126"/>
      <c r="Q324" s="126"/>
      <c r="R324" s="126"/>
      <c r="S324" s="126"/>
      <c r="T324" s="126"/>
      <c r="U324" s="126"/>
      <c r="V324" s="126"/>
      <c r="W324" s="126"/>
      <c r="X324" s="126"/>
      <c r="Y324" s="126"/>
      <c r="Z324" s="126"/>
    </row>
    <row r="325">
      <c r="A325" s="127" t="s">
        <v>329</v>
      </c>
      <c r="B325" s="127">
        <v>324.0</v>
      </c>
      <c r="C325" s="127">
        <v>25.0</v>
      </c>
      <c r="D325" s="127" t="s">
        <v>458</v>
      </c>
      <c r="E325" s="127">
        <v>9.324834354E9</v>
      </c>
      <c r="F325" s="127" t="s">
        <v>1588</v>
      </c>
      <c r="G325" s="127" t="s">
        <v>329</v>
      </c>
      <c r="H325" s="127" t="s">
        <v>1988</v>
      </c>
      <c r="I325" s="126"/>
      <c r="J325" s="126"/>
      <c r="K325" s="126"/>
      <c r="L325" s="126"/>
      <c r="M325" s="126"/>
      <c r="N325" s="126"/>
      <c r="O325" s="126"/>
      <c r="P325" s="126"/>
      <c r="Q325" s="126"/>
      <c r="R325" s="126"/>
      <c r="S325" s="126"/>
      <c r="T325" s="126"/>
      <c r="U325" s="126"/>
      <c r="V325" s="126"/>
      <c r="W325" s="126"/>
      <c r="X325" s="126"/>
      <c r="Y325" s="126"/>
      <c r="Z325" s="126"/>
    </row>
    <row r="326">
      <c r="A326" s="127" t="s">
        <v>330</v>
      </c>
      <c r="B326" s="127">
        <v>325.0</v>
      </c>
      <c r="C326" s="127">
        <v>23.0</v>
      </c>
      <c r="D326" s="127" t="s">
        <v>447</v>
      </c>
      <c r="E326" s="127">
        <v>9.71291323E9</v>
      </c>
      <c r="F326" s="127" t="s">
        <v>1588</v>
      </c>
      <c r="G326" s="127" t="s">
        <v>1989</v>
      </c>
      <c r="H326" s="127" t="s">
        <v>1990</v>
      </c>
      <c r="I326" s="126"/>
      <c r="J326" s="126"/>
      <c r="K326" s="126"/>
      <c r="L326" s="126"/>
      <c r="M326" s="126"/>
      <c r="N326" s="126"/>
      <c r="O326" s="126"/>
      <c r="P326" s="126"/>
      <c r="Q326" s="126"/>
      <c r="R326" s="126"/>
      <c r="S326" s="126"/>
      <c r="T326" s="126"/>
      <c r="U326" s="126"/>
      <c r="V326" s="126"/>
      <c r="W326" s="126"/>
      <c r="X326" s="126"/>
      <c r="Y326" s="126"/>
      <c r="Z326" s="126"/>
    </row>
    <row r="327">
      <c r="A327" s="127" t="s">
        <v>331</v>
      </c>
      <c r="B327" s="127">
        <v>326.0</v>
      </c>
      <c r="C327" s="127"/>
      <c r="D327" s="127"/>
      <c r="E327" s="127"/>
      <c r="F327" s="127" t="s">
        <v>1650</v>
      </c>
      <c r="G327" s="127"/>
      <c r="H327" s="127" t="s">
        <v>1991</v>
      </c>
      <c r="I327" s="126"/>
      <c r="J327" s="126"/>
      <c r="K327" s="126"/>
      <c r="L327" s="126"/>
      <c r="M327" s="126"/>
      <c r="N327" s="126"/>
      <c r="O327" s="126"/>
      <c r="P327" s="126"/>
      <c r="Q327" s="126"/>
      <c r="R327" s="126"/>
      <c r="S327" s="126"/>
      <c r="T327" s="126"/>
      <c r="U327" s="126"/>
      <c r="V327" s="126"/>
      <c r="W327" s="126"/>
      <c r="X327" s="126"/>
      <c r="Y327" s="126"/>
      <c r="Z327" s="126"/>
    </row>
    <row r="328">
      <c r="A328" s="127" t="s">
        <v>332</v>
      </c>
      <c r="B328" s="127">
        <v>327.0</v>
      </c>
      <c r="C328" s="127"/>
      <c r="D328" s="127"/>
      <c r="E328" s="127"/>
      <c r="F328" s="127" t="s">
        <v>1650</v>
      </c>
      <c r="G328" s="127"/>
      <c r="H328" s="127" t="s">
        <v>1991</v>
      </c>
      <c r="I328" s="126"/>
      <c r="J328" s="126"/>
      <c r="K328" s="126"/>
      <c r="L328" s="126"/>
      <c r="M328" s="126"/>
      <c r="N328" s="126"/>
      <c r="O328" s="126"/>
      <c r="P328" s="126"/>
      <c r="Q328" s="126"/>
      <c r="R328" s="126"/>
      <c r="S328" s="126"/>
      <c r="T328" s="126"/>
      <c r="U328" s="126"/>
      <c r="V328" s="126"/>
      <c r="W328" s="126"/>
      <c r="X328" s="126"/>
      <c r="Y328" s="126"/>
      <c r="Z328" s="126"/>
    </row>
    <row r="329">
      <c r="A329" s="127" t="s">
        <v>1496</v>
      </c>
      <c r="B329" s="127">
        <v>328.0</v>
      </c>
      <c r="C329" s="127">
        <v>28.0</v>
      </c>
      <c r="D329" s="127" t="s">
        <v>458</v>
      </c>
      <c r="E329" s="127">
        <v>9.829188428E9</v>
      </c>
      <c r="F329" s="127" t="s">
        <v>1588</v>
      </c>
      <c r="G329" s="127" t="s">
        <v>1496</v>
      </c>
      <c r="H329" s="127" t="s">
        <v>1992</v>
      </c>
      <c r="I329" s="126"/>
      <c r="J329" s="126"/>
      <c r="K329" s="126"/>
      <c r="L329" s="126"/>
      <c r="M329" s="126"/>
      <c r="N329" s="126"/>
      <c r="O329" s="126"/>
      <c r="P329" s="126"/>
      <c r="Q329" s="126"/>
      <c r="R329" s="126"/>
      <c r="S329" s="126"/>
      <c r="T329" s="126"/>
      <c r="U329" s="126"/>
      <c r="V329" s="126"/>
      <c r="W329" s="126"/>
      <c r="X329" s="126"/>
      <c r="Y329" s="126"/>
      <c r="Z329" s="126"/>
    </row>
    <row r="330">
      <c r="A330" s="127" t="s">
        <v>334</v>
      </c>
      <c r="B330" s="127">
        <v>329.0</v>
      </c>
      <c r="C330" s="127">
        <v>18.0</v>
      </c>
      <c r="D330" s="127" t="s">
        <v>447</v>
      </c>
      <c r="E330" s="127">
        <v>9.422666062E9</v>
      </c>
      <c r="F330" s="127" t="s">
        <v>1588</v>
      </c>
      <c r="G330" s="127" t="s">
        <v>334</v>
      </c>
      <c r="H330" s="127" t="s">
        <v>1993</v>
      </c>
      <c r="I330" s="126"/>
      <c r="J330" s="126"/>
      <c r="K330" s="126"/>
      <c r="L330" s="126"/>
      <c r="M330" s="126"/>
      <c r="N330" s="126"/>
      <c r="O330" s="126"/>
      <c r="P330" s="126"/>
      <c r="Q330" s="126"/>
      <c r="R330" s="126"/>
      <c r="S330" s="126"/>
      <c r="T330" s="126"/>
      <c r="U330" s="126"/>
      <c r="V330" s="126"/>
      <c r="W330" s="126"/>
      <c r="X330" s="126"/>
      <c r="Y330" s="126"/>
      <c r="Z330" s="126"/>
    </row>
    <row r="331">
      <c r="A331" s="127" t="s">
        <v>335</v>
      </c>
      <c r="B331" s="127">
        <v>330.0</v>
      </c>
      <c r="C331" s="127">
        <v>24.0</v>
      </c>
      <c r="D331" s="127" t="s">
        <v>447</v>
      </c>
      <c r="E331" s="127">
        <v>8.16078341E9</v>
      </c>
      <c r="F331" s="127" t="s">
        <v>1588</v>
      </c>
      <c r="G331" s="127" t="s">
        <v>335</v>
      </c>
      <c r="H331" s="127" t="s">
        <v>1994</v>
      </c>
      <c r="I331" s="126"/>
      <c r="J331" s="126"/>
      <c r="K331" s="126"/>
      <c r="L331" s="126"/>
      <c r="M331" s="126"/>
      <c r="N331" s="126"/>
      <c r="O331" s="126"/>
      <c r="P331" s="126"/>
      <c r="Q331" s="126"/>
      <c r="R331" s="126"/>
      <c r="S331" s="126"/>
      <c r="T331" s="126"/>
      <c r="U331" s="126"/>
      <c r="V331" s="126"/>
      <c r="W331" s="126"/>
      <c r="X331" s="126"/>
      <c r="Y331" s="126"/>
      <c r="Z331" s="126"/>
    </row>
    <row r="332">
      <c r="A332" s="127" t="s">
        <v>1995</v>
      </c>
      <c r="B332" s="127">
        <v>331.0</v>
      </c>
      <c r="C332" s="127">
        <v>18.0</v>
      </c>
      <c r="D332" s="127" t="s">
        <v>447</v>
      </c>
      <c r="E332" s="127">
        <v>9.427066925E9</v>
      </c>
      <c r="F332" s="127" t="s">
        <v>1588</v>
      </c>
      <c r="G332" s="127" t="s">
        <v>1995</v>
      </c>
      <c r="H332" s="127" t="s">
        <v>1996</v>
      </c>
      <c r="I332" s="126"/>
      <c r="J332" s="126"/>
      <c r="K332" s="126"/>
      <c r="L332" s="126"/>
      <c r="M332" s="126"/>
      <c r="N332" s="126"/>
      <c r="O332" s="126"/>
      <c r="P332" s="126"/>
      <c r="Q332" s="126"/>
      <c r="R332" s="126"/>
      <c r="S332" s="126"/>
      <c r="T332" s="126"/>
      <c r="U332" s="126"/>
      <c r="V332" s="126"/>
      <c r="W332" s="126"/>
      <c r="X332" s="126"/>
      <c r="Y332" s="126"/>
      <c r="Z332" s="126"/>
    </row>
    <row r="333">
      <c r="A333" s="127" t="s">
        <v>1997</v>
      </c>
      <c r="B333" s="127">
        <v>332.0</v>
      </c>
      <c r="C333" s="127">
        <v>21.0</v>
      </c>
      <c r="D333" s="127" t="s">
        <v>458</v>
      </c>
      <c r="E333" s="127">
        <v>9.925995882E9</v>
      </c>
      <c r="F333" s="127" t="s">
        <v>1588</v>
      </c>
      <c r="G333" s="127" t="s">
        <v>1997</v>
      </c>
      <c r="H333" s="127" t="s">
        <v>1998</v>
      </c>
      <c r="I333" s="126"/>
      <c r="J333" s="126"/>
      <c r="K333" s="126"/>
      <c r="L333" s="126"/>
      <c r="M333" s="126"/>
      <c r="N333" s="126"/>
      <c r="O333" s="126"/>
      <c r="P333" s="126"/>
      <c r="Q333" s="126"/>
      <c r="R333" s="126"/>
      <c r="S333" s="126"/>
      <c r="T333" s="126"/>
      <c r="U333" s="126"/>
      <c r="V333" s="126"/>
      <c r="W333" s="126"/>
      <c r="X333" s="126"/>
      <c r="Y333" s="126"/>
      <c r="Z333" s="126"/>
    </row>
    <row r="334">
      <c r="A334" s="127" t="s">
        <v>338</v>
      </c>
      <c r="B334" s="127">
        <v>333.0</v>
      </c>
      <c r="C334" s="127">
        <v>16.0</v>
      </c>
      <c r="D334" s="127" t="s">
        <v>447</v>
      </c>
      <c r="E334" s="127">
        <v>7.058053936E9</v>
      </c>
      <c r="F334" s="127" t="s">
        <v>1588</v>
      </c>
      <c r="G334" s="127" t="s">
        <v>1510</v>
      </c>
      <c r="H334" s="127" t="s">
        <v>1999</v>
      </c>
      <c r="I334" s="126"/>
      <c r="J334" s="126"/>
      <c r="K334" s="126"/>
      <c r="L334" s="126"/>
      <c r="M334" s="126"/>
      <c r="N334" s="126"/>
      <c r="O334" s="126"/>
      <c r="P334" s="126"/>
      <c r="Q334" s="126"/>
      <c r="R334" s="126"/>
      <c r="S334" s="126"/>
      <c r="T334" s="126"/>
      <c r="U334" s="126"/>
      <c r="V334" s="126"/>
      <c r="W334" s="126"/>
      <c r="X334" s="126"/>
      <c r="Y334" s="126"/>
      <c r="Z334" s="126"/>
    </row>
    <row r="335">
      <c r="A335" s="127" t="s">
        <v>339</v>
      </c>
      <c r="B335" s="127">
        <v>334.0</v>
      </c>
      <c r="C335" s="127"/>
      <c r="D335" s="127"/>
      <c r="E335" s="127">
        <v>9.833554206E9</v>
      </c>
      <c r="F335" s="127" t="s">
        <v>1592</v>
      </c>
      <c r="G335" s="127"/>
      <c r="H335" s="127" t="s">
        <v>2000</v>
      </c>
      <c r="I335" s="126"/>
      <c r="J335" s="126"/>
      <c r="K335" s="126"/>
      <c r="L335" s="126"/>
      <c r="M335" s="126"/>
      <c r="N335" s="126"/>
      <c r="O335" s="126"/>
      <c r="P335" s="126"/>
      <c r="Q335" s="126"/>
      <c r="R335" s="126"/>
      <c r="S335" s="126"/>
      <c r="T335" s="126"/>
      <c r="U335" s="126"/>
      <c r="V335" s="126"/>
      <c r="W335" s="126"/>
      <c r="X335" s="126"/>
      <c r="Y335" s="126"/>
      <c r="Z335" s="126"/>
    </row>
    <row r="336">
      <c r="A336" s="127" t="s">
        <v>340</v>
      </c>
      <c r="B336" s="127">
        <v>335.0</v>
      </c>
      <c r="C336" s="127">
        <v>22.0</v>
      </c>
      <c r="D336" s="127" t="s">
        <v>447</v>
      </c>
      <c r="E336" s="127">
        <v>7.849873562E9</v>
      </c>
      <c r="F336" s="127" t="s">
        <v>1588</v>
      </c>
      <c r="G336" s="127" t="s">
        <v>2001</v>
      </c>
      <c r="H336" s="127" t="s">
        <v>2002</v>
      </c>
      <c r="I336" s="126"/>
      <c r="J336" s="126"/>
      <c r="K336" s="126"/>
      <c r="L336" s="126"/>
      <c r="M336" s="126"/>
      <c r="N336" s="126"/>
      <c r="O336" s="126"/>
      <c r="P336" s="126"/>
      <c r="Q336" s="126"/>
      <c r="R336" s="126"/>
      <c r="S336" s="126"/>
      <c r="T336" s="126"/>
      <c r="U336" s="126"/>
      <c r="V336" s="126"/>
      <c r="W336" s="126"/>
      <c r="X336" s="126"/>
      <c r="Y336" s="126"/>
      <c r="Z336" s="126"/>
    </row>
    <row r="337">
      <c r="A337" s="127" t="s">
        <v>341</v>
      </c>
      <c r="B337" s="127">
        <v>336.0</v>
      </c>
      <c r="C337" s="127">
        <v>33.0</v>
      </c>
      <c r="D337" s="127" t="s">
        <v>447</v>
      </c>
      <c r="E337" s="127">
        <v>9.893285655E9</v>
      </c>
      <c r="F337" s="127" t="s">
        <v>1588</v>
      </c>
      <c r="G337" s="127" t="s">
        <v>341</v>
      </c>
      <c r="H337" s="127" t="s">
        <v>2003</v>
      </c>
      <c r="I337" s="126"/>
      <c r="J337" s="126"/>
      <c r="K337" s="126"/>
      <c r="L337" s="126"/>
      <c r="M337" s="126"/>
      <c r="N337" s="126"/>
      <c r="O337" s="126"/>
      <c r="P337" s="126"/>
      <c r="Q337" s="126"/>
      <c r="R337" s="126"/>
      <c r="S337" s="126"/>
      <c r="T337" s="126"/>
      <c r="U337" s="126"/>
      <c r="V337" s="126"/>
      <c r="W337" s="126"/>
      <c r="X337" s="126"/>
      <c r="Y337" s="126"/>
      <c r="Z337" s="126"/>
    </row>
    <row r="338">
      <c r="A338" s="127" t="s">
        <v>342</v>
      </c>
      <c r="B338" s="127">
        <v>337.0</v>
      </c>
      <c r="C338" s="127">
        <v>33.0</v>
      </c>
      <c r="D338" s="127" t="s">
        <v>458</v>
      </c>
      <c r="E338" s="127">
        <v>9.619402561E9</v>
      </c>
      <c r="F338" s="127" t="s">
        <v>1588</v>
      </c>
      <c r="G338" s="127" t="s">
        <v>703</v>
      </c>
      <c r="H338" s="127" t="s">
        <v>2004</v>
      </c>
      <c r="I338" s="126"/>
      <c r="J338" s="126"/>
      <c r="K338" s="126"/>
      <c r="L338" s="126"/>
      <c r="M338" s="126"/>
      <c r="N338" s="126"/>
      <c r="O338" s="126"/>
      <c r="P338" s="126"/>
      <c r="Q338" s="126"/>
      <c r="R338" s="126"/>
      <c r="S338" s="126"/>
      <c r="T338" s="126"/>
      <c r="U338" s="126"/>
      <c r="V338" s="126"/>
      <c r="W338" s="126"/>
      <c r="X338" s="126"/>
      <c r="Y338" s="126"/>
      <c r="Z338" s="126"/>
    </row>
    <row r="339">
      <c r="A339" s="127" t="s">
        <v>343</v>
      </c>
      <c r="B339" s="127">
        <v>338.0</v>
      </c>
      <c r="C339" s="127"/>
      <c r="D339" s="127"/>
      <c r="E339" s="127"/>
      <c r="F339" s="127" t="s">
        <v>1650</v>
      </c>
      <c r="G339" s="127"/>
      <c r="H339" s="127" t="s">
        <v>2005</v>
      </c>
      <c r="I339" s="126"/>
      <c r="J339" s="126"/>
      <c r="K339" s="126"/>
      <c r="L339" s="126"/>
      <c r="M339" s="126"/>
      <c r="N339" s="126"/>
      <c r="O339" s="126"/>
      <c r="P339" s="126"/>
      <c r="Q339" s="126"/>
      <c r="R339" s="126"/>
      <c r="S339" s="126"/>
      <c r="T339" s="126"/>
      <c r="U339" s="126"/>
      <c r="V339" s="126"/>
      <c r="W339" s="126"/>
      <c r="X339" s="126"/>
      <c r="Y339" s="126"/>
      <c r="Z339" s="126"/>
    </row>
    <row r="340">
      <c r="A340" s="127" t="s">
        <v>344</v>
      </c>
      <c r="B340" s="127">
        <v>339.0</v>
      </c>
      <c r="C340" s="127">
        <v>31.0</v>
      </c>
      <c r="D340" s="127" t="s">
        <v>447</v>
      </c>
      <c r="E340" s="127">
        <v>9.413805414E9</v>
      </c>
      <c r="F340" s="127" t="s">
        <v>1588</v>
      </c>
      <c r="G340" s="127" t="s">
        <v>344</v>
      </c>
      <c r="H340" s="127" t="s">
        <v>2006</v>
      </c>
      <c r="I340" s="126"/>
      <c r="J340" s="126"/>
      <c r="K340" s="126"/>
      <c r="L340" s="126"/>
      <c r="M340" s="126"/>
      <c r="N340" s="126"/>
      <c r="O340" s="126"/>
      <c r="P340" s="126"/>
      <c r="Q340" s="126"/>
      <c r="R340" s="126"/>
      <c r="S340" s="126"/>
      <c r="T340" s="126"/>
      <c r="U340" s="126"/>
      <c r="V340" s="126"/>
      <c r="W340" s="126"/>
      <c r="X340" s="126"/>
      <c r="Y340" s="126"/>
      <c r="Z340" s="126"/>
    </row>
    <row r="341">
      <c r="A341" s="127" t="s">
        <v>345</v>
      </c>
      <c r="B341" s="127">
        <v>340.0</v>
      </c>
      <c r="C341" s="127">
        <v>24.0</v>
      </c>
      <c r="D341" s="127" t="s">
        <v>487</v>
      </c>
      <c r="E341" s="127">
        <v>9.226144134E9</v>
      </c>
      <c r="F341" s="127" t="s">
        <v>1588</v>
      </c>
      <c r="G341" s="127" t="s">
        <v>2007</v>
      </c>
      <c r="H341" s="127" t="s">
        <v>2008</v>
      </c>
      <c r="I341" s="126"/>
      <c r="J341" s="126"/>
      <c r="K341" s="126"/>
      <c r="L341" s="126"/>
      <c r="M341" s="126"/>
      <c r="N341" s="126"/>
      <c r="O341" s="126"/>
      <c r="P341" s="126"/>
      <c r="Q341" s="126"/>
      <c r="R341" s="126"/>
      <c r="S341" s="126"/>
      <c r="T341" s="126"/>
      <c r="U341" s="126"/>
      <c r="V341" s="126"/>
      <c r="W341" s="126"/>
      <c r="X341" s="126"/>
      <c r="Y341" s="126"/>
      <c r="Z341" s="126"/>
    </row>
    <row r="342">
      <c r="A342" s="127" t="s">
        <v>346</v>
      </c>
      <c r="B342" s="127">
        <v>341.0</v>
      </c>
      <c r="C342" s="127">
        <v>42.0</v>
      </c>
      <c r="D342" s="127" t="s">
        <v>604</v>
      </c>
      <c r="E342" s="127">
        <v>9.820306577E9</v>
      </c>
      <c r="F342" s="127" t="s">
        <v>1636</v>
      </c>
      <c r="G342" s="127" t="s">
        <v>608</v>
      </c>
      <c r="H342" s="127" t="s">
        <v>2009</v>
      </c>
      <c r="I342" s="126"/>
      <c r="J342" s="126"/>
      <c r="K342" s="126"/>
      <c r="L342" s="126"/>
      <c r="M342" s="126"/>
      <c r="N342" s="126"/>
      <c r="O342" s="126"/>
      <c r="P342" s="126"/>
      <c r="Q342" s="126"/>
      <c r="R342" s="126"/>
      <c r="S342" s="126"/>
      <c r="T342" s="126"/>
      <c r="U342" s="126"/>
      <c r="V342" s="126"/>
      <c r="W342" s="126"/>
      <c r="X342" s="126"/>
      <c r="Y342" s="126"/>
      <c r="Z342" s="126"/>
    </row>
    <row r="343">
      <c r="A343" s="127" t="s">
        <v>347</v>
      </c>
      <c r="B343" s="127">
        <v>342.0</v>
      </c>
      <c r="C343" s="127"/>
      <c r="D343" s="127"/>
      <c r="E343" s="127">
        <v>9.96997168E9</v>
      </c>
      <c r="F343" s="127" t="s">
        <v>1592</v>
      </c>
      <c r="G343" s="127"/>
      <c r="H343" s="127" t="s">
        <v>2010</v>
      </c>
      <c r="I343" s="126"/>
      <c r="J343" s="126"/>
      <c r="K343" s="126"/>
      <c r="L343" s="126"/>
      <c r="M343" s="126"/>
      <c r="N343" s="126"/>
      <c r="O343" s="126"/>
      <c r="P343" s="126"/>
      <c r="Q343" s="126"/>
      <c r="R343" s="126"/>
      <c r="S343" s="126"/>
      <c r="T343" s="126"/>
      <c r="U343" s="126"/>
      <c r="V343" s="126"/>
      <c r="W343" s="126"/>
      <c r="X343" s="126"/>
      <c r="Y343" s="126"/>
      <c r="Z343" s="126"/>
    </row>
    <row r="344">
      <c r="A344" s="127" t="s">
        <v>348</v>
      </c>
      <c r="B344" s="127">
        <v>343.0</v>
      </c>
      <c r="C344" s="127"/>
      <c r="D344" s="127"/>
      <c r="E344" s="127">
        <v>7.987411677E9</v>
      </c>
      <c r="F344" s="127" t="s">
        <v>1592</v>
      </c>
      <c r="G344" s="127"/>
      <c r="H344" s="127" t="s">
        <v>2011</v>
      </c>
      <c r="I344" s="126"/>
      <c r="J344" s="126"/>
      <c r="K344" s="126"/>
      <c r="L344" s="126"/>
      <c r="M344" s="126"/>
      <c r="N344" s="126"/>
      <c r="O344" s="126"/>
      <c r="P344" s="126"/>
      <c r="Q344" s="126"/>
      <c r="R344" s="126"/>
      <c r="S344" s="126"/>
      <c r="T344" s="126"/>
      <c r="U344" s="126"/>
      <c r="V344" s="126"/>
      <c r="W344" s="126"/>
      <c r="X344" s="126"/>
      <c r="Y344" s="126"/>
      <c r="Z344" s="126"/>
    </row>
    <row r="345">
      <c r="A345" s="127" t="s">
        <v>349</v>
      </c>
      <c r="B345" s="127">
        <v>344.0</v>
      </c>
      <c r="C345" s="127">
        <v>32.0</v>
      </c>
      <c r="D345" s="127" t="s">
        <v>447</v>
      </c>
      <c r="E345" s="127">
        <v>9.870914343E9</v>
      </c>
      <c r="F345" s="127" t="s">
        <v>1588</v>
      </c>
      <c r="G345" s="127" t="s">
        <v>1026</v>
      </c>
      <c r="H345" s="127" t="s">
        <v>2012</v>
      </c>
      <c r="I345" s="126"/>
      <c r="J345" s="126"/>
      <c r="K345" s="126"/>
      <c r="L345" s="126"/>
      <c r="M345" s="126"/>
      <c r="N345" s="126"/>
      <c r="O345" s="126"/>
      <c r="P345" s="126"/>
      <c r="Q345" s="126"/>
      <c r="R345" s="126"/>
      <c r="S345" s="126"/>
      <c r="T345" s="126"/>
      <c r="U345" s="126"/>
      <c r="V345" s="126"/>
      <c r="W345" s="126"/>
      <c r="X345" s="126"/>
      <c r="Y345" s="126"/>
      <c r="Z345" s="126"/>
    </row>
    <row r="346">
      <c r="A346" s="127" t="s">
        <v>350</v>
      </c>
      <c r="B346" s="127">
        <v>345.0</v>
      </c>
      <c r="C346" s="127">
        <v>29.0</v>
      </c>
      <c r="D346" s="127" t="s">
        <v>604</v>
      </c>
      <c r="E346" s="127">
        <v>9.773070052E9</v>
      </c>
      <c r="F346" s="127" t="s">
        <v>1588</v>
      </c>
      <c r="G346" s="127" t="s">
        <v>350</v>
      </c>
      <c r="H346" s="127" t="s">
        <v>2013</v>
      </c>
      <c r="I346" s="126"/>
      <c r="J346" s="126"/>
      <c r="K346" s="126"/>
      <c r="L346" s="126"/>
      <c r="M346" s="126"/>
      <c r="N346" s="126"/>
      <c r="O346" s="126"/>
      <c r="P346" s="126"/>
      <c r="Q346" s="126"/>
      <c r="R346" s="126"/>
      <c r="S346" s="126"/>
      <c r="T346" s="126"/>
      <c r="U346" s="126"/>
      <c r="V346" s="126"/>
      <c r="W346" s="126"/>
      <c r="X346" s="126"/>
      <c r="Y346" s="126"/>
      <c r="Z346" s="126"/>
    </row>
    <row r="347">
      <c r="A347" s="127" t="s">
        <v>351</v>
      </c>
      <c r="B347" s="127">
        <v>346.0</v>
      </c>
      <c r="C347" s="127"/>
      <c r="D347" s="127"/>
      <c r="E347" s="127">
        <v>8.839742689E9</v>
      </c>
      <c r="F347" s="127" t="s">
        <v>1592</v>
      </c>
      <c r="G347" s="127"/>
      <c r="H347" s="127" t="s">
        <v>2014</v>
      </c>
      <c r="I347" s="126"/>
      <c r="J347" s="126"/>
      <c r="K347" s="126"/>
      <c r="L347" s="126"/>
      <c r="M347" s="126"/>
      <c r="N347" s="126"/>
      <c r="O347" s="126"/>
      <c r="P347" s="126"/>
      <c r="Q347" s="126"/>
      <c r="R347" s="126"/>
      <c r="S347" s="126"/>
      <c r="T347" s="126"/>
      <c r="U347" s="126"/>
      <c r="V347" s="126"/>
      <c r="W347" s="126"/>
      <c r="X347" s="126"/>
      <c r="Y347" s="126"/>
      <c r="Z347" s="126"/>
    </row>
    <row r="348">
      <c r="A348" s="127" t="s">
        <v>352</v>
      </c>
      <c r="B348" s="127">
        <v>347.0</v>
      </c>
      <c r="C348" s="127"/>
      <c r="D348" s="127"/>
      <c r="E348" s="127">
        <v>9.755410101E9</v>
      </c>
      <c r="F348" s="127" t="s">
        <v>1592</v>
      </c>
      <c r="G348" s="127"/>
      <c r="H348" s="127" t="s">
        <v>2015</v>
      </c>
      <c r="I348" s="126"/>
      <c r="J348" s="126"/>
      <c r="K348" s="126"/>
      <c r="L348" s="126"/>
      <c r="M348" s="126"/>
      <c r="N348" s="126"/>
      <c r="O348" s="126"/>
      <c r="P348" s="126"/>
      <c r="Q348" s="126"/>
      <c r="R348" s="126"/>
      <c r="S348" s="126"/>
      <c r="T348" s="126"/>
      <c r="U348" s="126"/>
      <c r="V348" s="126"/>
      <c r="W348" s="126"/>
      <c r="X348" s="126"/>
      <c r="Y348" s="126"/>
      <c r="Z348" s="126"/>
    </row>
    <row r="349">
      <c r="A349" s="127" t="s">
        <v>353</v>
      </c>
      <c r="B349" s="127">
        <v>348.0</v>
      </c>
      <c r="C349" s="127"/>
      <c r="D349" s="127"/>
      <c r="E349" s="127">
        <v>7.710839615E9</v>
      </c>
      <c r="F349" s="127" t="s">
        <v>1592</v>
      </c>
      <c r="G349" s="127"/>
      <c r="H349" s="127" t="s">
        <v>2016</v>
      </c>
      <c r="I349" s="126"/>
      <c r="J349" s="126"/>
      <c r="K349" s="126"/>
      <c r="L349" s="126"/>
      <c r="M349" s="126"/>
      <c r="N349" s="126"/>
      <c r="O349" s="126"/>
      <c r="P349" s="126"/>
      <c r="Q349" s="126"/>
      <c r="R349" s="126"/>
      <c r="S349" s="126"/>
      <c r="T349" s="126"/>
      <c r="U349" s="126"/>
      <c r="V349" s="126"/>
      <c r="W349" s="126"/>
      <c r="X349" s="126"/>
      <c r="Y349" s="126"/>
      <c r="Z349" s="126"/>
    </row>
    <row r="350">
      <c r="A350" s="127" t="s">
        <v>354</v>
      </c>
      <c r="B350" s="127">
        <v>349.0</v>
      </c>
      <c r="C350" s="127">
        <v>17.0</v>
      </c>
      <c r="D350" s="127" t="s">
        <v>458</v>
      </c>
      <c r="E350" s="127">
        <v>9.5845327E9</v>
      </c>
      <c r="F350" s="127" t="s">
        <v>1588</v>
      </c>
      <c r="G350" s="127" t="s">
        <v>354</v>
      </c>
      <c r="H350" s="127" t="s">
        <v>2017</v>
      </c>
      <c r="I350" s="126"/>
      <c r="J350" s="126"/>
      <c r="K350" s="126"/>
      <c r="L350" s="126"/>
      <c r="M350" s="126"/>
      <c r="N350" s="126"/>
      <c r="O350" s="126"/>
      <c r="P350" s="126"/>
      <c r="Q350" s="126"/>
      <c r="R350" s="126"/>
      <c r="S350" s="126"/>
      <c r="T350" s="126"/>
      <c r="U350" s="126"/>
      <c r="V350" s="126"/>
      <c r="W350" s="126"/>
      <c r="X350" s="126"/>
      <c r="Y350" s="126"/>
      <c r="Z350" s="126"/>
    </row>
    <row r="351">
      <c r="A351" s="127" t="s">
        <v>355</v>
      </c>
      <c r="B351" s="127">
        <v>350.0</v>
      </c>
      <c r="C351" s="127"/>
      <c r="D351" s="127"/>
      <c r="E351" s="127"/>
      <c r="F351" s="127" t="s">
        <v>1650</v>
      </c>
      <c r="G351" s="127"/>
      <c r="H351" s="127" t="s">
        <v>2018</v>
      </c>
      <c r="I351" s="126"/>
      <c r="J351" s="126"/>
      <c r="K351" s="126"/>
      <c r="L351" s="126"/>
      <c r="M351" s="126"/>
      <c r="N351" s="126"/>
      <c r="O351" s="126"/>
      <c r="P351" s="126"/>
      <c r="Q351" s="126"/>
      <c r="R351" s="126"/>
      <c r="S351" s="126"/>
      <c r="T351" s="126"/>
      <c r="U351" s="126"/>
      <c r="V351" s="126"/>
      <c r="W351" s="126"/>
      <c r="X351" s="126"/>
      <c r="Y351" s="126"/>
      <c r="Z351" s="126"/>
    </row>
    <row r="352">
      <c r="A352" s="127" t="s">
        <v>356</v>
      </c>
      <c r="B352" s="127">
        <v>351.0</v>
      </c>
      <c r="C352" s="127">
        <v>21.0</v>
      </c>
      <c r="D352" s="127" t="s">
        <v>487</v>
      </c>
      <c r="E352" s="127">
        <v>6.261254231E9</v>
      </c>
      <c r="F352" s="127" t="s">
        <v>1636</v>
      </c>
      <c r="G352" s="127" t="s">
        <v>2019</v>
      </c>
      <c r="H352" s="127" t="s">
        <v>2020</v>
      </c>
      <c r="I352" s="126"/>
      <c r="J352" s="126"/>
      <c r="K352" s="126"/>
      <c r="L352" s="126"/>
      <c r="M352" s="126"/>
      <c r="N352" s="126"/>
      <c r="O352" s="126"/>
      <c r="P352" s="126"/>
      <c r="Q352" s="126"/>
      <c r="R352" s="126"/>
      <c r="S352" s="126"/>
      <c r="T352" s="126"/>
      <c r="U352" s="126"/>
      <c r="V352" s="126"/>
      <c r="W352" s="126"/>
      <c r="X352" s="126"/>
      <c r="Y352" s="126"/>
      <c r="Z352" s="126"/>
    </row>
    <row r="353">
      <c r="A353" s="127" t="s">
        <v>357</v>
      </c>
      <c r="B353" s="127">
        <v>352.0</v>
      </c>
      <c r="C353" s="127">
        <v>37.0</v>
      </c>
      <c r="D353" s="127" t="s">
        <v>470</v>
      </c>
      <c r="E353" s="127">
        <v>8.779142101E9</v>
      </c>
      <c r="F353" s="127" t="s">
        <v>1636</v>
      </c>
      <c r="G353" s="127" t="s">
        <v>1033</v>
      </c>
      <c r="H353" s="127" t="s">
        <v>2021</v>
      </c>
      <c r="I353" s="126"/>
      <c r="J353" s="126"/>
      <c r="K353" s="126"/>
      <c r="L353" s="126"/>
      <c r="M353" s="126"/>
      <c r="N353" s="126"/>
      <c r="O353" s="126"/>
      <c r="P353" s="126"/>
      <c r="Q353" s="126"/>
      <c r="R353" s="126"/>
      <c r="S353" s="126"/>
      <c r="T353" s="126"/>
      <c r="U353" s="126"/>
      <c r="V353" s="126"/>
      <c r="W353" s="126"/>
      <c r="X353" s="126"/>
      <c r="Y353" s="126"/>
      <c r="Z353" s="126"/>
    </row>
    <row r="354">
      <c r="A354" s="127" t="s">
        <v>358</v>
      </c>
      <c r="B354" s="127">
        <v>353.0</v>
      </c>
      <c r="C354" s="127">
        <v>25.0</v>
      </c>
      <c r="D354" s="127" t="s">
        <v>447</v>
      </c>
      <c r="E354" s="127">
        <v>9.424881377E9</v>
      </c>
      <c r="F354" s="127" t="s">
        <v>1588</v>
      </c>
      <c r="G354" s="127" t="s">
        <v>358</v>
      </c>
      <c r="H354" s="127" t="s">
        <v>2022</v>
      </c>
      <c r="I354" s="126"/>
      <c r="J354" s="126"/>
      <c r="K354" s="126"/>
      <c r="L354" s="126"/>
      <c r="M354" s="126"/>
      <c r="N354" s="126"/>
      <c r="O354" s="126"/>
      <c r="P354" s="126"/>
      <c r="Q354" s="126"/>
      <c r="R354" s="126"/>
      <c r="S354" s="126"/>
      <c r="T354" s="126"/>
      <c r="U354" s="126"/>
      <c r="V354" s="126"/>
      <c r="W354" s="126"/>
      <c r="X354" s="126"/>
      <c r="Y354" s="126"/>
      <c r="Z354" s="126"/>
    </row>
    <row r="355">
      <c r="A355" s="127" t="s">
        <v>359</v>
      </c>
      <c r="B355" s="127">
        <v>354.0</v>
      </c>
      <c r="C355" s="127">
        <v>24.0</v>
      </c>
      <c r="D355" s="127" t="s">
        <v>447</v>
      </c>
      <c r="E355" s="127">
        <v>9.766550372E9</v>
      </c>
      <c r="F355" s="127" t="s">
        <v>1588</v>
      </c>
      <c r="G355" s="127" t="s">
        <v>359</v>
      </c>
      <c r="H355" s="127" t="s">
        <v>2023</v>
      </c>
      <c r="I355" s="126"/>
      <c r="J355" s="126"/>
      <c r="K355" s="126"/>
      <c r="L355" s="126"/>
      <c r="M355" s="126"/>
      <c r="N355" s="126"/>
      <c r="O355" s="126"/>
      <c r="P355" s="126"/>
      <c r="Q355" s="126"/>
      <c r="R355" s="126"/>
      <c r="S355" s="126"/>
      <c r="T355" s="126"/>
      <c r="U355" s="126"/>
      <c r="V355" s="126"/>
      <c r="W355" s="126"/>
      <c r="X355" s="126"/>
      <c r="Y355" s="126"/>
      <c r="Z355" s="126"/>
    </row>
    <row r="356">
      <c r="A356" s="127" t="s">
        <v>360</v>
      </c>
      <c r="B356" s="127">
        <v>355.0</v>
      </c>
      <c r="C356" s="127">
        <v>28.0</v>
      </c>
      <c r="D356" s="127" t="s">
        <v>447</v>
      </c>
      <c r="E356" s="127">
        <v>9.32154693E9</v>
      </c>
      <c r="F356" s="127" t="s">
        <v>1636</v>
      </c>
      <c r="G356" s="127" t="s">
        <v>551</v>
      </c>
      <c r="H356" s="127" t="s">
        <v>2024</v>
      </c>
      <c r="I356" s="126"/>
      <c r="J356" s="126"/>
      <c r="K356" s="126"/>
      <c r="L356" s="126"/>
      <c r="M356" s="126"/>
      <c r="N356" s="126"/>
      <c r="O356" s="126"/>
      <c r="P356" s="126"/>
      <c r="Q356" s="126"/>
      <c r="R356" s="126"/>
      <c r="S356" s="126"/>
      <c r="T356" s="126"/>
      <c r="U356" s="126"/>
      <c r="V356" s="126"/>
      <c r="W356" s="126"/>
      <c r="X356" s="126"/>
      <c r="Y356" s="126"/>
      <c r="Z356" s="126"/>
    </row>
    <row r="357">
      <c r="A357" s="127" t="s">
        <v>254</v>
      </c>
      <c r="B357" s="127">
        <v>356.0</v>
      </c>
      <c r="C357" s="127"/>
      <c r="D357" s="127"/>
      <c r="E357" s="127"/>
      <c r="F357" s="127" t="s">
        <v>1650</v>
      </c>
      <c r="G357" s="127"/>
      <c r="H357" s="127" t="s">
        <v>1902</v>
      </c>
      <c r="I357" s="126"/>
      <c r="J357" s="126"/>
      <c r="K357" s="126"/>
      <c r="L357" s="126"/>
      <c r="M357" s="126"/>
      <c r="N357" s="126"/>
      <c r="O357" s="126"/>
      <c r="P357" s="126"/>
      <c r="Q357" s="126"/>
      <c r="R357" s="126"/>
      <c r="S357" s="126"/>
      <c r="T357" s="126"/>
      <c r="U357" s="126"/>
      <c r="V357" s="126"/>
      <c r="W357" s="126"/>
      <c r="X357" s="126"/>
      <c r="Y357" s="126"/>
      <c r="Z357" s="126"/>
    </row>
    <row r="358">
      <c r="A358" s="127" t="s">
        <v>361</v>
      </c>
      <c r="B358" s="127">
        <v>357.0</v>
      </c>
      <c r="C358" s="127">
        <v>23.0</v>
      </c>
      <c r="D358" s="127" t="s">
        <v>604</v>
      </c>
      <c r="E358" s="127">
        <v>8.320260005E9</v>
      </c>
      <c r="F358" s="127" t="s">
        <v>1588</v>
      </c>
      <c r="G358" s="127" t="s">
        <v>969</v>
      </c>
      <c r="H358" s="127" t="s">
        <v>2025</v>
      </c>
      <c r="I358" s="126"/>
      <c r="J358" s="126"/>
      <c r="K358" s="126"/>
      <c r="L358" s="126"/>
      <c r="M358" s="126"/>
      <c r="N358" s="126"/>
      <c r="O358" s="126"/>
      <c r="P358" s="126"/>
      <c r="Q358" s="126"/>
      <c r="R358" s="126"/>
      <c r="S358" s="126"/>
      <c r="T358" s="126"/>
      <c r="U358" s="126"/>
      <c r="V358" s="126"/>
      <c r="W358" s="126"/>
      <c r="X358" s="126"/>
      <c r="Y358" s="126"/>
      <c r="Z358" s="126"/>
    </row>
    <row r="359">
      <c r="A359" s="127" t="s">
        <v>362</v>
      </c>
      <c r="B359" s="127">
        <v>358.0</v>
      </c>
      <c r="C359" s="127"/>
      <c r="D359" s="127"/>
      <c r="E359" s="127">
        <v>7.859805309E9</v>
      </c>
      <c r="F359" s="127" t="s">
        <v>1592</v>
      </c>
      <c r="G359" s="127"/>
      <c r="H359" s="127" t="s">
        <v>2026</v>
      </c>
      <c r="I359" s="126"/>
      <c r="J359" s="126"/>
      <c r="K359" s="126"/>
      <c r="L359" s="126"/>
      <c r="M359" s="126"/>
      <c r="N359" s="126"/>
      <c r="O359" s="126"/>
      <c r="P359" s="126"/>
      <c r="Q359" s="126"/>
      <c r="R359" s="126"/>
      <c r="S359" s="126"/>
      <c r="T359" s="126"/>
      <c r="U359" s="126"/>
      <c r="V359" s="126"/>
      <c r="W359" s="126"/>
      <c r="X359" s="126"/>
      <c r="Y359" s="126"/>
      <c r="Z359" s="126"/>
    </row>
    <row r="360">
      <c r="A360" s="127" t="s">
        <v>363</v>
      </c>
      <c r="B360" s="127">
        <v>359.0</v>
      </c>
      <c r="C360" s="127"/>
      <c r="D360" s="127"/>
      <c r="E360" s="127">
        <v>9.6995123E9</v>
      </c>
      <c r="F360" s="127" t="s">
        <v>1592</v>
      </c>
      <c r="G360" s="127"/>
      <c r="H360" s="127" t="s">
        <v>2027</v>
      </c>
      <c r="I360" s="126"/>
      <c r="J360" s="126"/>
      <c r="K360" s="126"/>
      <c r="L360" s="126"/>
      <c r="M360" s="126"/>
      <c r="N360" s="126"/>
      <c r="O360" s="126"/>
      <c r="P360" s="126"/>
      <c r="Q360" s="126"/>
      <c r="R360" s="126"/>
      <c r="S360" s="126"/>
      <c r="T360" s="126"/>
      <c r="U360" s="126"/>
      <c r="V360" s="126"/>
      <c r="W360" s="126"/>
      <c r="X360" s="126"/>
      <c r="Y360" s="126"/>
      <c r="Z360" s="126"/>
    </row>
    <row r="361">
      <c r="A361" s="127" t="s">
        <v>364</v>
      </c>
      <c r="B361" s="127">
        <v>360.0</v>
      </c>
      <c r="C361" s="127">
        <v>22.0</v>
      </c>
      <c r="D361" s="127" t="s">
        <v>604</v>
      </c>
      <c r="E361" s="127">
        <v>7.066886661E9</v>
      </c>
      <c r="F361" s="127" t="s">
        <v>1636</v>
      </c>
      <c r="G361" s="127" t="s">
        <v>1396</v>
      </c>
      <c r="H361" s="127" t="s">
        <v>2028</v>
      </c>
      <c r="I361" s="126"/>
      <c r="J361" s="126"/>
      <c r="K361" s="126"/>
      <c r="L361" s="126"/>
      <c r="M361" s="126"/>
      <c r="N361" s="126"/>
      <c r="O361" s="126"/>
      <c r="P361" s="126"/>
      <c r="Q361" s="126"/>
      <c r="R361" s="126"/>
      <c r="S361" s="126"/>
      <c r="T361" s="126"/>
      <c r="U361" s="126"/>
      <c r="V361" s="126"/>
      <c r="W361" s="126"/>
      <c r="X361" s="126"/>
      <c r="Y361" s="126"/>
      <c r="Z361" s="126"/>
    </row>
    <row r="362">
      <c r="A362" s="127" t="s">
        <v>365</v>
      </c>
      <c r="B362" s="127">
        <v>361.0</v>
      </c>
      <c r="C362" s="127"/>
      <c r="D362" s="127"/>
      <c r="E362" s="127">
        <v>9.328845368E9</v>
      </c>
      <c r="F362" s="127" t="s">
        <v>1592</v>
      </c>
      <c r="G362" s="127"/>
      <c r="H362" s="127" t="s">
        <v>2029</v>
      </c>
      <c r="I362" s="126"/>
      <c r="J362" s="126"/>
      <c r="K362" s="126"/>
      <c r="L362" s="126"/>
      <c r="M362" s="126"/>
      <c r="N362" s="126"/>
      <c r="O362" s="126"/>
      <c r="P362" s="126"/>
      <c r="Q362" s="126"/>
      <c r="R362" s="126"/>
      <c r="S362" s="126"/>
      <c r="T362" s="126"/>
      <c r="U362" s="126"/>
      <c r="V362" s="126"/>
      <c r="W362" s="126"/>
      <c r="X362" s="126"/>
      <c r="Y362" s="126"/>
      <c r="Z362" s="126"/>
    </row>
    <row r="363">
      <c r="A363" s="127" t="s">
        <v>366</v>
      </c>
      <c r="B363" s="127">
        <v>362.0</v>
      </c>
      <c r="C363" s="127">
        <v>23.0</v>
      </c>
      <c r="D363" s="127" t="s">
        <v>447</v>
      </c>
      <c r="E363" s="127">
        <v>9.769563099E9</v>
      </c>
      <c r="F363" s="127" t="s">
        <v>1588</v>
      </c>
      <c r="G363" s="127" t="s">
        <v>626</v>
      </c>
      <c r="H363" s="127" t="s">
        <v>2030</v>
      </c>
      <c r="I363" s="126"/>
      <c r="J363" s="126"/>
      <c r="K363" s="126"/>
      <c r="L363" s="126"/>
      <c r="M363" s="126"/>
      <c r="N363" s="126"/>
      <c r="O363" s="126"/>
      <c r="P363" s="126"/>
      <c r="Q363" s="126"/>
      <c r="R363" s="126"/>
      <c r="S363" s="126"/>
      <c r="T363" s="126"/>
      <c r="U363" s="126"/>
      <c r="V363" s="126"/>
      <c r="W363" s="126"/>
      <c r="X363" s="126"/>
      <c r="Y363" s="126"/>
      <c r="Z363" s="126"/>
    </row>
    <row r="364">
      <c r="A364" s="127" t="s">
        <v>367</v>
      </c>
      <c r="B364" s="127">
        <v>363.0</v>
      </c>
      <c r="C364" s="127">
        <v>45.0</v>
      </c>
      <c r="D364" s="127" t="s">
        <v>441</v>
      </c>
      <c r="E364" s="127">
        <v>9.890196748E9</v>
      </c>
      <c r="F364" s="127" t="s">
        <v>1636</v>
      </c>
      <c r="G364" s="127" t="s">
        <v>842</v>
      </c>
      <c r="H364" s="127" t="s">
        <v>2031</v>
      </c>
      <c r="I364" s="126"/>
      <c r="J364" s="126"/>
      <c r="K364" s="126"/>
      <c r="L364" s="126"/>
      <c r="M364" s="126"/>
      <c r="N364" s="126"/>
      <c r="O364" s="126"/>
      <c r="P364" s="126"/>
      <c r="Q364" s="126"/>
      <c r="R364" s="126"/>
      <c r="S364" s="126"/>
      <c r="T364" s="126"/>
      <c r="U364" s="126"/>
      <c r="V364" s="126"/>
      <c r="W364" s="126"/>
      <c r="X364" s="126"/>
      <c r="Y364" s="126"/>
      <c r="Z364" s="126"/>
    </row>
    <row r="365">
      <c r="A365" s="127" t="s">
        <v>368</v>
      </c>
      <c r="B365" s="127">
        <v>364.0</v>
      </c>
      <c r="C365" s="127"/>
      <c r="D365" s="127"/>
      <c r="E365" s="127">
        <v>9.243438779E9</v>
      </c>
      <c r="F365" s="127" t="s">
        <v>1592</v>
      </c>
      <c r="G365" s="127"/>
      <c r="H365" s="127" t="s">
        <v>2032</v>
      </c>
      <c r="I365" s="126"/>
      <c r="J365" s="126"/>
      <c r="K365" s="126"/>
      <c r="L365" s="126"/>
      <c r="M365" s="126"/>
      <c r="N365" s="126"/>
      <c r="O365" s="126"/>
      <c r="P365" s="126"/>
      <c r="Q365" s="126"/>
      <c r="R365" s="126"/>
      <c r="S365" s="126"/>
      <c r="T365" s="126"/>
      <c r="U365" s="126"/>
      <c r="V365" s="126"/>
      <c r="W365" s="126"/>
      <c r="X365" s="126"/>
      <c r="Y365" s="126"/>
      <c r="Z365" s="126"/>
    </row>
    <row r="366">
      <c r="A366" s="127" t="s">
        <v>369</v>
      </c>
      <c r="B366" s="127">
        <v>365.0</v>
      </c>
      <c r="C366" s="127">
        <v>35.0</v>
      </c>
      <c r="D366" s="127" t="s">
        <v>441</v>
      </c>
      <c r="E366" s="127">
        <v>9.6869415E9</v>
      </c>
      <c r="F366" s="127" t="s">
        <v>1588</v>
      </c>
      <c r="G366" s="127" t="s">
        <v>369</v>
      </c>
      <c r="H366" s="127" t="s">
        <v>2033</v>
      </c>
      <c r="I366" s="126"/>
      <c r="J366" s="126"/>
      <c r="K366" s="126"/>
      <c r="L366" s="126"/>
      <c r="M366" s="126"/>
      <c r="N366" s="126"/>
      <c r="O366" s="126"/>
      <c r="P366" s="126"/>
      <c r="Q366" s="126"/>
      <c r="R366" s="126"/>
      <c r="S366" s="126"/>
      <c r="T366" s="126"/>
      <c r="U366" s="126"/>
      <c r="V366" s="126"/>
      <c r="W366" s="126"/>
      <c r="X366" s="126"/>
      <c r="Y366" s="126"/>
      <c r="Z366" s="126"/>
    </row>
    <row r="367">
      <c r="A367" s="127" t="s">
        <v>370</v>
      </c>
      <c r="B367" s="127">
        <v>366.0</v>
      </c>
      <c r="C367" s="127"/>
      <c r="D367" s="127"/>
      <c r="E367" s="127"/>
      <c r="F367" s="127" t="s">
        <v>1650</v>
      </c>
      <c r="G367" s="127"/>
      <c r="H367" s="127" t="s">
        <v>1986</v>
      </c>
      <c r="I367" s="126"/>
      <c r="J367" s="126"/>
      <c r="K367" s="126"/>
      <c r="L367" s="126"/>
      <c r="M367" s="126"/>
      <c r="N367" s="126"/>
      <c r="O367" s="126"/>
      <c r="P367" s="126"/>
      <c r="Q367" s="126"/>
      <c r="R367" s="126"/>
      <c r="S367" s="126"/>
      <c r="T367" s="126"/>
      <c r="U367" s="126"/>
      <c r="V367" s="126"/>
      <c r="W367" s="126"/>
      <c r="X367" s="126"/>
      <c r="Y367" s="126"/>
      <c r="Z367" s="126"/>
    </row>
    <row r="368">
      <c r="A368" s="127" t="s">
        <v>371</v>
      </c>
      <c r="B368" s="127">
        <v>367.0</v>
      </c>
      <c r="C368" s="127">
        <v>19.0</v>
      </c>
      <c r="D368" s="127" t="s">
        <v>487</v>
      </c>
      <c r="E368" s="127">
        <v>9.327620328E9</v>
      </c>
      <c r="F368" s="127" t="s">
        <v>1636</v>
      </c>
      <c r="G368" s="127" t="s">
        <v>713</v>
      </c>
      <c r="H368" s="127" t="s">
        <v>2034</v>
      </c>
      <c r="I368" s="126"/>
      <c r="J368" s="126"/>
      <c r="K368" s="126"/>
      <c r="L368" s="126"/>
      <c r="M368" s="126"/>
      <c r="N368" s="126"/>
      <c r="O368" s="126"/>
      <c r="P368" s="126"/>
      <c r="Q368" s="126"/>
      <c r="R368" s="126"/>
      <c r="S368" s="126"/>
      <c r="T368" s="126"/>
      <c r="U368" s="126"/>
      <c r="V368" s="126"/>
      <c r="W368" s="126"/>
      <c r="X368" s="126"/>
      <c r="Y368" s="126"/>
      <c r="Z368" s="126"/>
    </row>
    <row r="369">
      <c r="A369" s="127" t="s">
        <v>372</v>
      </c>
      <c r="B369" s="127">
        <v>368.0</v>
      </c>
      <c r="C369" s="127">
        <v>20.0</v>
      </c>
      <c r="D369" s="127" t="s">
        <v>487</v>
      </c>
      <c r="E369" s="127">
        <v>9.029907634E9</v>
      </c>
      <c r="F369" s="127" t="s">
        <v>1636</v>
      </c>
      <c r="G369" s="127" t="s">
        <v>805</v>
      </c>
      <c r="H369" s="127" t="s">
        <v>2035</v>
      </c>
      <c r="I369" s="126"/>
      <c r="J369" s="126"/>
      <c r="K369" s="126"/>
      <c r="L369" s="126"/>
      <c r="M369" s="126"/>
      <c r="N369" s="126"/>
      <c r="O369" s="126"/>
      <c r="P369" s="126"/>
      <c r="Q369" s="126"/>
      <c r="R369" s="126"/>
      <c r="S369" s="126"/>
      <c r="T369" s="126"/>
      <c r="U369" s="126"/>
      <c r="V369" s="126"/>
      <c r="W369" s="126"/>
      <c r="X369" s="126"/>
      <c r="Y369" s="126"/>
      <c r="Z369" s="126"/>
    </row>
    <row r="370">
      <c r="A370" s="127" t="s">
        <v>373</v>
      </c>
      <c r="B370" s="127">
        <v>369.0</v>
      </c>
      <c r="C370" s="127"/>
      <c r="D370" s="127"/>
      <c r="E370" s="127">
        <v>7.666868225E9</v>
      </c>
      <c r="F370" s="127" t="s">
        <v>1592</v>
      </c>
      <c r="G370" s="127"/>
      <c r="H370" s="127" t="s">
        <v>2036</v>
      </c>
      <c r="I370" s="126"/>
      <c r="J370" s="126"/>
      <c r="K370" s="126"/>
      <c r="L370" s="126"/>
      <c r="M370" s="126"/>
      <c r="N370" s="126"/>
      <c r="O370" s="126"/>
      <c r="P370" s="126"/>
      <c r="Q370" s="126"/>
      <c r="R370" s="126"/>
      <c r="S370" s="126"/>
      <c r="T370" s="126"/>
      <c r="U370" s="126"/>
      <c r="V370" s="126"/>
      <c r="W370" s="126"/>
      <c r="X370" s="126"/>
      <c r="Y370" s="126"/>
      <c r="Z370" s="126"/>
    </row>
    <row r="371">
      <c r="A371" s="127" t="s">
        <v>374</v>
      </c>
      <c r="B371" s="127">
        <v>370.0</v>
      </c>
      <c r="C371" s="127">
        <v>21.0</v>
      </c>
      <c r="D371" s="127" t="s">
        <v>447</v>
      </c>
      <c r="E371" s="127">
        <v>9.327661474E9</v>
      </c>
      <c r="F371" s="127" t="s">
        <v>1588</v>
      </c>
      <c r="G371" s="127" t="s">
        <v>1479</v>
      </c>
      <c r="H371" s="127" t="s">
        <v>2037</v>
      </c>
      <c r="I371" s="126"/>
      <c r="J371" s="126"/>
      <c r="K371" s="126"/>
      <c r="L371" s="126"/>
      <c r="M371" s="126"/>
      <c r="N371" s="126"/>
      <c r="O371" s="126"/>
      <c r="P371" s="126"/>
      <c r="Q371" s="126"/>
      <c r="R371" s="126"/>
      <c r="S371" s="126"/>
      <c r="T371" s="126"/>
      <c r="U371" s="126"/>
      <c r="V371" s="126"/>
      <c r="W371" s="126"/>
      <c r="X371" s="126"/>
      <c r="Y371" s="126"/>
      <c r="Z371" s="126"/>
    </row>
    <row r="372">
      <c r="A372" s="127" t="s">
        <v>2038</v>
      </c>
      <c r="B372" s="127">
        <v>371.0</v>
      </c>
      <c r="C372" s="127"/>
      <c r="D372" s="127"/>
      <c r="E372" s="127">
        <v>9.429061267E9</v>
      </c>
      <c r="F372" s="127" t="s">
        <v>1592</v>
      </c>
      <c r="G372" s="127"/>
      <c r="H372" s="127" t="s">
        <v>2039</v>
      </c>
      <c r="I372" s="126"/>
      <c r="J372" s="126"/>
      <c r="K372" s="126"/>
      <c r="L372" s="126"/>
      <c r="M372" s="126"/>
      <c r="N372" s="126"/>
      <c r="O372" s="126"/>
      <c r="P372" s="126"/>
      <c r="Q372" s="126"/>
      <c r="R372" s="126"/>
      <c r="S372" s="126"/>
      <c r="T372" s="126"/>
      <c r="U372" s="126"/>
      <c r="V372" s="126"/>
      <c r="W372" s="126"/>
      <c r="X372" s="126"/>
      <c r="Y372" s="126"/>
      <c r="Z372" s="126"/>
    </row>
    <row r="373">
      <c r="A373" s="127" t="s">
        <v>376</v>
      </c>
      <c r="B373" s="127">
        <v>372.0</v>
      </c>
      <c r="C373" s="127">
        <v>21.0</v>
      </c>
      <c r="D373" s="127" t="s">
        <v>487</v>
      </c>
      <c r="E373" s="127">
        <v>9.322516954E9</v>
      </c>
      <c r="F373" s="127" t="s">
        <v>1588</v>
      </c>
      <c r="G373" s="127" t="s">
        <v>547</v>
      </c>
      <c r="H373" s="127" t="s">
        <v>2040</v>
      </c>
      <c r="I373" s="126"/>
      <c r="J373" s="126"/>
      <c r="K373" s="126"/>
      <c r="L373" s="126"/>
      <c r="M373" s="126"/>
      <c r="N373" s="126"/>
      <c r="O373" s="126"/>
      <c r="P373" s="126"/>
      <c r="Q373" s="126"/>
      <c r="R373" s="126"/>
      <c r="S373" s="126"/>
      <c r="T373" s="126"/>
      <c r="U373" s="126"/>
      <c r="V373" s="126"/>
      <c r="W373" s="126"/>
      <c r="X373" s="126"/>
      <c r="Y373" s="126"/>
      <c r="Z373" s="126"/>
    </row>
    <row r="374">
      <c r="A374" s="127" t="s">
        <v>377</v>
      </c>
      <c r="B374" s="127">
        <v>373.0</v>
      </c>
      <c r="C374" s="127"/>
      <c r="D374" s="127"/>
      <c r="E374" s="127">
        <v>8.32021587E9</v>
      </c>
      <c r="F374" s="127" t="s">
        <v>1592</v>
      </c>
      <c r="G374" s="127"/>
      <c r="H374" s="127" t="s">
        <v>2041</v>
      </c>
      <c r="I374" s="126"/>
      <c r="J374" s="126"/>
      <c r="K374" s="126"/>
      <c r="L374" s="126"/>
      <c r="M374" s="126"/>
      <c r="N374" s="126"/>
      <c r="O374" s="126"/>
      <c r="P374" s="126"/>
      <c r="Q374" s="126"/>
      <c r="R374" s="126"/>
      <c r="S374" s="126"/>
      <c r="T374" s="126"/>
      <c r="U374" s="126"/>
      <c r="V374" s="126"/>
      <c r="W374" s="126"/>
      <c r="X374" s="126"/>
      <c r="Y374" s="126"/>
      <c r="Z374" s="126"/>
    </row>
    <row r="375">
      <c r="A375" s="127" t="s">
        <v>378</v>
      </c>
      <c r="B375" s="127">
        <v>374.0</v>
      </c>
      <c r="C375" s="127">
        <v>21.0</v>
      </c>
      <c r="D375" s="127" t="s">
        <v>447</v>
      </c>
      <c r="E375" s="127">
        <v>9.427106123E9</v>
      </c>
      <c r="F375" s="127" t="s">
        <v>1588</v>
      </c>
      <c r="G375" s="127" t="s">
        <v>1011</v>
      </c>
      <c r="H375" s="127" t="s">
        <v>2042</v>
      </c>
      <c r="I375" s="126"/>
      <c r="J375" s="126"/>
      <c r="K375" s="126"/>
      <c r="L375" s="126"/>
      <c r="M375" s="126"/>
      <c r="N375" s="126"/>
      <c r="O375" s="126"/>
      <c r="P375" s="126"/>
      <c r="Q375" s="126"/>
      <c r="R375" s="126"/>
      <c r="S375" s="126"/>
      <c r="T375" s="126"/>
      <c r="U375" s="126"/>
      <c r="V375" s="126"/>
      <c r="W375" s="126"/>
      <c r="X375" s="126"/>
      <c r="Y375" s="126"/>
      <c r="Z375" s="126"/>
    </row>
    <row r="376">
      <c r="A376" s="127" t="s">
        <v>379</v>
      </c>
      <c r="B376" s="127">
        <v>375.0</v>
      </c>
      <c r="C376" s="127">
        <v>18.0</v>
      </c>
      <c r="D376" s="127" t="s">
        <v>487</v>
      </c>
      <c r="E376" s="127">
        <v>9.228241495E9</v>
      </c>
      <c r="F376" s="127" t="s">
        <v>1588</v>
      </c>
      <c r="G376" s="127" t="s">
        <v>379</v>
      </c>
      <c r="H376" s="127" t="s">
        <v>2043</v>
      </c>
      <c r="I376" s="126"/>
      <c r="J376" s="126"/>
      <c r="K376" s="126"/>
      <c r="L376" s="126"/>
      <c r="M376" s="126"/>
      <c r="N376" s="126"/>
      <c r="O376" s="126"/>
      <c r="P376" s="126"/>
      <c r="Q376" s="126"/>
      <c r="R376" s="126"/>
      <c r="S376" s="126"/>
      <c r="T376" s="126"/>
      <c r="U376" s="126"/>
      <c r="V376" s="126"/>
      <c r="W376" s="126"/>
      <c r="X376" s="126"/>
      <c r="Y376" s="126"/>
      <c r="Z376" s="126"/>
    </row>
    <row r="377">
      <c r="A377" s="127" t="s">
        <v>380</v>
      </c>
      <c r="B377" s="127">
        <v>376.0</v>
      </c>
      <c r="C377" s="127"/>
      <c r="D377" s="127"/>
      <c r="E377" s="127"/>
      <c r="F377" s="127" t="s">
        <v>1650</v>
      </c>
      <c r="G377" s="127"/>
      <c r="H377" s="127" t="s">
        <v>1792</v>
      </c>
      <c r="I377" s="126"/>
      <c r="J377" s="126"/>
      <c r="K377" s="126"/>
      <c r="L377" s="126"/>
      <c r="M377" s="126"/>
      <c r="N377" s="126"/>
      <c r="O377" s="126"/>
      <c r="P377" s="126"/>
      <c r="Q377" s="126"/>
      <c r="R377" s="126"/>
      <c r="S377" s="126"/>
      <c r="T377" s="126"/>
      <c r="U377" s="126"/>
      <c r="V377" s="126"/>
      <c r="W377" s="126"/>
      <c r="X377" s="126"/>
      <c r="Y377" s="126"/>
      <c r="Z377" s="126"/>
    </row>
    <row r="378">
      <c r="A378" s="127" t="s">
        <v>381</v>
      </c>
      <c r="B378" s="127">
        <v>377.0</v>
      </c>
      <c r="C378" s="127">
        <v>22.0</v>
      </c>
      <c r="D378" s="127" t="s">
        <v>458</v>
      </c>
      <c r="E378" s="127">
        <v>7.862919657E9</v>
      </c>
      <c r="F378" s="127" t="s">
        <v>1588</v>
      </c>
      <c r="G378" s="127" t="s">
        <v>577</v>
      </c>
      <c r="H378" s="127" t="s">
        <v>2044</v>
      </c>
      <c r="I378" s="126"/>
      <c r="J378" s="126"/>
      <c r="K378" s="126"/>
      <c r="L378" s="126"/>
      <c r="M378" s="126"/>
      <c r="N378" s="126"/>
      <c r="O378" s="126"/>
      <c r="P378" s="126"/>
      <c r="Q378" s="126"/>
      <c r="R378" s="126"/>
      <c r="S378" s="126"/>
      <c r="T378" s="126"/>
      <c r="U378" s="126"/>
      <c r="V378" s="126"/>
      <c r="W378" s="126"/>
      <c r="X378" s="126"/>
      <c r="Y378" s="126"/>
      <c r="Z378" s="126"/>
    </row>
    <row r="379">
      <c r="A379" s="127" t="s">
        <v>382</v>
      </c>
      <c r="B379" s="127">
        <v>378.0</v>
      </c>
      <c r="C379" s="127"/>
      <c r="D379" s="127"/>
      <c r="E379" s="127">
        <v>7.016262814E9</v>
      </c>
      <c r="F379" s="127" t="s">
        <v>1592</v>
      </c>
      <c r="G379" s="127"/>
      <c r="H379" s="127" t="s">
        <v>2045</v>
      </c>
      <c r="I379" s="126"/>
      <c r="J379" s="126"/>
      <c r="K379" s="126"/>
      <c r="L379" s="126"/>
      <c r="M379" s="126"/>
      <c r="N379" s="126"/>
      <c r="O379" s="126"/>
      <c r="P379" s="126"/>
      <c r="Q379" s="126"/>
      <c r="R379" s="126"/>
      <c r="S379" s="126"/>
      <c r="T379" s="126"/>
      <c r="U379" s="126"/>
      <c r="V379" s="126"/>
      <c r="W379" s="126"/>
      <c r="X379" s="126"/>
      <c r="Y379" s="126"/>
      <c r="Z379" s="126"/>
    </row>
    <row r="380">
      <c r="A380" s="127" t="s">
        <v>383</v>
      </c>
      <c r="B380" s="127">
        <v>379.0</v>
      </c>
      <c r="C380" s="127">
        <v>15.0</v>
      </c>
      <c r="D380" s="127" t="s">
        <v>487</v>
      </c>
      <c r="E380" s="127">
        <v>9.022411491E9</v>
      </c>
      <c r="F380" s="127" t="s">
        <v>1588</v>
      </c>
      <c r="G380" s="127" t="s">
        <v>2046</v>
      </c>
      <c r="H380" s="127" t="s">
        <v>2047</v>
      </c>
      <c r="I380" s="126"/>
      <c r="J380" s="126"/>
      <c r="K380" s="126"/>
      <c r="L380" s="126"/>
      <c r="M380" s="126"/>
      <c r="N380" s="126"/>
      <c r="O380" s="126"/>
      <c r="P380" s="126"/>
      <c r="Q380" s="126"/>
      <c r="R380" s="126"/>
      <c r="S380" s="126"/>
      <c r="T380" s="126"/>
      <c r="U380" s="126"/>
      <c r="V380" s="126"/>
      <c r="W380" s="126"/>
      <c r="X380" s="126"/>
      <c r="Y380" s="126"/>
      <c r="Z380" s="126"/>
    </row>
    <row r="381">
      <c r="A381" s="127" t="s">
        <v>384</v>
      </c>
      <c r="B381" s="127">
        <v>380.0</v>
      </c>
      <c r="C381" s="127">
        <v>35.0</v>
      </c>
      <c r="D381" s="127" t="s">
        <v>441</v>
      </c>
      <c r="E381" s="127">
        <v>9.773782183E9</v>
      </c>
      <c r="F381" s="127" t="s">
        <v>1588</v>
      </c>
      <c r="G381" s="127" t="s">
        <v>1321</v>
      </c>
      <c r="H381" s="127" t="s">
        <v>2048</v>
      </c>
      <c r="I381" s="126"/>
      <c r="J381" s="126"/>
      <c r="K381" s="126"/>
      <c r="L381" s="126"/>
      <c r="M381" s="126"/>
      <c r="N381" s="126"/>
      <c r="O381" s="126"/>
      <c r="P381" s="126"/>
      <c r="Q381" s="126"/>
      <c r="R381" s="126"/>
      <c r="S381" s="126"/>
      <c r="T381" s="126"/>
      <c r="U381" s="126"/>
      <c r="V381" s="126"/>
      <c r="W381" s="126"/>
      <c r="X381" s="126"/>
      <c r="Y381" s="126"/>
      <c r="Z381" s="126"/>
    </row>
    <row r="382">
      <c r="A382" s="127" t="s">
        <v>385</v>
      </c>
      <c r="B382" s="127">
        <v>381.0</v>
      </c>
      <c r="C382" s="127">
        <v>16.0</v>
      </c>
      <c r="D382" s="127" t="s">
        <v>487</v>
      </c>
      <c r="E382" s="127">
        <v>9.324286756E9</v>
      </c>
      <c r="F382" s="127" t="s">
        <v>1588</v>
      </c>
      <c r="G382" s="127" t="s">
        <v>2049</v>
      </c>
      <c r="H382" s="127" t="s">
        <v>2050</v>
      </c>
      <c r="I382" s="126"/>
      <c r="J382" s="126"/>
      <c r="K382" s="126"/>
      <c r="L382" s="126"/>
      <c r="M382" s="126"/>
      <c r="N382" s="126"/>
      <c r="O382" s="126"/>
      <c r="P382" s="126"/>
      <c r="Q382" s="126"/>
      <c r="R382" s="126"/>
      <c r="S382" s="126"/>
      <c r="T382" s="126"/>
      <c r="U382" s="126"/>
      <c r="V382" s="126"/>
      <c r="W382" s="126"/>
      <c r="X382" s="126"/>
      <c r="Y382" s="126"/>
      <c r="Z382" s="126"/>
    </row>
    <row r="383">
      <c r="A383" s="127" t="s">
        <v>386</v>
      </c>
      <c r="B383" s="127">
        <v>382.0</v>
      </c>
      <c r="C383" s="127"/>
      <c r="D383" s="127"/>
      <c r="E383" s="127">
        <v>8.817004734E9</v>
      </c>
      <c r="F383" s="127" t="s">
        <v>1592</v>
      </c>
      <c r="G383" s="127"/>
      <c r="H383" s="127" t="s">
        <v>2051</v>
      </c>
      <c r="I383" s="126"/>
      <c r="J383" s="126"/>
      <c r="K383" s="126"/>
      <c r="L383" s="126"/>
      <c r="M383" s="126"/>
      <c r="N383" s="126"/>
      <c r="O383" s="126"/>
      <c r="P383" s="126"/>
      <c r="Q383" s="126"/>
      <c r="R383" s="126"/>
      <c r="S383" s="126"/>
      <c r="T383" s="126"/>
      <c r="U383" s="126"/>
      <c r="V383" s="126"/>
      <c r="W383" s="126"/>
      <c r="X383" s="126"/>
      <c r="Y383" s="126"/>
      <c r="Z383" s="126"/>
    </row>
    <row r="384">
      <c r="A384" s="127" t="s">
        <v>387</v>
      </c>
      <c r="B384" s="127">
        <v>383.0</v>
      </c>
      <c r="C384" s="127">
        <v>49.0</v>
      </c>
      <c r="D384" s="127" t="s">
        <v>447</v>
      </c>
      <c r="E384" s="127">
        <v>9.769563099E9</v>
      </c>
      <c r="F384" s="127" t="s">
        <v>1588</v>
      </c>
      <c r="G384" s="127" t="s">
        <v>653</v>
      </c>
      <c r="H384" s="127" t="s">
        <v>2052</v>
      </c>
      <c r="I384" s="126"/>
      <c r="J384" s="126"/>
      <c r="K384" s="126"/>
      <c r="L384" s="126"/>
      <c r="M384" s="126"/>
      <c r="N384" s="126"/>
      <c r="O384" s="126"/>
      <c r="P384" s="126"/>
      <c r="Q384" s="126"/>
      <c r="R384" s="126"/>
      <c r="S384" s="126"/>
      <c r="T384" s="126"/>
      <c r="U384" s="126"/>
      <c r="V384" s="126"/>
      <c r="W384" s="126"/>
      <c r="X384" s="126"/>
      <c r="Y384" s="126"/>
      <c r="Z384" s="126"/>
    </row>
    <row r="385">
      <c r="A385" s="127" t="s">
        <v>388</v>
      </c>
      <c r="B385" s="127">
        <v>384.0</v>
      </c>
      <c r="C385" s="127">
        <v>37.0</v>
      </c>
      <c r="D385" s="127" t="s">
        <v>458</v>
      </c>
      <c r="E385" s="127">
        <v>9.867353355E9</v>
      </c>
      <c r="F385" s="127" t="s">
        <v>1588</v>
      </c>
      <c r="G385" s="127" t="s">
        <v>746</v>
      </c>
      <c r="H385" s="127" t="s">
        <v>2053</v>
      </c>
      <c r="I385" s="126"/>
      <c r="J385" s="126"/>
      <c r="K385" s="126"/>
      <c r="L385" s="126"/>
      <c r="M385" s="126"/>
      <c r="N385" s="126"/>
      <c r="O385" s="126"/>
      <c r="P385" s="126"/>
      <c r="Q385" s="126"/>
      <c r="R385" s="126"/>
      <c r="S385" s="126"/>
      <c r="T385" s="126"/>
      <c r="U385" s="126"/>
      <c r="V385" s="126"/>
      <c r="W385" s="126"/>
      <c r="X385" s="126"/>
      <c r="Y385" s="126"/>
      <c r="Z385" s="126"/>
    </row>
    <row r="386">
      <c r="A386" s="127" t="s">
        <v>389</v>
      </c>
      <c r="B386" s="127">
        <v>385.0</v>
      </c>
      <c r="C386" s="127">
        <v>26.0</v>
      </c>
      <c r="D386" s="127" t="s">
        <v>447</v>
      </c>
      <c r="E386" s="127">
        <v>8.989451245E9</v>
      </c>
      <c r="F386" s="127" t="s">
        <v>1588</v>
      </c>
      <c r="G386" s="127" t="s">
        <v>1253</v>
      </c>
      <c r="H386" s="127" t="s">
        <v>2054</v>
      </c>
      <c r="I386" s="126"/>
      <c r="J386" s="126"/>
      <c r="K386" s="126"/>
      <c r="L386" s="126"/>
      <c r="M386" s="126"/>
      <c r="N386" s="126"/>
      <c r="O386" s="126"/>
      <c r="P386" s="126"/>
      <c r="Q386" s="126"/>
      <c r="R386" s="126"/>
      <c r="S386" s="126"/>
      <c r="T386" s="126"/>
      <c r="U386" s="126"/>
      <c r="V386" s="126"/>
      <c r="W386" s="126"/>
      <c r="X386" s="126"/>
      <c r="Y386" s="126"/>
      <c r="Z386" s="126"/>
    </row>
    <row r="387">
      <c r="A387" s="127" t="s">
        <v>390</v>
      </c>
      <c r="B387" s="127">
        <v>386.0</v>
      </c>
      <c r="C387" s="127"/>
      <c r="D387" s="127"/>
      <c r="E387" s="127">
        <v>9.909887762E9</v>
      </c>
      <c r="F387" s="127" t="s">
        <v>1592</v>
      </c>
      <c r="G387" s="127"/>
      <c r="H387" s="127" t="s">
        <v>2055</v>
      </c>
      <c r="I387" s="126"/>
      <c r="J387" s="126"/>
      <c r="K387" s="126"/>
      <c r="L387" s="126"/>
      <c r="M387" s="126"/>
      <c r="N387" s="126"/>
      <c r="O387" s="126"/>
      <c r="P387" s="126"/>
      <c r="Q387" s="126"/>
      <c r="R387" s="126"/>
      <c r="S387" s="126"/>
      <c r="T387" s="126"/>
      <c r="U387" s="126"/>
      <c r="V387" s="126"/>
      <c r="W387" s="126"/>
      <c r="X387" s="126"/>
      <c r="Y387" s="126"/>
      <c r="Z387" s="126"/>
    </row>
    <row r="388">
      <c r="A388" s="127" t="s">
        <v>391</v>
      </c>
      <c r="B388" s="127">
        <v>387.0</v>
      </c>
      <c r="C388" s="127">
        <v>21.0</v>
      </c>
      <c r="D388" s="127" t="s">
        <v>487</v>
      </c>
      <c r="E388" s="127">
        <v>9.408471971E9</v>
      </c>
      <c r="F388" s="127" t="s">
        <v>1588</v>
      </c>
      <c r="G388" s="127" t="s">
        <v>2056</v>
      </c>
      <c r="H388" s="127" t="s">
        <v>2057</v>
      </c>
      <c r="I388" s="126"/>
      <c r="J388" s="126"/>
      <c r="K388" s="126"/>
      <c r="L388" s="126"/>
      <c r="M388" s="126"/>
      <c r="N388" s="126"/>
      <c r="O388" s="126"/>
      <c r="P388" s="126"/>
      <c r="Q388" s="126"/>
      <c r="R388" s="126"/>
      <c r="S388" s="126"/>
      <c r="T388" s="126"/>
      <c r="U388" s="126"/>
      <c r="V388" s="126"/>
      <c r="W388" s="126"/>
      <c r="X388" s="126"/>
      <c r="Y388" s="126"/>
      <c r="Z388" s="126"/>
    </row>
    <row r="389">
      <c r="A389" s="127" t="s">
        <v>392</v>
      </c>
      <c r="B389" s="127">
        <v>388.0</v>
      </c>
      <c r="C389" s="127"/>
      <c r="D389" s="127"/>
      <c r="E389" s="127">
        <v>9.977892424E9</v>
      </c>
      <c r="F389" s="127" t="s">
        <v>1592</v>
      </c>
      <c r="G389" s="127"/>
      <c r="H389" s="127" t="s">
        <v>2058</v>
      </c>
      <c r="I389" s="126"/>
      <c r="J389" s="126"/>
      <c r="K389" s="126"/>
      <c r="L389" s="126"/>
      <c r="M389" s="126"/>
      <c r="N389" s="126"/>
      <c r="O389" s="126"/>
      <c r="P389" s="126"/>
      <c r="Q389" s="126"/>
      <c r="R389" s="126"/>
      <c r="S389" s="126"/>
      <c r="T389" s="126"/>
      <c r="U389" s="126"/>
      <c r="V389" s="126"/>
      <c r="W389" s="126"/>
      <c r="X389" s="126"/>
      <c r="Y389" s="126"/>
      <c r="Z389" s="126"/>
    </row>
    <row r="390">
      <c r="A390" s="127" t="s">
        <v>355</v>
      </c>
      <c r="B390" s="127">
        <v>389.0</v>
      </c>
      <c r="C390" s="127"/>
      <c r="D390" s="127"/>
      <c r="E390" s="127"/>
      <c r="F390" s="127" t="s">
        <v>1650</v>
      </c>
      <c r="G390" s="127"/>
      <c r="H390" s="127" t="s">
        <v>2018</v>
      </c>
      <c r="I390" s="126"/>
      <c r="J390" s="126"/>
      <c r="K390" s="126"/>
      <c r="L390" s="126"/>
      <c r="M390" s="126"/>
      <c r="N390" s="126"/>
      <c r="O390" s="126"/>
      <c r="P390" s="126"/>
      <c r="Q390" s="126"/>
      <c r="R390" s="126"/>
      <c r="S390" s="126"/>
      <c r="T390" s="126"/>
      <c r="U390" s="126"/>
      <c r="V390" s="126"/>
      <c r="W390" s="126"/>
      <c r="X390" s="126"/>
      <c r="Y390" s="126"/>
      <c r="Z390" s="126"/>
    </row>
    <row r="391">
      <c r="A391" s="127" t="s">
        <v>343</v>
      </c>
      <c r="B391" s="127">
        <v>390.0</v>
      </c>
      <c r="C391" s="127"/>
      <c r="D391" s="127"/>
      <c r="E391" s="127"/>
      <c r="F391" s="127" t="s">
        <v>1650</v>
      </c>
      <c r="G391" s="127"/>
      <c r="H391" s="127" t="s">
        <v>2005</v>
      </c>
      <c r="I391" s="126"/>
      <c r="J391" s="126"/>
      <c r="K391" s="126"/>
      <c r="L391" s="126"/>
      <c r="M391" s="126"/>
      <c r="N391" s="126"/>
      <c r="O391" s="126"/>
      <c r="P391" s="126"/>
      <c r="Q391" s="126"/>
      <c r="R391" s="126"/>
      <c r="S391" s="126"/>
      <c r="T391" s="126"/>
      <c r="U391" s="126"/>
      <c r="V391" s="126"/>
      <c r="W391" s="126"/>
      <c r="X391" s="126"/>
      <c r="Y391" s="126"/>
      <c r="Z391" s="126"/>
    </row>
    <row r="392">
      <c r="A392" s="127" t="s">
        <v>393</v>
      </c>
      <c r="B392" s="127">
        <v>391.0</v>
      </c>
      <c r="C392" s="127">
        <v>16.0</v>
      </c>
      <c r="D392" s="127" t="s">
        <v>447</v>
      </c>
      <c r="E392" s="127">
        <v>7.898717647E9</v>
      </c>
      <c r="F392" s="127" t="s">
        <v>1636</v>
      </c>
      <c r="G392" s="127" t="s">
        <v>2059</v>
      </c>
      <c r="H392" s="127" t="s">
        <v>2060</v>
      </c>
      <c r="I392" s="126"/>
      <c r="J392" s="126"/>
      <c r="K392" s="126"/>
      <c r="L392" s="126"/>
      <c r="M392" s="126"/>
      <c r="N392" s="126"/>
      <c r="O392" s="126"/>
      <c r="P392" s="126"/>
      <c r="Q392" s="126"/>
      <c r="R392" s="126"/>
      <c r="S392" s="126"/>
      <c r="T392" s="126"/>
      <c r="U392" s="126"/>
      <c r="V392" s="126"/>
      <c r="W392" s="126"/>
      <c r="X392" s="126"/>
      <c r="Y392" s="126"/>
      <c r="Z392" s="126"/>
    </row>
    <row r="393">
      <c r="A393" s="127" t="s">
        <v>394</v>
      </c>
      <c r="B393" s="127">
        <v>392.0</v>
      </c>
      <c r="C393" s="127">
        <v>27.0</v>
      </c>
      <c r="D393" s="127" t="s">
        <v>458</v>
      </c>
      <c r="E393" s="127">
        <v>9.16761899E9</v>
      </c>
      <c r="F393" s="127" t="s">
        <v>1636</v>
      </c>
      <c r="G393" s="127" t="s">
        <v>1055</v>
      </c>
      <c r="H393" s="127" t="s">
        <v>2061</v>
      </c>
      <c r="I393" s="126"/>
      <c r="J393" s="126"/>
      <c r="K393" s="126"/>
      <c r="L393" s="126"/>
      <c r="M393" s="126"/>
      <c r="N393" s="126"/>
      <c r="O393" s="126"/>
      <c r="P393" s="126"/>
      <c r="Q393" s="126"/>
      <c r="R393" s="126"/>
      <c r="S393" s="126"/>
      <c r="T393" s="126"/>
      <c r="U393" s="126"/>
      <c r="V393" s="126"/>
      <c r="W393" s="126"/>
      <c r="X393" s="126"/>
      <c r="Y393" s="126"/>
      <c r="Z393" s="126"/>
    </row>
    <row r="394">
      <c r="A394" s="127" t="s">
        <v>395</v>
      </c>
      <c r="B394" s="127">
        <v>393.0</v>
      </c>
      <c r="C394" s="127"/>
      <c r="D394" s="127"/>
      <c r="E394" s="127">
        <v>8.866084392E9</v>
      </c>
      <c r="F394" s="127" t="s">
        <v>1592</v>
      </c>
      <c r="G394" s="127"/>
      <c r="H394" s="127" t="s">
        <v>2062</v>
      </c>
      <c r="I394" s="126"/>
      <c r="J394" s="126"/>
      <c r="K394" s="126"/>
      <c r="L394" s="126"/>
      <c r="M394" s="126"/>
      <c r="N394" s="126"/>
      <c r="O394" s="126"/>
      <c r="P394" s="126"/>
      <c r="Q394" s="126"/>
      <c r="R394" s="126"/>
      <c r="S394" s="126"/>
      <c r="T394" s="126"/>
      <c r="U394" s="126"/>
      <c r="V394" s="126"/>
      <c r="W394" s="126"/>
      <c r="X394" s="126"/>
      <c r="Y394" s="126"/>
      <c r="Z394" s="126"/>
    </row>
    <row r="395">
      <c r="A395" s="127" t="s">
        <v>2063</v>
      </c>
      <c r="B395" s="127">
        <v>394.0</v>
      </c>
      <c r="C395" s="127">
        <v>35.0</v>
      </c>
      <c r="D395" s="127" t="s">
        <v>447</v>
      </c>
      <c r="E395" s="127">
        <v>9.981000715E9</v>
      </c>
      <c r="F395" s="127" t="s">
        <v>1636</v>
      </c>
      <c r="G395" s="127" t="s">
        <v>513</v>
      </c>
      <c r="H395" s="127" t="s">
        <v>2064</v>
      </c>
      <c r="I395" s="126"/>
      <c r="J395" s="126"/>
      <c r="K395" s="126"/>
      <c r="L395" s="126"/>
      <c r="M395" s="126"/>
      <c r="N395" s="126"/>
      <c r="O395" s="126"/>
      <c r="P395" s="126"/>
      <c r="Q395" s="126"/>
      <c r="R395" s="126"/>
      <c r="S395" s="126"/>
      <c r="T395" s="126"/>
      <c r="U395" s="126"/>
      <c r="V395" s="126"/>
      <c r="W395" s="126"/>
      <c r="X395" s="126"/>
      <c r="Y395" s="126"/>
      <c r="Z395" s="126"/>
    </row>
    <row r="396">
      <c r="A396" s="127" t="s">
        <v>397</v>
      </c>
      <c r="B396" s="127">
        <v>395.0</v>
      </c>
      <c r="C396" s="127"/>
      <c r="D396" s="127"/>
      <c r="E396" s="127">
        <v>9.981000715E9</v>
      </c>
      <c r="F396" s="127" t="s">
        <v>1592</v>
      </c>
      <c r="G396" s="127"/>
      <c r="H396" s="127" t="s">
        <v>2065</v>
      </c>
      <c r="I396" s="126"/>
      <c r="J396" s="126"/>
      <c r="K396" s="126"/>
      <c r="L396" s="126"/>
      <c r="M396" s="126"/>
      <c r="N396" s="126"/>
      <c r="O396" s="126"/>
      <c r="P396" s="126"/>
      <c r="Q396" s="126"/>
      <c r="R396" s="126"/>
      <c r="S396" s="126"/>
      <c r="T396" s="126"/>
      <c r="U396" s="126"/>
      <c r="V396" s="126"/>
      <c r="W396" s="126"/>
      <c r="X396" s="126"/>
      <c r="Y396" s="126"/>
      <c r="Z396" s="126"/>
    </row>
    <row r="397">
      <c r="A397" s="127" t="s">
        <v>398</v>
      </c>
      <c r="B397" s="127">
        <v>396.0</v>
      </c>
      <c r="C397" s="127">
        <v>20.0</v>
      </c>
      <c r="D397" s="127" t="s">
        <v>458</v>
      </c>
      <c r="E397" s="127">
        <v>9.886534226E9</v>
      </c>
      <c r="F397" s="127" t="s">
        <v>1636</v>
      </c>
      <c r="G397" s="127" t="s">
        <v>1513</v>
      </c>
      <c r="H397" s="127" t="s">
        <v>2066</v>
      </c>
      <c r="I397" s="126"/>
      <c r="J397" s="126"/>
      <c r="K397" s="126"/>
      <c r="L397" s="126"/>
      <c r="M397" s="126"/>
      <c r="N397" s="126"/>
      <c r="O397" s="126"/>
      <c r="P397" s="126"/>
      <c r="Q397" s="126"/>
      <c r="R397" s="126"/>
      <c r="S397" s="126"/>
      <c r="T397" s="126"/>
      <c r="U397" s="126"/>
      <c r="V397" s="126"/>
      <c r="W397" s="126"/>
      <c r="X397" s="126"/>
      <c r="Y397" s="126"/>
      <c r="Z397" s="126"/>
    </row>
    <row r="398">
      <c r="A398" s="127" t="s">
        <v>399</v>
      </c>
      <c r="B398" s="127">
        <v>397.0</v>
      </c>
      <c r="C398" s="127">
        <v>29.0</v>
      </c>
      <c r="D398" s="127" t="s">
        <v>458</v>
      </c>
      <c r="E398" s="127">
        <v>9.860567263E9</v>
      </c>
      <c r="F398" s="127" t="s">
        <v>1636</v>
      </c>
      <c r="G398" s="127" t="s">
        <v>1516</v>
      </c>
      <c r="H398" s="127" t="s">
        <v>2067</v>
      </c>
      <c r="I398" s="126"/>
      <c r="J398" s="126"/>
      <c r="K398" s="126"/>
      <c r="L398" s="126"/>
      <c r="M398" s="126"/>
      <c r="N398" s="126"/>
      <c r="O398" s="126"/>
      <c r="P398" s="126"/>
      <c r="Q398" s="126"/>
      <c r="R398" s="126"/>
      <c r="S398" s="126"/>
      <c r="T398" s="126"/>
      <c r="U398" s="126"/>
      <c r="V398" s="126"/>
      <c r="W398" s="126"/>
      <c r="X398" s="126"/>
      <c r="Y398" s="126"/>
      <c r="Z398" s="126"/>
    </row>
    <row r="399">
      <c r="A399" s="127" t="s">
        <v>400</v>
      </c>
      <c r="B399" s="127">
        <v>398.0</v>
      </c>
      <c r="C399" s="127"/>
      <c r="D399" s="127"/>
      <c r="E399" s="127">
        <v>8.200395936E9</v>
      </c>
      <c r="F399" s="127" t="s">
        <v>1592</v>
      </c>
      <c r="G399" s="127"/>
      <c r="H399" s="127" t="s">
        <v>2068</v>
      </c>
      <c r="I399" s="126"/>
      <c r="J399" s="126"/>
      <c r="K399" s="126"/>
      <c r="L399" s="126"/>
      <c r="M399" s="126"/>
      <c r="N399" s="126"/>
      <c r="O399" s="126"/>
      <c r="P399" s="126"/>
      <c r="Q399" s="126"/>
      <c r="R399" s="126"/>
      <c r="S399" s="126"/>
      <c r="T399" s="126"/>
      <c r="U399" s="126"/>
      <c r="V399" s="126"/>
      <c r="W399" s="126"/>
      <c r="X399" s="126"/>
      <c r="Y399" s="126"/>
      <c r="Z399" s="126"/>
    </row>
    <row r="400">
      <c r="A400" s="127" t="s">
        <v>401</v>
      </c>
      <c r="B400" s="127">
        <v>399.0</v>
      </c>
      <c r="C400" s="127">
        <v>36.0</v>
      </c>
      <c r="D400" s="127" t="s">
        <v>441</v>
      </c>
      <c r="E400" s="127">
        <v>8.34949286E9</v>
      </c>
      <c r="F400" s="127" t="s">
        <v>1636</v>
      </c>
      <c r="G400" s="127" t="s">
        <v>1526</v>
      </c>
      <c r="H400" s="127" t="s">
        <v>2069</v>
      </c>
      <c r="I400" s="126"/>
      <c r="J400" s="126"/>
      <c r="K400" s="126"/>
      <c r="L400" s="126"/>
      <c r="M400" s="126"/>
      <c r="N400" s="126"/>
      <c r="O400" s="126"/>
      <c r="P400" s="126"/>
      <c r="Q400" s="126"/>
      <c r="R400" s="126"/>
      <c r="S400" s="126"/>
      <c r="T400" s="126"/>
      <c r="U400" s="126"/>
      <c r="V400" s="126"/>
      <c r="W400" s="126"/>
      <c r="X400" s="126"/>
      <c r="Y400" s="126"/>
      <c r="Z400" s="126"/>
    </row>
    <row r="401">
      <c r="A401" s="127" t="s">
        <v>402</v>
      </c>
      <c r="B401" s="127">
        <v>400.0</v>
      </c>
      <c r="C401" s="127"/>
      <c r="D401" s="127"/>
      <c r="E401" s="127">
        <v>6.260188588E9</v>
      </c>
      <c r="F401" s="127" t="s">
        <v>1592</v>
      </c>
      <c r="G401" s="127"/>
      <c r="H401" s="127" t="s">
        <v>2070</v>
      </c>
      <c r="I401" s="126"/>
      <c r="J401" s="126"/>
      <c r="K401" s="126"/>
      <c r="L401" s="126"/>
      <c r="M401" s="126"/>
      <c r="N401" s="126"/>
      <c r="O401" s="126"/>
      <c r="P401" s="126"/>
      <c r="Q401" s="126"/>
      <c r="R401" s="126"/>
      <c r="S401" s="126"/>
      <c r="T401" s="126"/>
      <c r="U401" s="126"/>
      <c r="V401" s="126"/>
      <c r="W401" s="126"/>
      <c r="X401" s="126"/>
      <c r="Y401" s="126"/>
      <c r="Z401" s="126"/>
    </row>
    <row r="402">
      <c r="A402" s="127" t="s">
        <v>403</v>
      </c>
      <c r="B402" s="127">
        <v>401.0</v>
      </c>
      <c r="C402" s="127"/>
      <c r="D402" s="127"/>
      <c r="E402" s="127">
        <v>9.893267239E9</v>
      </c>
      <c r="F402" s="127" t="s">
        <v>1592</v>
      </c>
      <c r="G402" s="127"/>
      <c r="H402" s="127" t="s">
        <v>2071</v>
      </c>
      <c r="I402" s="126"/>
      <c r="J402" s="126"/>
      <c r="K402" s="126"/>
      <c r="L402" s="126"/>
      <c r="M402" s="126"/>
      <c r="N402" s="126"/>
      <c r="O402" s="126"/>
      <c r="P402" s="126"/>
      <c r="Q402" s="126"/>
      <c r="R402" s="126"/>
      <c r="S402" s="126"/>
      <c r="T402" s="126"/>
      <c r="U402" s="126"/>
      <c r="V402" s="126"/>
      <c r="W402" s="126"/>
      <c r="X402" s="126"/>
      <c r="Y402" s="126"/>
      <c r="Z402" s="126"/>
    </row>
    <row r="403">
      <c r="A403" s="127" t="s">
        <v>2072</v>
      </c>
      <c r="B403" s="127">
        <v>402.0</v>
      </c>
      <c r="C403" s="127"/>
      <c r="D403" s="127"/>
      <c r="E403" s="127">
        <v>9.92393692E9</v>
      </c>
      <c r="F403" s="127" t="s">
        <v>1592</v>
      </c>
      <c r="G403" s="127"/>
      <c r="H403" s="127" t="s">
        <v>2073</v>
      </c>
      <c r="I403" s="126"/>
      <c r="J403" s="126"/>
      <c r="K403" s="126"/>
      <c r="L403" s="126"/>
      <c r="M403" s="126"/>
      <c r="N403" s="126"/>
      <c r="O403" s="126"/>
      <c r="P403" s="126"/>
      <c r="Q403" s="126"/>
      <c r="R403" s="126"/>
      <c r="S403" s="126"/>
      <c r="T403" s="126"/>
      <c r="U403" s="126"/>
      <c r="V403" s="126"/>
      <c r="W403" s="126"/>
      <c r="X403" s="126"/>
      <c r="Y403" s="126"/>
      <c r="Z403" s="126"/>
    </row>
    <row r="404">
      <c r="A404" s="127" t="s">
        <v>405</v>
      </c>
      <c r="B404" s="127">
        <v>403.0</v>
      </c>
      <c r="C404" s="127">
        <v>20.0</v>
      </c>
      <c r="D404" s="127" t="s">
        <v>447</v>
      </c>
      <c r="E404" s="127">
        <v>9.372197799E9</v>
      </c>
      <c r="F404" s="127" t="s">
        <v>1588</v>
      </c>
      <c r="G404" s="127" t="s">
        <v>2074</v>
      </c>
      <c r="H404" s="127" t="s">
        <v>2075</v>
      </c>
      <c r="I404" s="126"/>
      <c r="J404" s="126"/>
      <c r="K404" s="126"/>
      <c r="L404" s="126"/>
      <c r="M404" s="126"/>
      <c r="N404" s="126"/>
      <c r="O404" s="126"/>
      <c r="P404" s="126"/>
      <c r="Q404" s="126"/>
      <c r="R404" s="126"/>
      <c r="S404" s="126"/>
      <c r="T404" s="126"/>
      <c r="U404" s="126"/>
      <c r="V404" s="126"/>
      <c r="W404" s="126"/>
      <c r="X404" s="126"/>
      <c r="Y404" s="126"/>
      <c r="Z404" s="126"/>
    </row>
    <row r="405">
      <c r="A405" s="127" t="s">
        <v>406</v>
      </c>
      <c r="B405" s="127">
        <v>404.0</v>
      </c>
      <c r="C405" s="127">
        <v>22.0</v>
      </c>
      <c r="D405" s="127" t="s">
        <v>447</v>
      </c>
      <c r="E405" s="127">
        <v>9.373329244E9</v>
      </c>
      <c r="F405" s="127" t="s">
        <v>1588</v>
      </c>
      <c r="G405" s="127" t="s">
        <v>2076</v>
      </c>
      <c r="H405" s="127" t="s">
        <v>2077</v>
      </c>
      <c r="I405" s="126"/>
      <c r="J405" s="126"/>
      <c r="K405" s="126"/>
      <c r="L405" s="126"/>
      <c r="M405" s="126"/>
      <c r="N405" s="126"/>
      <c r="O405" s="126"/>
      <c r="P405" s="126"/>
      <c r="Q405" s="126"/>
      <c r="R405" s="126"/>
      <c r="S405" s="126"/>
      <c r="T405" s="126"/>
      <c r="U405" s="126"/>
      <c r="V405" s="126"/>
      <c r="W405" s="126"/>
      <c r="X405" s="126"/>
      <c r="Y405" s="126"/>
      <c r="Z405" s="126"/>
    </row>
    <row r="406">
      <c r="A406" s="127" t="s">
        <v>407</v>
      </c>
      <c r="B406" s="127">
        <v>405.0</v>
      </c>
      <c r="C406" s="127"/>
      <c r="D406" s="127"/>
      <c r="E406" s="127"/>
      <c r="F406" s="127" t="s">
        <v>1650</v>
      </c>
      <c r="G406" s="127"/>
      <c r="H406" s="127" t="s">
        <v>1698</v>
      </c>
      <c r="I406" s="126"/>
      <c r="J406" s="126"/>
      <c r="K406" s="126"/>
      <c r="L406" s="126"/>
      <c r="M406" s="126"/>
      <c r="N406" s="126"/>
      <c r="O406" s="126"/>
      <c r="P406" s="126"/>
      <c r="Q406" s="126"/>
      <c r="R406" s="126"/>
      <c r="S406" s="126"/>
      <c r="T406" s="126"/>
      <c r="U406" s="126"/>
      <c r="V406" s="126"/>
      <c r="W406" s="126"/>
      <c r="X406" s="126"/>
      <c r="Y406" s="126"/>
      <c r="Z406" s="126"/>
    </row>
    <row r="407">
      <c r="A407" s="127" t="s">
        <v>408</v>
      </c>
      <c r="B407" s="127">
        <v>406.0</v>
      </c>
      <c r="C407" s="127">
        <v>16.0</v>
      </c>
      <c r="D407" s="127" t="s">
        <v>458</v>
      </c>
      <c r="E407" s="127">
        <v>9.201696457E9</v>
      </c>
      <c r="F407" s="127" t="s">
        <v>1588</v>
      </c>
      <c r="G407" s="127" t="s">
        <v>1533</v>
      </c>
      <c r="H407" s="127" t="s">
        <v>2078</v>
      </c>
      <c r="I407" s="126"/>
      <c r="J407" s="126"/>
      <c r="K407" s="126"/>
      <c r="L407" s="126"/>
      <c r="M407" s="126"/>
      <c r="N407" s="126"/>
      <c r="O407" s="126"/>
      <c r="P407" s="126"/>
      <c r="Q407" s="126"/>
      <c r="R407" s="126"/>
      <c r="S407" s="126"/>
      <c r="T407" s="126"/>
      <c r="U407" s="126"/>
      <c r="V407" s="126"/>
      <c r="W407" s="126"/>
      <c r="X407" s="126"/>
      <c r="Y407" s="126"/>
      <c r="Z407" s="126"/>
    </row>
    <row r="408">
      <c r="A408" s="127" t="s">
        <v>409</v>
      </c>
      <c r="B408" s="127">
        <v>407.0</v>
      </c>
      <c r="C408" s="127">
        <v>26.0</v>
      </c>
      <c r="D408" s="127" t="s">
        <v>447</v>
      </c>
      <c r="E408" s="127">
        <v>9.834083806E9</v>
      </c>
      <c r="F408" s="127" t="s">
        <v>1588</v>
      </c>
      <c r="G408" s="127" t="s">
        <v>2079</v>
      </c>
      <c r="H408" s="127" t="s">
        <v>2080</v>
      </c>
      <c r="I408" s="126"/>
      <c r="J408" s="126"/>
      <c r="K408" s="126"/>
      <c r="L408" s="126"/>
      <c r="M408" s="126"/>
      <c r="N408" s="126"/>
      <c r="O408" s="126"/>
      <c r="P408" s="126"/>
      <c r="Q408" s="126"/>
      <c r="R408" s="126"/>
      <c r="S408" s="126"/>
      <c r="T408" s="126"/>
      <c r="U408" s="126"/>
      <c r="V408" s="126"/>
      <c r="W408" s="126"/>
      <c r="X408" s="126"/>
      <c r="Y408" s="126"/>
      <c r="Z408" s="126"/>
    </row>
    <row r="409">
      <c r="A409" s="127" t="s">
        <v>410</v>
      </c>
      <c r="B409" s="127">
        <v>408.0</v>
      </c>
      <c r="C409" s="127"/>
      <c r="D409" s="127"/>
      <c r="E409" s="127">
        <v>8.734839993E9</v>
      </c>
      <c r="F409" s="127" t="s">
        <v>1592</v>
      </c>
      <c r="G409" s="127"/>
      <c r="H409" s="127" t="s">
        <v>2081</v>
      </c>
      <c r="I409" s="126"/>
      <c r="J409" s="126"/>
      <c r="K409" s="126"/>
      <c r="L409" s="126"/>
      <c r="M409" s="126"/>
      <c r="N409" s="126"/>
      <c r="O409" s="126"/>
      <c r="P409" s="126"/>
      <c r="Q409" s="126"/>
      <c r="R409" s="126"/>
      <c r="S409" s="126"/>
      <c r="T409" s="126"/>
      <c r="U409" s="126"/>
      <c r="V409" s="126"/>
      <c r="W409" s="126"/>
      <c r="X409" s="126"/>
      <c r="Y409" s="126"/>
      <c r="Z409" s="126"/>
    </row>
    <row r="410">
      <c r="A410" s="127" t="s">
        <v>411</v>
      </c>
      <c r="B410" s="127">
        <v>409.0</v>
      </c>
      <c r="C410" s="127"/>
      <c r="D410" s="127"/>
      <c r="E410" s="127">
        <v>7.62204382E9</v>
      </c>
      <c r="F410" s="127" t="s">
        <v>1592</v>
      </c>
      <c r="G410" s="127"/>
      <c r="H410" s="127" t="s">
        <v>2082</v>
      </c>
      <c r="I410" s="126"/>
      <c r="J410" s="126"/>
      <c r="K410" s="126"/>
      <c r="L410" s="126"/>
      <c r="M410" s="126"/>
      <c r="N410" s="126"/>
      <c r="O410" s="126"/>
      <c r="P410" s="126"/>
      <c r="Q410" s="126"/>
      <c r="R410" s="126"/>
      <c r="S410" s="126"/>
      <c r="T410" s="126"/>
      <c r="U410" s="126"/>
      <c r="V410" s="126"/>
      <c r="W410" s="126"/>
      <c r="X410" s="126"/>
      <c r="Y410" s="126"/>
      <c r="Z410" s="126"/>
    </row>
    <row r="411">
      <c r="A411" s="127" t="s">
        <v>412</v>
      </c>
      <c r="B411" s="127">
        <v>410.0</v>
      </c>
      <c r="C411" s="127">
        <v>22.0</v>
      </c>
      <c r="D411" s="127" t="s">
        <v>487</v>
      </c>
      <c r="E411" s="127">
        <v>9.173035986E9</v>
      </c>
      <c r="F411" s="127" t="s">
        <v>1588</v>
      </c>
      <c r="G411" s="127" t="s">
        <v>1555</v>
      </c>
      <c r="H411" s="127" t="s">
        <v>2083</v>
      </c>
      <c r="I411" s="126"/>
      <c r="J411" s="126"/>
      <c r="K411" s="126"/>
      <c r="L411" s="126"/>
      <c r="M411" s="126"/>
      <c r="N411" s="126"/>
      <c r="O411" s="126"/>
      <c r="P411" s="126"/>
      <c r="Q411" s="126"/>
      <c r="R411" s="126"/>
      <c r="S411" s="126"/>
      <c r="T411" s="126"/>
      <c r="U411" s="126"/>
      <c r="V411" s="126"/>
      <c r="W411" s="126"/>
      <c r="X411" s="126"/>
      <c r="Y411" s="126"/>
      <c r="Z411" s="126"/>
    </row>
    <row r="412">
      <c r="A412" s="127" t="s">
        <v>413</v>
      </c>
      <c r="B412" s="127">
        <v>411.0</v>
      </c>
      <c r="C412" s="127"/>
      <c r="D412" s="127"/>
      <c r="E412" s="127">
        <v>9.426172768E9</v>
      </c>
      <c r="F412" s="127" t="s">
        <v>1592</v>
      </c>
      <c r="G412" s="127"/>
      <c r="H412" s="127" t="s">
        <v>2084</v>
      </c>
      <c r="I412" s="126"/>
      <c r="J412" s="126"/>
      <c r="K412" s="126"/>
      <c r="L412" s="126"/>
      <c r="M412" s="126"/>
      <c r="N412" s="126"/>
      <c r="O412" s="126"/>
      <c r="P412" s="126"/>
      <c r="Q412" s="126"/>
      <c r="R412" s="126"/>
      <c r="S412" s="126"/>
      <c r="T412" s="126"/>
      <c r="U412" s="126"/>
      <c r="V412" s="126"/>
      <c r="W412" s="126"/>
      <c r="X412" s="126"/>
      <c r="Y412" s="126"/>
      <c r="Z412" s="126"/>
    </row>
    <row r="413">
      <c r="A413" s="127" t="s">
        <v>414</v>
      </c>
      <c r="B413" s="127">
        <v>412.0</v>
      </c>
      <c r="C413" s="127"/>
      <c r="D413" s="127"/>
      <c r="E413" s="127">
        <v>8.971996137E9</v>
      </c>
      <c r="F413" s="127" t="s">
        <v>1592</v>
      </c>
      <c r="G413" s="127"/>
      <c r="H413" s="127" t="s">
        <v>2085</v>
      </c>
      <c r="I413" s="126"/>
      <c r="J413" s="126"/>
      <c r="K413" s="126"/>
      <c r="L413" s="126"/>
      <c r="M413" s="126"/>
      <c r="N413" s="126"/>
      <c r="O413" s="126"/>
      <c r="P413" s="126"/>
      <c r="Q413" s="126"/>
      <c r="R413" s="126"/>
      <c r="S413" s="126"/>
      <c r="T413" s="126"/>
      <c r="U413" s="126"/>
      <c r="V413" s="126"/>
      <c r="W413" s="126"/>
      <c r="X413" s="126"/>
      <c r="Y413" s="126"/>
      <c r="Z413" s="126"/>
    </row>
    <row r="414">
      <c r="A414" s="127" t="s">
        <v>415</v>
      </c>
      <c r="B414" s="127">
        <v>413.0</v>
      </c>
      <c r="C414" s="127"/>
      <c r="D414" s="127"/>
      <c r="E414" s="127">
        <v>9.714233768E9</v>
      </c>
      <c r="F414" s="127" t="s">
        <v>1592</v>
      </c>
      <c r="G414" s="127"/>
      <c r="H414" s="127" t="s">
        <v>2086</v>
      </c>
      <c r="I414" s="126"/>
      <c r="J414" s="126"/>
      <c r="K414" s="126"/>
      <c r="L414" s="126"/>
      <c r="M414" s="126"/>
      <c r="N414" s="126"/>
      <c r="O414" s="126"/>
      <c r="P414" s="126"/>
      <c r="Q414" s="126"/>
      <c r="R414" s="126"/>
      <c r="S414" s="126"/>
      <c r="T414" s="126"/>
      <c r="U414" s="126"/>
      <c r="V414" s="126"/>
      <c r="W414" s="126"/>
      <c r="X414" s="126"/>
      <c r="Y414" s="126"/>
      <c r="Z414" s="126"/>
    </row>
    <row r="415">
      <c r="A415" s="127" t="s">
        <v>416</v>
      </c>
      <c r="B415" s="127">
        <v>414.0</v>
      </c>
      <c r="C415" s="127"/>
      <c r="D415" s="127"/>
      <c r="E415" s="127">
        <v>8.780627901E9</v>
      </c>
      <c r="F415" s="127" t="s">
        <v>1592</v>
      </c>
      <c r="G415" s="127"/>
      <c r="H415" s="127" t="s">
        <v>2087</v>
      </c>
      <c r="I415" s="126"/>
      <c r="J415" s="126"/>
      <c r="K415" s="126"/>
      <c r="L415" s="126"/>
      <c r="M415" s="126"/>
      <c r="N415" s="126"/>
      <c r="O415" s="126"/>
      <c r="P415" s="126"/>
      <c r="Q415" s="126"/>
      <c r="R415" s="126"/>
      <c r="S415" s="126"/>
      <c r="T415" s="126"/>
      <c r="U415" s="126"/>
      <c r="V415" s="126"/>
      <c r="W415" s="126"/>
      <c r="X415" s="126"/>
      <c r="Y415" s="126"/>
      <c r="Z415" s="126"/>
    </row>
    <row r="416">
      <c r="A416" s="127" t="s">
        <v>417</v>
      </c>
      <c r="B416" s="127">
        <v>415.0</v>
      </c>
      <c r="C416" s="127"/>
      <c r="D416" s="127"/>
      <c r="E416" s="127">
        <v>9.755283303E9</v>
      </c>
      <c r="F416" s="127" t="s">
        <v>1592</v>
      </c>
      <c r="G416" s="127"/>
      <c r="H416" s="127" t="s">
        <v>2088</v>
      </c>
      <c r="I416" s="126"/>
      <c r="J416" s="126"/>
      <c r="K416" s="126"/>
      <c r="L416" s="126"/>
      <c r="M416" s="126"/>
      <c r="N416" s="126"/>
      <c r="O416" s="126"/>
      <c r="P416" s="126"/>
      <c r="Q416" s="126"/>
      <c r="R416" s="126"/>
      <c r="S416" s="126"/>
      <c r="T416" s="126"/>
      <c r="U416" s="126"/>
      <c r="V416" s="126"/>
      <c r="W416" s="126"/>
      <c r="X416" s="126"/>
      <c r="Y416" s="126"/>
      <c r="Z416" s="126"/>
    </row>
    <row r="417">
      <c r="A417" s="127" t="s">
        <v>418</v>
      </c>
      <c r="B417" s="127">
        <v>416.0</v>
      </c>
      <c r="C417" s="127">
        <v>14.0</v>
      </c>
      <c r="D417" s="127" t="s">
        <v>458</v>
      </c>
      <c r="E417" s="127">
        <v>9.826319193E9</v>
      </c>
      <c r="F417" s="127" t="s">
        <v>1588</v>
      </c>
      <c r="G417" s="127" t="s">
        <v>1561</v>
      </c>
      <c r="H417" s="127" t="s">
        <v>2089</v>
      </c>
      <c r="I417" s="126"/>
      <c r="J417" s="126"/>
      <c r="K417" s="126"/>
      <c r="L417" s="126"/>
      <c r="M417" s="126"/>
      <c r="N417" s="126"/>
      <c r="O417" s="126"/>
      <c r="P417" s="126"/>
      <c r="Q417" s="126"/>
      <c r="R417" s="126"/>
      <c r="S417" s="126"/>
      <c r="T417" s="126"/>
      <c r="U417" s="126"/>
      <c r="V417" s="126"/>
      <c r="W417" s="126"/>
      <c r="X417" s="126"/>
      <c r="Y417" s="126"/>
      <c r="Z417" s="126"/>
    </row>
    <row r="418">
      <c r="A418" s="127" t="s">
        <v>419</v>
      </c>
      <c r="B418" s="127">
        <v>417.0</v>
      </c>
      <c r="C418" s="127"/>
      <c r="D418" s="127"/>
      <c r="E418" s="127">
        <v>9.17362393E9</v>
      </c>
      <c r="F418" s="127" t="s">
        <v>1592</v>
      </c>
      <c r="G418" s="127"/>
      <c r="H418" s="127" t="s">
        <v>2090</v>
      </c>
      <c r="I418" s="126"/>
      <c r="J418" s="126"/>
      <c r="K418" s="126"/>
      <c r="L418" s="126"/>
      <c r="M418" s="126"/>
      <c r="N418" s="126"/>
      <c r="O418" s="126"/>
      <c r="P418" s="126"/>
      <c r="Q418" s="126"/>
      <c r="R418" s="126"/>
      <c r="S418" s="126"/>
      <c r="T418" s="126"/>
      <c r="U418" s="126"/>
      <c r="V418" s="126"/>
      <c r="W418" s="126"/>
      <c r="X418" s="126"/>
      <c r="Y418" s="126"/>
      <c r="Z418" s="126"/>
    </row>
    <row r="419">
      <c r="A419" s="127" t="s">
        <v>420</v>
      </c>
      <c r="B419" s="127">
        <v>418.0</v>
      </c>
      <c r="C419" s="127">
        <v>23.0</v>
      </c>
      <c r="D419" s="127" t="s">
        <v>441</v>
      </c>
      <c r="E419" s="127">
        <v>9.427608729E9</v>
      </c>
      <c r="F419" s="127" t="s">
        <v>1588</v>
      </c>
      <c r="G419" s="127" t="s">
        <v>1569</v>
      </c>
      <c r="H419" s="127" t="s">
        <v>2091</v>
      </c>
      <c r="I419" s="126"/>
      <c r="J419" s="126"/>
      <c r="K419" s="126"/>
      <c r="L419" s="126"/>
      <c r="M419" s="126"/>
      <c r="N419" s="126"/>
      <c r="O419" s="126"/>
      <c r="P419" s="126"/>
      <c r="Q419" s="126"/>
      <c r="R419" s="126"/>
      <c r="S419" s="126"/>
      <c r="T419" s="126"/>
      <c r="U419" s="126"/>
      <c r="V419" s="126"/>
      <c r="W419" s="126"/>
      <c r="X419" s="126"/>
      <c r="Y419" s="126"/>
      <c r="Z419" s="126"/>
    </row>
    <row r="420">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drawing r:id="rId1"/>
</worksheet>
</file>